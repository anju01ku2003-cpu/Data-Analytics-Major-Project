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2.xml" ContentType="application/vnd.openxmlformats-officedocument.drawing+xml"/>
  <Override PartName="/xl/tables/table6.xml" ContentType="application/vnd.openxmlformats-officedocument.spreadsheetml.tab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4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851f785a2e40cd2/Desktop/New folder/"/>
    </mc:Choice>
  </mc:AlternateContent>
  <xr:revisionPtr revIDLastSave="952" documentId="11_2F3FCC610DA6F3B2AF025EED756102551C0500D3" xr6:coauthVersionLast="47" xr6:coauthVersionMax="47" xr10:uidLastSave="{FFB59B8F-B748-4536-A364-BDE203293843}"/>
  <bookViews>
    <workbookView xWindow="-108" yWindow="-108" windowWidth="23256" windowHeight="12456" firstSheet="19" activeTab="20" xr2:uid="{00000000-000D-0000-FFFF-FFFF00000000}"/>
  </bookViews>
  <sheets>
    <sheet name="README" sheetId="1" r:id="rId1"/>
    <sheet name="Average salary by position" sheetId="7" r:id="rId2"/>
    <sheet name="Average salary by department" sheetId="6" r:id="rId3"/>
    <sheet name="Average salary and  " sheetId="10" r:id="rId4"/>
    <sheet name="Attendance" sheetId="3" r:id="rId5"/>
    <sheet name="Sheet1" sheetId="11" r:id="rId6"/>
    <sheet name="Sheet2" sheetId="12" r:id="rId7"/>
    <sheet name="Sheet3" sheetId="13" r:id="rId8"/>
    <sheet name="Sheet14" sheetId="25" r:id="rId9"/>
    <sheet name="Sheet4" sheetId="36" r:id="rId10"/>
    <sheet name="Sheet15" sheetId="26" r:id="rId11"/>
    <sheet name="Sheet20" sheetId="31" r:id="rId12"/>
    <sheet name="Sheet22" sheetId="33" r:id="rId13"/>
    <sheet name="Employee_Master" sheetId="2" r:id="rId14"/>
    <sheet name="Leave Status Analysis" sheetId="38" r:id="rId15"/>
    <sheet name="Leave" sheetId="4" r:id="rId16"/>
    <sheet name="leave 2" sheetId="30" r:id="rId17"/>
    <sheet name="table 5" sheetId="24" r:id="rId18"/>
    <sheet name="Recruitment_Summary" sheetId="5" r:id="rId19"/>
    <sheet name="dashboard of salary" sheetId="9" r:id="rId20"/>
    <sheet name="dashboard of leave" sheetId="35" r:id="rId21"/>
  </sheets>
  <definedNames>
    <definedName name="_xlchart.v1.0" hidden="1">Employee_Master!$U$12:$U$15</definedName>
    <definedName name="_xlchart.v1.1" hidden="1">Employee_Master!$T$12:$T$15</definedName>
    <definedName name="_xlchart.v1.2" hidden="1">Employee_Master!$U$12:$U$15</definedName>
    <definedName name="_xlchart.v1.3" hidden="1">Employee_Master!$G$1</definedName>
    <definedName name="_xlchart.v1.4" hidden="1">Employee_Master!$G$2:$G$301</definedName>
    <definedName name="_xlchart.v1.5" hidden="1">Employee_Master!$T$12:$T$15</definedName>
    <definedName name="_xlchart.v1.6" hidden="1">Employee_Master!$U$12:$U$15</definedName>
  </definedNames>
  <calcPr calcId="191029"/>
  <pivotCaches>
    <pivotCache cacheId="0" r:id="rId22"/>
    <pivotCache cacheId="1" r:id="rId23"/>
    <pivotCache cacheId="2" r:id="rId24"/>
    <pivotCache cacheId="3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30" l="1"/>
  <c r="N11" i="30"/>
  <c r="H3" i="30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32" i="30"/>
  <c r="H133" i="30"/>
  <c r="H134" i="30"/>
  <c r="H135" i="30"/>
  <c r="H136" i="30"/>
  <c r="H137" i="30"/>
  <c r="H138" i="30"/>
  <c r="H139" i="30"/>
  <c r="H140" i="30"/>
  <c r="H141" i="30"/>
  <c r="H142" i="30"/>
  <c r="H143" i="30"/>
  <c r="H144" i="30"/>
  <c r="H145" i="30"/>
  <c r="H146" i="30"/>
  <c r="H147" i="30"/>
  <c r="H148" i="30"/>
  <c r="H149" i="30"/>
  <c r="H150" i="30"/>
  <c r="H151" i="30"/>
  <c r="H152" i="30"/>
  <c r="H153" i="30"/>
  <c r="H154" i="30"/>
  <c r="H155" i="30"/>
  <c r="H156" i="30"/>
  <c r="H157" i="30"/>
  <c r="H158" i="30"/>
  <c r="H159" i="30"/>
  <c r="H160" i="30"/>
  <c r="H161" i="30"/>
  <c r="H162" i="30"/>
  <c r="H163" i="30"/>
  <c r="H164" i="30"/>
  <c r="H165" i="30"/>
  <c r="H166" i="30"/>
  <c r="H167" i="30"/>
  <c r="H168" i="30"/>
  <c r="H169" i="30"/>
  <c r="H170" i="30"/>
  <c r="H171" i="30"/>
  <c r="H172" i="30"/>
  <c r="H173" i="30"/>
  <c r="H174" i="30"/>
  <c r="H175" i="30"/>
  <c r="H176" i="30"/>
  <c r="H177" i="30"/>
  <c r="H178" i="30"/>
  <c r="H179" i="30"/>
  <c r="H180" i="30"/>
  <c r="H181" i="30"/>
  <c r="H182" i="30"/>
  <c r="H183" i="30"/>
  <c r="H184" i="30"/>
  <c r="H185" i="30"/>
  <c r="H186" i="30"/>
  <c r="H187" i="30"/>
  <c r="H188" i="30"/>
  <c r="H189" i="30"/>
  <c r="H190" i="30"/>
  <c r="H191" i="30"/>
  <c r="H192" i="30"/>
  <c r="H193" i="30"/>
  <c r="H194" i="30"/>
  <c r="H195" i="30"/>
  <c r="H196" i="30"/>
  <c r="H197" i="30"/>
  <c r="H198" i="30"/>
  <c r="H199" i="30"/>
  <c r="H200" i="30"/>
  <c r="H201" i="30"/>
  <c r="H202" i="30"/>
  <c r="H203" i="30"/>
  <c r="H204" i="30"/>
  <c r="H205" i="30"/>
  <c r="H206" i="30"/>
  <c r="H207" i="30"/>
  <c r="H208" i="30"/>
  <c r="H209" i="30"/>
  <c r="H210" i="30"/>
  <c r="H211" i="30"/>
  <c r="H212" i="30"/>
  <c r="H213" i="30"/>
  <c r="H214" i="30"/>
  <c r="H215" i="30"/>
  <c r="H216" i="30"/>
  <c r="H217" i="30"/>
  <c r="H218" i="30"/>
  <c r="H219" i="30"/>
  <c r="H220" i="30"/>
  <c r="H221" i="30"/>
  <c r="H222" i="30"/>
  <c r="H223" i="30"/>
  <c r="H224" i="30"/>
  <c r="H225" i="30"/>
  <c r="H226" i="30"/>
  <c r="H227" i="30"/>
  <c r="H228" i="30"/>
  <c r="H229" i="30"/>
  <c r="H230" i="30"/>
  <c r="H231" i="30"/>
  <c r="H232" i="30"/>
  <c r="H233" i="30"/>
  <c r="H234" i="30"/>
  <c r="H235" i="30"/>
  <c r="H236" i="30"/>
  <c r="H237" i="30"/>
  <c r="H238" i="30"/>
  <c r="H239" i="30"/>
  <c r="H240" i="30"/>
  <c r="H241" i="30"/>
  <c r="H242" i="30"/>
  <c r="H243" i="30"/>
  <c r="H244" i="30"/>
  <c r="H245" i="30"/>
  <c r="H246" i="30"/>
  <c r="H247" i="30"/>
  <c r="H248" i="30"/>
  <c r="H249" i="30"/>
  <c r="H250" i="30"/>
  <c r="H251" i="30"/>
  <c r="H252" i="30"/>
  <c r="H253" i="30"/>
  <c r="H254" i="30"/>
  <c r="H255" i="30"/>
  <c r="H256" i="30"/>
  <c r="H257" i="30"/>
  <c r="H258" i="30"/>
  <c r="H259" i="30"/>
  <c r="H260" i="30"/>
  <c r="H261" i="30"/>
  <c r="H262" i="30"/>
  <c r="H263" i="30"/>
  <c r="H264" i="30"/>
  <c r="H265" i="30"/>
  <c r="H266" i="30"/>
  <c r="H267" i="30"/>
  <c r="H268" i="30"/>
  <c r="H269" i="30"/>
  <c r="H270" i="30"/>
  <c r="H271" i="30"/>
  <c r="H272" i="30"/>
  <c r="H273" i="30"/>
  <c r="H274" i="30"/>
  <c r="H275" i="30"/>
  <c r="H276" i="30"/>
  <c r="H277" i="30"/>
  <c r="H278" i="30"/>
  <c r="H279" i="30"/>
  <c r="H280" i="30"/>
  <c r="H281" i="30"/>
  <c r="H282" i="30"/>
  <c r="H283" i="30"/>
  <c r="H284" i="30"/>
  <c r="H285" i="30"/>
  <c r="H286" i="30"/>
  <c r="H287" i="30"/>
  <c r="H288" i="30"/>
  <c r="H289" i="30"/>
  <c r="H290" i="30"/>
  <c r="H291" i="30"/>
  <c r="H292" i="30"/>
  <c r="H293" i="30"/>
  <c r="H294" i="30"/>
  <c r="H295" i="30"/>
  <c r="H296" i="30"/>
  <c r="H297" i="30"/>
  <c r="H298" i="30"/>
  <c r="H299" i="30"/>
  <c r="H300" i="30"/>
  <c r="H301" i="30"/>
  <c r="H302" i="30"/>
  <c r="H303" i="30"/>
  <c r="H304" i="30"/>
  <c r="H305" i="30"/>
  <c r="H306" i="30"/>
  <c r="H307" i="30"/>
  <c r="H308" i="30"/>
  <c r="H309" i="30"/>
  <c r="H310" i="30"/>
  <c r="H311" i="30"/>
  <c r="H312" i="30"/>
  <c r="H313" i="30"/>
  <c r="H314" i="30"/>
  <c r="H315" i="30"/>
  <c r="H316" i="30"/>
  <c r="H317" i="30"/>
  <c r="H318" i="30"/>
  <c r="H319" i="30"/>
  <c r="H320" i="30"/>
  <c r="H321" i="30"/>
  <c r="H322" i="30"/>
  <c r="H323" i="30"/>
  <c r="H324" i="30"/>
  <c r="H325" i="30"/>
  <c r="H326" i="30"/>
  <c r="H327" i="30"/>
  <c r="H328" i="30"/>
  <c r="H329" i="30"/>
  <c r="H330" i="30"/>
  <c r="H331" i="30"/>
  <c r="H332" i="30"/>
  <c r="H333" i="30"/>
  <c r="H334" i="30"/>
  <c r="H335" i="30"/>
  <c r="H336" i="30"/>
  <c r="H337" i="30"/>
  <c r="H338" i="30"/>
  <c r="H339" i="30"/>
  <c r="H340" i="30"/>
  <c r="H341" i="30"/>
  <c r="H342" i="30"/>
  <c r="H343" i="30"/>
  <c r="H344" i="30"/>
  <c r="H345" i="30"/>
  <c r="H346" i="30"/>
  <c r="H347" i="30"/>
  <c r="H348" i="30"/>
  <c r="H349" i="30"/>
  <c r="H350" i="30"/>
  <c r="H351" i="30"/>
  <c r="H352" i="30"/>
  <c r="H353" i="30"/>
  <c r="H354" i="30"/>
  <c r="H355" i="30"/>
  <c r="H356" i="30"/>
  <c r="H357" i="30"/>
  <c r="H358" i="30"/>
  <c r="H359" i="30"/>
  <c r="H360" i="30"/>
  <c r="H361" i="30"/>
  <c r="H362" i="30"/>
  <c r="H363" i="30"/>
  <c r="H364" i="30"/>
  <c r="H365" i="30"/>
  <c r="H366" i="30"/>
  <c r="H367" i="30"/>
  <c r="H368" i="30"/>
  <c r="H369" i="30"/>
  <c r="H370" i="30"/>
  <c r="H371" i="30"/>
  <c r="H372" i="30"/>
  <c r="H373" i="30"/>
  <c r="H374" i="30"/>
  <c r="H375" i="30"/>
  <c r="H376" i="30"/>
  <c r="H377" i="30"/>
  <c r="H378" i="30"/>
  <c r="H379" i="30"/>
  <c r="H380" i="30"/>
  <c r="H381" i="30"/>
  <c r="H382" i="30"/>
  <c r="H383" i="30"/>
  <c r="H384" i="30"/>
  <c r="H385" i="30"/>
  <c r="H386" i="30"/>
  <c r="H387" i="30"/>
  <c r="H388" i="30"/>
  <c r="H389" i="30"/>
  <c r="H390" i="30"/>
  <c r="H391" i="30"/>
  <c r="H392" i="30"/>
  <c r="H393" i="30"/>
  <c r="H394" i="30"/>
  <c r="H395" i="30"/>
  <c r="H396" i="30"/>
  <c r="H397" i="30"/>
  <c r="H398" i="30"/>
  <c r="H399" i="30"/>
  <c r="H400" i="30"/>
  <c r="H401" i="30"/>
  <c r="H402" i="30"/>
  <c r="H403" i="30"/>
  <c r="H404" i="30"/>
  <c r="H405" i="30"/>
  <c r="H406" i="30"/>
  <c r="H407" i="30"/>
  <c r="H408" i="30"/>
  <c r="H409" i="30"/>
  <c r="H410" i="30"/>
  <c r="H411" i="30"/>
  <c r="H412" i="30"/>
  <c r="H413" i="30"/>
  <c r="H414" i="30"/>
  <c r="H415" i="30"/>
  <c r="H416" i="30"/>
  <c r="H417" i="30"/>
  <c r="H418" i="30"/>
  <c r="H419" i="30"/>
  <c r="H420" i="30"/>
  <c r="H421" i="30"/>
  <c r="H422" i="30"/>
  <c r="H423" i="30"/>
  <c r="H424" i="30"/>
  <c r="H425" i="30"/>
  <c r="H426" i="30"/>
  <c r="H427" i="30"/>
  <c r="H428" i="30"/>
  <c r="H429" i="30"/>
  <c r="H430" i="30"/>
  <c r="H431" i="30"/>
  <c r="H432" i="30"/>
  <c r="H433" i="30"/>
  <c r="H434" i="30"/>
  <c r="H435" i="30"/>
  <c r="H436" i="30"/>
  <c r="H437" i="30"/>
  <c r="H438" i="30"/>
  <c r="H439" i="30"/>
  <c r="H440" i="30"/>
  <c r="H441" i="30"/>
  <c r="H442" i="30"/>
  <c r="H443" i="30"/>
  <c r="H444" i="30"/>
  <c r="H445" i="30"/>
  <c r="H446" i="30"/>
  <c r="H447" i="30"/>
  <c r="H448" i="30"/>
  <c r="H449" i="30"/>
  <c r="H450" i="30"/>
  <c r="H451" i="30"/>
  <c r="H452" i="30"/>
  <c r="H453" i="30"/>
  <c r="H454" i="30"/>
  <c r="H455" i="30"/>
  <c r="H456" i="30"/>
  <c r="H457" i="30"/>
  <c r="H458" i="30"/>
  <c r="H459" i="30"/>
  <c r="H460" i="30"/>
  <c r="H461" i="30"/>
  <c r="H462" i="30"/>
  <c r="H463" i="30"/>
  <c r="H464" i="30"/>
  <c r="H465" i="30"/>
  <c r="H466" i="30"/>
  <c r="H467" i="30"/>
  <c r="H468" i="30"/>
  <c r="H469" i="30"/>
  <c r="H470" i="30"/>
  <c r="H471" i="30"/>
  <c r="H472" i="30"/>
  <c r="H473" i="30"/>
  <c r="H474" i="30"/>
  <c r="H475" i="30"/>
  <c r="H476" i="30"/>
  <c r="H477" i="30"/>
  <c r="H478" i="30"/>
  <c r="H479" i="30"/>
  <c r="H480" i="30"/>
  <c r="H481" i="30"/>
  <c r="H482" i="30"/>
  <c r="H483" i="30"/>
  <c r="H484" i="30"/>
  <c r="H485" i="30"/>
  <c r="H486" i="30"/>
  <c r="H487" i="30"/>
  <c r="H488" i="30"/>
  <c r="H489" i="30"/>
  <c r="H490" i="30"/>
  <c r="H491" i="30"/>
  <c r="H492" i="30"/>
  <c r="H493" i="30"/>
  <c r="H494" i="30"/>
  <c r="H495" i="30"/>
  <c r="H496" i="30"/>
  <c r="H497" i="30"/>
  <c r="H498" i="30"/>
  <c r="H499" i="30"/>
  <c r="H500" i="30"/>
  <c r="H501" i="30"/>
  <c r="H502" i="30"/>
  <c r="H503" i="30"/>
  <c r="H504" i="30"/>
  <c r="H505" i="30"/>
  <c r="H506" i="30"/>
  <c r="H507" i="30"/>
  <c r="H508" i="30"/>
  <c r="H509" i="30"/>
  <c r="H510" i="30"/>
  <c r="H511" i="30"/>
  <c r="H512" i="30"/>
  <c r="H513" i="30"/>
  <c r="H514" i="30"/>
  <c r="H515" i="30"/>
  <c r="H516" i="30"/>
  <c r="H517" i="30"/>
  <c r="H518" i="30"/>
  <c r="H519" i="30"/>
  <c r="H520" i="30"/>
  <c r="H521" i="30"/>
  <c r="H522" i="30"/>
  <c r="H523" i="30"/>
  <c r="H524" i="30"/>
  <c r="H525" i="30"/>
  <c r="H526" i="30"/>
  <c r="H527" i="30"/>
  <c r="H528" i="30"/>
  <c r="H529" i="30"/>
  <c r="H530" i="30"/>
  <c r="H531" i="30"/>
  <c r="H532" i="30"/>
  <c r="H533" i="30"/>
  <c r="H534" i="30"/>
  <c r="H535" i="30"/>
  <c r="H536" i="30"/>
  <c r="H537" i="30"/>
  <c r="H538" i="30"/>
  <c r="H539" i="30"/>
  <c r="H540" i="30"/>
  <c r="H541" i="30"/>
  <c r="H542" i="30"/>
  <c r="H543" i="30"/>
  <c r="H544" i="30"/>
  <c r="H545" i="30"/>
  <c r="H546" i="30"/>
  <c r="H547" i="30"/>
  <c r="H548" i="30"/>
  <c r="H549" i="30"/>
  <c r="H550" i="30"/>
  <c r="H551" i="30"/>
  <c r="H552" i="30"/>
  <c r="H553" i="30"/>
  <c r="H554" i="30"/>
  <c r="H555" i="30"/>
  <c r="H556" i="30"/>
  <c r="H557" i="30"/>
  <c r="H558" i="30"/>
  <c r="H559" i="30"/>
  <c r="H560" i="30"/>
  <c r="H561" i="30"/>
  <c r="H562" i="30"/>
  <c r="H563" i="30"/>
  <c r="H564" i="30"/>
  <c r="H565" i="30"/>
  <c r="H566" i="30"/>
  <c r="H567" i="30"/>
  <c r="H568" i="30"/>
  <c r="H569" i="30"/>
  <c r="H570" i="30"/>
  <c r="H571" i="30"/>
  <c r="H572" i="30"/>
  <c r="H573" i="30"/>
  <c r="H574" i="30"/>
  <c r="H575" i="30"/>
  <c r="H576" i="30"/>
  <c r="H577" i="30"/>
  <c r="H578" i="30"/>
  <c r="H579" i="30"/>
  <c r="H580" i="30"/>
  <c r="H581" i="30"/>
  <c r="H582" i="30"/>
  <c r="H583" i="30"/>
  <c r="H584" i="30"/>
  <c r="H585" i="30"/>
  <c r="H586" i="30"/>
  <c r="H587" i="30"/>
  <c r="H588" i="30"/>
  <c r="H589" i="30"/>
  <c r="H590" i="30"/>
  <c r="H591" i="30"/>
  <c r="H592" i="30"/>
  <c r="H593" i="30"/>
  <c r="H594" i="30"/>
  <c r="H595" i="30"/>
  <c r="H596" i="30"/>
  <c r="H597" i="30"/>
  <c r="H598" i="30"/>
  <c r="H599" i="30"/>
  <c r="H600" i="30"/>
  <c r="H601" i="30"/>
  <c r="H602" i="30"/>
  <c r="H603" i="30"/>
  <c r="H604" i="30"/>
  <c r="H605" i="30"/>
  <c r="H606" i="30"/>
  <c r="H607" i="30"/>
  <c r="H608" i="30"/>
  <c r="H609" i="30"/>
  <c r="H610" i="30"/>
  <c r="H611" i="30"/>
  <c r="H612" i="30"/>
  <c r="H613" i="30"/>
  <c r="H614" i="30"/>
  <c r="H615" i="30"/>
  <c r="H616" i="30"/>
  <c r="H617" i="30"/>
  <c r="H618" i="30"/>
  <c r="H619" i="30"/>
  <c r="H620" i="30"/>
  <c r="H621" i="30"/>
  <c r="H622" i="30"/>
  <c r="H623" i="30"/>
  <c r="H624" i="30"/>
  <c r="H625" i="30"/>
  <c r="H626" i="30"/>
  <c r="H627" i="30"/>
  <c r="H628" i="30"/>
  <c r="H629" i="30"/>
  <c r="H630" i="30"/>
  <c r="H631" i="30"/>
  <c r="H632" i="30"/>
  <c r="H633" i="30"/>
  <c r="H634" i="30"/>
  <c r="H635" i="30"/>
  <c r="H636" i="30"/>
  <c r="H637" i="30"/>
  <c r="H638" i="30"/>
  <c r="H639" i="30"/>
  <c r="H640" i="30"/>
  <c r="H641" i="30"/>
  <c r="I641" i="30"/>
  <c r="F641" i="30"/>
  <c r="I640" i="30"/>
  <c r="F640" i="30"/>
  <c r="I639" i="30"/>
  <c r="F639" i="30"/>
  <c r="I638" i="30"/>
  <c r="F638" i="30"/>
  <c r="I637" i="30"/>
  <c r="F637" i="30"/>
  <c r="I636" i="30"/>
  <c r="F636" i="30"/>
  <c r="I635" i="30"/>
  <c r="F635" i="30"/>
  <c r="I634" i="30"/>
  <c r="F634" i="30"/>
  <c r="I633" i="30"/>
  <c r="F633" i="30"/>
  <c r="I632" i="30"/>
  <c r="F632" i="30"/>
  <c r="I631" i="30"/>
  <c r="F631" i="30"/>
  <c r="I630" i="30"/>
  <c r="F630" i="30"/>
  <c r="I629" i="30"/>
  <c r="F629" i="30"/>
  <c r="I628" i="30"/>
  <c r="F628" i="30"/>
  <c r="I627" i="30"/>
  <c r="F627" i="30"/>
  <c r="I626" i="30"/>
  <c r="F626" i="30"/>
  <c r="I625" i="30"/>
  <c r="F625" i="30"/>
  <c r="I624" i="30"/>
  <c r="F624" i="30"/>
  <c r="I623" i="30"/>
  <c r="F623" i="30"/>
  <c r="I622" i="30"/>
  <c r="F622" i="30"/>
  <c r="I621" i="30"/>
  <c r="F621" i="30"/>
  <c r="I620" i="30"/>
  <c r="F620" i="30"/>
  <c r="I619" i="30"/>
  <c r="F619" i="30"/>
  <c r="I618" i="30"/>
  <c r="F618" i="30"/>
  <c r="I617" i="30"/>
  <c r="F617" i="30"/>
  <c r="I616" i="30"/>
  <c r="F616" i="30"/>
  <c r="I615" i="30"/>
  <c r="F615" i="30"/>
  <c r="I614" i="30"/>
  <c r="F614" i="30"/>
  <c r="I613" i="30"/>
  <c r="F613" i="30"/>
  <c r="I612" i="30"/>
  <c r="F612" i="30"/>
  <c r="I611" i="30"/>
  <c r="F611" i="30"/>
  <c r="I610" i="30"/>
  <c r="F610" i="30"/>
  <c r="I609" i="30"/>
  <c r="F609" i="30"/>
  <c r="I608" i="30"/>
  <c r="F608" i="30"/>
  <c r="I607" i="30"/>
  <c r="F607" i="30"/>
  <c r="I606" i="30"/>
  <c r="F606" i="30"/>
  <c r="I605" i="30"/>
  <c r="F605" i="30"/>
  <c r="I604" i="30"/>
  <c r="F604" i="30"/>
  <c r="I603" i="30"/>
  <c r="F603" i="30"/>
  <c r="I602" i="30"/>
  <c r="F602" i="30"/>
  <c r="I601" i="30"/>
  <c r="F601" i="30"/>
  <c r="I600" i="30"/>
  <c r="F600" i="30"/>
  <c r="I599" i="30"/>
  <c r="F599" i="30"/>
  <c r="I598" i="30"/>
  <c r="F598" i="30"/>
  <c r="I597" i="30"/>
  <c r="F597" i="30"/>
  <c r="I596" i="30"/>
  <c r="F596" i="30"/>
  <c r="I595" i="30"/>
  <c r="F595" i="30"/>
  <c r="I594" i="30"/>
  <c r="F594" i="30"/>
  <c r="I593" i="30"/>
  <c r="F593" i="30"/>
  <c r="I592" i="30"/>
  <c r="F592" i="30"/>
  <c r="I591" i="30"/>
  <c r="F591" i="30"/>
  <c r="I590" i="30"/>
  <c r="F590" i="30"/>
  <c r="I589" i="30"/>
  <c r="F589" i="30"/>
  <c r="I588" i="30"/>
  <c r="F588" i="30"/>
  <c r="I587" i="30"/>
  <c r="F587" i="30"/>
  <c r="I586" i="30"/>
  <c r="F586" i="30"/>
  <c r="I585" i="30"/>
  <c r="F585" i="30"/>
  <c r="I584" i="30"/>
  <c r="F584" i="30"/>
  <c r="I583" i="30"/>
  <c r="F583" i="30"/>
  <c r="I582" i="30"/>
  <c r="F582" i="30"/>
  <c r="I581" i="30"/>
  <c r="F581" i="30"/>
  <c r="I580" i="30"/>
  <c r="F580" i="30"/>
  <c r="I579" i="30"/>
  <c r="F579" i="30"/>
  <c r="I578" i="30"/>
  <c r="F578" i="30"/>
  <c r="I577" i="30"/>
  <c r="F577" i="30"/>
  <c r="I576" i="30"/>
  <c r="F576" i="30"/>
  <c r="I575" i="30"/>
  <c r="F575" i="30"/>
  <c r="I574" i="30"/>
  <c r="F574" i="30"/>
  <c r="I573" i="30"/>
  <c r="F573" i="30"/>
  <c r="I572" i="30"/>
  <c r="F572" i="30"/>
  <c r="I571" i="30"/>
  <c r="F571" i="30"/>
  <c r="I570" i="30"/>
  <c r="F570" i="30"/>
  <c r="I569" i="30"/>
  <c r="F569" i="30"/>
  <c r="I568" i="30"/>
  <c r="F568" i="30"/>
  <c r="I567" i="30"/>
  <c r="F567" i="30"/>
  <c r="I566" i="30"/>
  <c r="F566" i="30"/>
  <c r="I565" i="30"/>
  <c r="F565" i="30"/>
  <c r="I564" i="30"/>
  <c r="F564" i="30"/>
  <c r="I563" i="30"/>
  <c r="F563" i="30"/>
  <c r="I562" i="30"/>
  <c r="F562" i="30"/>
  <c r="I561" i="30"/>
  <c r="F561" i="30"/>
  <c r="I560" i="30"/>
  <c r="F560" i="30"/>
  <c r="I559" i="30"/>
  <c r="F559" i="30"/>
  <c r="I558" i="30"/>
  <c r="F558" i="30"/>
  <c r="I557" i="30"/>
  <c r="F557" i="30"/>
  <c r="I556" i="30"/>
  <c r="F556" i="30"/>
  <c r="I555" i="30"/>
  <c r="F555" i="30"/>
  <c r="I554" i="30"/>
  <c r="F554" i="30"/>
  <c r="I553" i="30"/>
  <c r="F553" i="30"/>
  <c r="I552" i="30"/>
  <c r="F552" i="30"/>
  <c r="I551" i="30"/>
  <c r="F551" i="30"/>
  <c r="I550" i="30"/>
  <c r="F550" i="30"/>
  <c r="I549" i="30"/>
  <c r="F549" i="30"/>
  <c r="I548" i="30"/>
  <c r="F548" i="30"/>
  <c r="I547" i="30"/>
  <c r="F547" i="30"/>
  <c r="I546" i="30"/>
  <c r="F546" i="30"/>
  <c r="I545" i="30"/>
  <c r="F545" i="30"/>
  <c r="I544" i="30"/>
  <c r="F544" i="30"/>
  <c r="I543" i="30"/>
  <c r="F543" i="30"/>
  <c r="I542" i="30"/>
  <c r="F542" i="30"/>
  <c r="I541" i="30"/>
  <c r="F541" i="30"/>
  <c r="I540" i="30"/>
  <c r="F540" i="30"/>
  <c r="I539" i="30"/>
  <c r="F539" i="30"/>
  <c r="I538" i="30"/>
  <c r="F538" i="30"/>
  <c r="I537" i="30"/>
  <c r="F537" i="30"/>
  <c r="I536" i="30"/>
  <c r="F536" i="30"/>
  <c r="I535" i="30"/>
  <c r="F535" i="30"/>
  <c r="I534" i="30"/>
  <c r="F534" i="30"/>
  <c r="I533" i="30"/>
  <c r="F533" i="30"/>
  <c r="I532" i="30"/>
  <c r="F532" i="30"/>
  <c r="I531" i="30"/>
  <c r="F531" i="30"/>
  <c r="I530" i="30"/>
  <c r="F530" i="30"/>
  <c r="I529" i="30"/>
  <c r="F529" i="30"/>
  <c r="I528" i="30"/>
  <c r="F528" i="30"/>
  <c r="I527" i="30"/>
  <c r="F527" i="30"/>
  <c r="I526" i="30"/>
  <c r="F526" i="30"/>
  <c r="I525" i="30"/>
  <c r="F525" i="30"/>
  <c r="I524" i="30"/>
  <c r="F524" i="30"/>
  <c r="I523" i="30"/>
  <c r="F523" i="30"/>
  <c r="I522" i="30"/>
  <c r="F522" i="30"/>
  <c r="I521" i="30"/>
  <c r="F521" i="30"/>
  <c r="I520" i="30"/>
  <c r="F520" i="30"/>
  <c r="I519" i="30"/>
  <c r="F519" i="30"/>
  <c r="I518" i="30"/>
  <c r="F518" i="30"/>
  <c r="I517" i="30"/>
  <c r="F517" i="30"/>
  <c r="I516" i="30"/>
  <c r="F516" i="30"/>
  <c r="I515" i="30"/>
  <c r="F515" i="30"/>
  <c r="I514" i="30"/>
  <c r="F514" i="30"/>
  <c r="I513" i="30"/>
  <c r="F513" i="30"/>
  <c r="I512" i="30"/>
  <c r="F512" i="30"/>
  <c r="I511" i="30"/>
  <c r="F511" i="30"/>
  <c r="I510" i="30"/>
  <c r="F510" i="30"/>
  <c r="I509" i="30"/>
  <c r="F509" i="30"/>
  <c r="I508" i="30"/>
  <c r="F508" i="30"/>
  <c r="I507" i="30"/>
  <c r="F507" i="30"/>
  <c r="I506" i="30"/>
  <c r="F506" i="30"/>
  <c r="I505" i="30"/>
  <c r="F505" i="30"/>
  <c r="I504" i="30"/>
  <c r="F504" i="30"/>
  <c r="I503" i="30"/>
  <c r="F503" i="30"/>
  <c r="I502" i="30"/>
  <c r="F502" i="30"/>
  <c r="I501" i="30"/>
  <c r="F501" i="30"/>
  <c r="I500" i="30"/>
  <c r="F500" i="30"/>
  <c r="I499" i="30"/>
  <c r="F499" i="30"/>
  <c r="I498" i="30"/>
  <c r="F498" i="30"/>
  <c r="I497" i="30"/>
  <c r="F497" i="30"/>
  <c r="I496" i="30"/>
  <c r="F496" i="30"/>
  <c r="I495" i="30"/>
  <c r="F495" i="30"/>
  <c r="I494" i="30"/>
  <c r="F494" i="30"/>
  <c r="I493" i="30"/>
  <c r="F493" i="30"/>
  <c r="I492" i="30"/>
  <c r="F492" i="30"/>
  <c r="I491" i="30"/>
  <c r="F491" i="30"/>
  <c r="I490" i="30"/>
  <c r="F490" i="30"/>
  <c r="I489" i="30"/>
  <c r="F489" i="30"/>
  <c r="I488" i="30"/>
  <c r="F488" i="30"/>
  <c r="I487" i="30"/>
  <c r="F487" i="30"/>
  <c r="I486" i="30"/>
  <c r="F486" i="30"/>
  <c r="I485" i="30"/>
  <c r="F485" i="30"/>
  <c r="I484" i="30"/>
  <c r="F484" i="30"/>
  <c r="I483" i="30"/>
  <c r="F483" i="30"/>
  <c r="I482" i="30"/>
  <c r="F482" i="30"/>
  <c r="I481" i="30"/>
  <c r="F481" i="30"/>
  <c r="I480" i="30"/>
  <c r="F480" i="30"/>
  <c r="I479" i="30"/>
  <c r="F479" i="30"/>
  <c r="I478" i="30"/>
  <c r="F478" i="30"/>
  <c r="I477" i="30"/>
  <c r="F477" i="30"/>
  <c r="I476" i="30"/>
  <c r="F476" i="30"/>
  <c r="I475" i="30"/>
  <c r="F475" i="30"/>
  <c r="I474" i="30"/>
  <c r="F474" i="30"/>
  <c r="I473" i="30"/>
  <c r="F473" i="30"/>
  <c r="I472" i="30"/>
  <c r="F472" i="30"/>
  <c r="I471" i="30"/>
  <c r="F471" i="30"/>
  <c r="I470" i="30"/>
  <c r="F470" i="30"/>
  <c r="I469" i="30"/>
  <c r="F469" i="30"/>
  <c r="I468" i="30"/>
  <c r="F468" i="30"/>
  <c r="I467" i="30"/>
  <c r="F467" i="30"/>
  <c r="I466" i="30"/>
  <c r="F466" i="30"/>
  <c r="I465" i="30"/>
  <c r="F465" i="30"/>
  <c r="I464" i="30"/>
  <c r="F464" i="30"/>
  <c r="I463" i="30"/>
  <c r="F463" i="30"/>
  <c r="I462" i="30"/>
  <c r="F462" i="30"/>
  <c r="I461" i="30"/>
  <c r="F461" i="30"/>
  <c r="I460" i="30"/>
  <c r="F460" i="30"/>
  <c r="I459" i="30"/>
  <c r="F459" i="30"/>
  <c r="I458" i="30"/>
  <c r="F458" i="30"/>
  <c r="I457" i="30"/>
  <c r="F457" i="30"/>
  <c r="I456" i="30"/>
  <c r="F456" i="30"/>
  <c r="I455" i="30"/>
  <c r="F455" i="30"/>
  <c r="I454" i="30"/>
  <c r="F454" i="30"/>
  <c r="I453" i="30"/>
  <c r="F453" i="30"/>
  <c r="I452" i="30"/>
  <c r="F452" i="30"/>
  <c r="I451" i="30"/>
  <c r="F451" i="30"/>
  <c r="I450" i="30"/>
  <c r="F450" i="30"/>
  <c r="I449" i="30"/>
  <c r="F449" i="30"/>
  <c r="I448" i="30"/>
  <c r="F448" i="30"/>
  <c r="I447" i="30"/>
  <c r="F447" i="30"/>
  <c r="I446" i="30"/>
  <c r="F446" i="30"/>
  <c r="I445" i="30"/>
  <c r="F445" i="30"/>
  <c r="I444" i="30"/>
  <c r="F444" i="30"/>
  <c r="I443" i="30"/>
  <c r="F443" i="30"/>
  <c r="I442" i="30"/>
  <c r="F442" i="30"/>
  <c r="I441" i="30"/>
  <c r="F441" i="30"/>
  <c r="I440" i="30"/>
  <c r="F440" i="30"/>
  <c r="I439" i="30"/>
  <c r="F439" i="30"/>
  <c r="I438" i="30"/>
  <c r="F438" i="30"/>
  <c r="I437" i="30"/>
  <c r="F437" i="30"/>
  <c r="I436" i="30"/>
  <c r="F436" i="30"/>
  <c r="I435" i="30"/>
  <c r="F435" i="30"/>
  <c r="I434" i="30"/>
  <c r="F434" i="30"/>
  <c r="I433" i="30"/>
  <c r="F433" i="30"/>
  <c r="I432" i="30"/>
  <c r="F432" i="30"/>
  <c r="I431" i="30"/>
  <c r="F431" i="30"/>
  <c r="I430" i="30"/>
  <c r="F430" i="30"/>
  <c r="I429" i="30"/>
  <c r="F429" i="30"/>
  <c r="I428" i="30"/>
  <c r="F428" i="30"/>
  <c r="I427" i="30"/>
  <c r="F427" i="30"/>
  <c r="I426" i="30"/>
  <c r="F426" i="30"/>
  <c r="I425" i="30"/>
  <c r="F425" i="30"/>
  <c r="I424" i="30"/>
  <c r="F424" i="30"/>
  <c r="I423" i="30"/>
  <c r="F423" i="30"/>
  <c r="I422" i="30"/>
  <c r="F422" i="30"/>
  <c r="I421" i="30"/>
  <c r="F421" i="30"/>
  <c r="I420" i="30"/>
  <c r="F420" i="30"/>
  <c r="I419" i="30"/>
  <c r="F419" i="30"/>
  <c r="I418" i="30"/>
  <c r="F418" i="30"/>
  <c r="I417" i="30"/>
  <c r="F417" i="30"/>
  <c r="I416" i="30"/>
  <c r="F416" i="30"/>
  <c r="I415" i="30"/>
  <c r="F415" i="30"/>
  <c r="I414" i="30"/>
  <c r="F414" i="30"/>
  <c r="I413" i="30"/>
  <c r="F413" i="30"/>
  <c r="I412" i="30"/>
  <c r="F412" i="30"/>
  <c r="I411" i="30"/>
  <c r="F411" i="30"/>
  <c r="I410" i="30"/>
  <c r="F410" i="30"/>
  <c r="I409" i="30"/>
  <c r="F409" i="30"/>
  <c r="I408" i="30"/>
  <c r="F408" i="30"/>
  <c r="I407" i="30"/>
  <c r="F407" i="30"/>
  <c r="I406" i="30"/>
  <c r="F406" i="30"/>
  <c r="I405" i="30"/>
  <c r="F405" i="30"/>
  <c r="I404" i="30"/>
  <c r="F404" i="30"/>
  <c r="I403" i="30"/>
  <c r="F403" i="30"/>
  <c r="I402" i="30"/>
  <c r="F402" i="30"/>
  <c r="I401" i="30"/>
  <c r="F401" i="30"/>
  <c r="I400" i="30"/>
  <c r="F400" i="30"/>
  <c r="I399" i="30"/>
  <c r="F399" i="30"/>
  <c r="I398" i="30"/>
  <c r="F398" i="30"/>
  <c r="I397" i="30"/>
  <c r="F397" i="30"/>
  <c r="I396" i="30"/>
  <c r="F396" i="30"/>
  <c r="I395" i="30"/>
  <c r="F395" i="30"/>
  <c r="I394" i="30"/>
  <c r="F394" i="30"/>
  <c r="I393" i="30"/>
  <c r="F393" i="30"/>
  <c r="I392" i="30"/>
  <c r="F392" i="30"/>
  <c r="I391" i="30"/>
  <c r="F391" i="30"/>
  <c r="I390" i="30"/>
  <c r="F390" i="30"/>
  <c r="I389" i="30"/>
  <c r="F389" i="30"/>
  <c r="I388" i="30"/>
  <c r="F388" i="30"/>
  <c r="I387" i="30"/>
  <c r="F387" i="30"/>
  <c r="I386" i="30"/>
  <c r="F386" i="30"/>
  <c r="I385" i="30"/>
  <c r="F385" i="30"/>
  <c r="I384" i="30"/>
  <c r="F384" i="30"/>
  <c r="I383" i="30"/>
  <c r="F383" i="30"/>
  <c r="I382" i="30"/>
  <c r="F382" i="30"/>
  <c r="I381" i="30"/>
  <c r="F381" i="30"/>
  <c r="I380" i="30"/>
  <c r="F380" i="30"/>
  <c r="I379" i="30"/>
  <c r="F379" i="30"/>
  <c r="I378" i="30"/>
  <c r="F378" i="30"/>
  <c r="I377" i="30"/>
  <c r="F377" i="30"/>
  <c r="I376" i="30"/>
  <c r="F376" i="30"/>
  <c r="I375" i="30"/>
  <c r="F375" i="30"/>
  <c r="I374" i="30"/>
  <c r="F374" i="30"/>
  <c r="I373" i="30"/>
  <c r="F373" i="30"/>
  <c r="I372" i="30"/>
  <c r="F372" i="30"/>
  <c r="I371" i="30"/>
  <c r="F371" i="30"/>
  <c r="I370" i="30"/>
  <c r="F370" i="30"/>
  <c r="I369" i="30"/>
  <c r="F369" i="30"/>
  <c r="I368" i="30"/>
  <c r="F368" i="30"/>
  <c r="I367" i="30"/>
  <c r="F367" i="30"/>
  <c r="I366" i="30"/>
  <c r="F366" i="30"/>
  <c r="I365" i="30"/>
  <c r="F365" i="30"/>
  <c r="I364" i="30"/>
  <c r="F364" i="30"/>
  <c r="I363" i="30"/>
  <c r="F363" i="30"/>
  <c r="I362" i="30"/>
  <c r="F362" i="30"/>
  <c r="I361" i="30"/>
  <c r="F361" i="30"/>
  <c r="I360" i="30"/>
  <c r="F360" i="30"/>
  <c r="I359" i="30"/>
  <c r="F359" i="30"/>
  <c r="I358" i="30"/>
  <c r="F358" i="30"/>
  <c r="I357" i="30"/>
  <c r="F357" i="30"/>
  <c r="I356" i="30"/>
  <c r="F356" i="30"/>
  <c r="I355" i="30"/>
  <c r="F355" i="30"/>
  <c r="I354" i="30"/>
  <c r="F354" i="30"/>
  <c r="I353" i="30"/>
  <c r="F353" i="30"/>
  <c r="I352" i="30"/>
  <c r="F352" i="30"/>
  <c r="I351" i="30"/>
  <c r="F351" i="30"/>
  <c r="I350" i="30"/>
  <c r="F350" i="30"/>
  <c r="I349" i="30"/>
  <c r="F349" i="30"/>
  <c r="I348" i="30"/>
  <c r="F348" i="30"/>
  <c r="I347" i="30"/>
  <c r="F347" i="30"/>
  <c r="I346" i="30"/>
  <c r="F346" i="30"/>
  <c r="I345" i="30"/>
  <c r="F345" i="30"/>
  <c r="I344" i="30"/>
  <c r="F344" i="30"/>
  <c r="I343" i="30"/>
  <c r="F343" i="30"/>
  <c r="I342" i="30"/>
  <c r="F342" i="30"/>
  <c r="I341" i="30"/>
  <c r="F341" i="30"/>
  <c r="I340" i="30"/>
  <c r="F340" i="30"/>
  <c r="I339" i="30"/>
  <c r="F339" i="30"/>
  <c r="I338" i="30"/>
  <c r="F338" i="30"/>
  <c r="I337" i="30"/>
  <c r="F337" i="30"/>
  <c r="I336" i="30"/>
  <c r="F336" i="30"/>
  <c r="I335" i="30"/>
  <c r="F335" i="30"/>
  <c r="I334" i="30"/>
  <c r="F334" i="30"/>
  <c r="I333" i="30"/>
  <c r="F333" i="30"/>
  <c r="I332" i="30"/>
  <c r="F332" i="30"/>
  <c r="I331" i="30"/>
  <c r="F331" i="30"/>
  <c r="I330" i="30"/>
  <c r="F330" i="30"/>
  <c r="I329" i="30"/>
  <c r="F329" i="30"/>
  <c r="I328" i="30"/>
  <c r="F328" i="30"/>
  <c r="I327" i="30"/>
  <c r="F327" i="30"/>
  <c r="I326" i="30"/>
  <c r="F326" i="30"/>
  <c r="I325" i="30"/>
  <c r="F325" i="30"/>
  <c r="I324" i="30"/>
  <c r="F324" i="30"/>
  <c r="I323" i="30"/>
  <c r="F323" i="30"/>
  <c r="I322" i="30"/>
  <c r="F322" i="30"/>
  <c r="I321" i="30"/>
  <c r="F321" i="30"/>
  <c r="I320" i="30"/>
  <c r="F320" i="30"/>
  <c r="I319" i="30"/>
  <c r="F319" i="30"/>
  <c r="I318" i="30"/>
  <c r="F318" i="30"/>
  <c r="I317" i="30"/>
  <c r="F317" i="30"/>
  <c r="I316" i="30"/>
  <c r="F316" i="30"/>
  <c r="I315" i="30"/>
  <c r="F315" i="30"/>
  <c r="I314" i="30"/>
  <c r="F314" i="30"/>
  <c r="I313" i="30"/>
  <c r="F313" i="30"/>
  <c r="I312" i="30"/>
  <c r="F312" i="30"/>
  <c r="I311" i="30"/>
  <c r="F311" i="30"/>
  <c r="I310" i="30"/>
  <c r="F310" i="30"/>
  <c r="I309" i="30"/>
  <c r="F309" i="30"/>
  <c r="I308" i="30"/>
  <c r="F308" i="30"/>
  <c r="I307" i="30"/>
  <c r="F307" i="30"/>
  <c r="I306" i="30"/>
  <c r="F306" i="30"/>
  <c r="I305" i="30"/>
  <c r="F305" i="30"/>
  <c r="I304" i="30"/>
  <c r="F304" i="30"/>
  <c r="I303" i="30"/>
  <c r="F303" i="30"/>
  <c r="I302" i="30"/>
  <c r="F302" i="30"/>
  <c r="I301" i="30"/>
  <c r="F301" i="30"/>
  <c r="I300" i="30"/>
  <c r="F300" i="30"/>
  <c r="I299" i="30"/>
  <c r="F299" i="30"/>
  <c r="I298" i="30"/>
  <c r="F298" i="30"/>
  <c r="I297" i="30"/>
  <c r="F297" i="30"/>
  <c r="I296" i="30"/>
  <c r="F296" i="30"/>
  <c r="I295" i="30"/>
  <c r="F295" i="30"/>
  <c r="I294" i="30"/>
  <c r="F294" i="30"/>
  <c r="I293" i="30"/>
  <c r="F293" i="30"/>
  <c r="I292" i="30"/>
  <c r="F292" i="30"/>
  <c r="I291" i="30"/>
  <c r="F291" i="30"/>
  <c r="I290" i="30"/>
  <c r="F290" i="30"/>
  <c r="I289" i="30"/>
  <c r="F289" i="30"/>
  <c r="I288" i="30"/>
  <c r="F288" i="30"/>
  <c r="I287" i="30"/>
  <c r="F287" i="30"/>
  <c r="I286" i="30"/>
  <c r="F286" i="30"/>
  <c r="I285" i="30"/>
  <c r="F285" i="30"/>
  <c r="I284" i="30"/>
  <c r="F284" i="30"/>
  <c r="I283" i="30"/>
  <c r="F283" i="30"/>
  <c r="I282" i="30"/>
  <c r="F282" i="30"/>
  <c r="I281" i="30"/>
  <c r="F281" i="30"/>
  <c r="I280" i="30"/>
  <c r="F280" i="30"/>
  <c r="I279" i="30"/>
  <c r="F279" i="30"/>
  <c r="I278" i="30"/>
  <c r="F278" i="30"/>
  <c r="I277" i="30"/>
  <c r="F277" i="30"/>
  <c r="I276" i="30"/>
  <c r="F276" i="30"/>
  <c r="I275" i="30"/>
  <c r="F275" i="30"/>
  <c r="I274" i="30"/>
  <c r="F274" i="30"/>
  <c r="I273" i="30"/>
  <c r="F273" i="30"/>
  <c r="I272" i="30"/>
  <c r="F272" i="30"/>
  <c r="I271" i="30"/>
  <c r="F271" i="30"/>
  <c r="I270" i="30"/>
  <c r="F270" i="30"/>
  <c r="I269" i="30"/>
  <c r="F269" i="30"/>
  <c r="I268" i="30"/>
  <c r="F268" i="30"/>
  <c r="I267" i="30"/>
  <c r="F267" i="30"/>
  <c r="I266" i="30"/>
  <c r="F266" i="30"/>
  <c r="I265" i="30"/>
  <c r="F265" i="30"/>
  <c r="I264" i="30"/>
  <c r="F264" i="30"/>
  <c r="I263" i="30"/>
  <c r="F263" i="30"/>
  <c r="I262" i="30"/>
  <c r="F262" i="30"/>
  <c r="I261" i="30"/>
  <c r="F261" i="30"/>
  <c r="I260" i="30"/>
  <c r="F260" i="30"/>
  <c r="I259" i="30"/>
  <c r="F259" i="30"/>
  <c r="I258" i="30"/>
  <c r="F258" i="30"/>
  <c r="I257" i="30"/>
  <c r="F257" i="30"/>
  <c r="I256" i="30"/>
  <c r="F256" i="30"/>
  <c r="I255" i="30"/>
  <c r="F255" i="30"/>
  <c r="I254" i="30"/>
  <c r="F254" i="30"/>
  <c r="I253" i="30"/>
  <c r="F253" i="30"/>
  <c r="I252" i="30"/>
  <c r="F252" i="30"/>
  <c r="I251" i="30"/>
  <c r="F251" i="30"/>
  <c r="I250" i="30"/>
  <c r="F250" i="30"/>
  <c r="I249" i="30"/>
  <c r="F249" i="30"/>
  <c r="I248" i="30"/>
  <c r="F248" i="30"/>
  <c r="I247" i="30"/>
  <c r="F247" i="30"/>
  <c r="I246" i="30"/>
  <c r="F246" i="30"/>
  <c r="I245" i="30"/>
  <c r="F245" i="30"/>
  <c r="I244" i="30"/>
  <c r="F244" i="30"/>
  <c r="I243" i="30"/>
  <c r="F243" i="30"/>
  <c r="I242" i="30"/>
  <c r="F242" i="30"/>
  <c r="I241" i="30"/>
  <c r="F241" i="30"/>
  <c r="I240" i="30"/>
  <c r="F240" i="30"/>
  <c r="I239" i="30"/>
  <c r="F239" i="30"/>
  <c r="I238" i="30"/>
  <c r="F238" i="30"/>
  <c r="I237" i="30"/>
  <c r="F237" i="30"/>
  <c r="I236" i="30"/>
  <c r="F236" i="30"/>
  <c r="I235" i="30"/>
  <c r="F235" i="30"/>
  <c r="I234" i="30"/>
  <c r="F234" i="30"/>
  <c r="I233" i="30"/>
  <c r="F233" i="30"/>
  <c r="I232" i="30"/>
  <c r="F232" i="30"/>
  <c r="I231" i="30"/>
  <c r="F231" i="30"/>
  <c r="I230" i="30"/>
  <c r="F230" i="30"/>
  <c r="I229" i="30"/>
  <c r="F229" i="30"/>
  <c r="I228" i="30"/>
  <c r="F228" i="30"/>
  <c r="I227" i="30"/>
  <c r="F227" i="30"/>
  <c r="I226" i="30"/>
  <c r="F226" i="30"/>
  <c r="I225" i="30"/>
  <c r="F225" i="30"/>
  <c r="I224" i="30"/>
  <c r="F224" i="30"/>
  <c r="I223" i="30"/>
  <c r="F223" i="30"/>
  <c r="I222" i="30"/>
  <c r="F222" i="30"/>
  <c r="I221" i="30"/>
  <c r="F221" i="30"/>
  <c r="I220" i="30"/>
  <c r="F220" i="30"/>
  <c r="I219" i="30"/>
  <c r="F219" i="30"/>
  <c r="I218" i="30"/>
  <c r="F218" i="30"/>
  <c r="I217" i="30"/>
  <c r="F217" i="30"/>
  <c r="I216" i="30"/>
  <c r="F216" i="30"/>
  <c r="I215" i="30"/>
  <c r="F215" i="30"/>
  <c r="I214" i="30"/>
  <c r="F214" i="30"/>
  <c r="I213" i="30"/>
  <c r="F213" i="30"/>
  <c r="I212" i="30"/>
  <c r="F212" i="30"/>
  <c r="I211" i="30"/>
  <c r="F211" i="30"/>
  <c r="I210" i="30"/>
  <c r="F210" i="30"/>
  <c r="I209" i="30"/>
  <c r="F209" i="30"/>
  <c r="I208" i="30"/>
  <c r="F208" i="30"/>
  <c r="I207" i="30"/>
  <c r="F207" i="30"/>
  <c r="I206" i="30"/>
  <c r="F206" i="30"/>
  <c r="I205" i="30"/>
  <c r="F205" i="30"/>
  <c r="I204" i="30"/>
  <c r="F204" i="30"/>
  <c r="I203" i="30"/>
  <c r="F203" i="30"/>
  <c r="I202" i="30"/>
  <c r="F202" i="30"/>
  <c r="I201" i="30"/>
  <c r="F201" i="30"/>
  <c r="I200" i="30"/>
  <c r="F200" i="30"/>
  <c r="I199" i="30"/>
  <c r="F199" i="30"/>
  <c r="I198" i="30"/>
  <c r="F198" i="30"/>
  <c r="I197" i="30"/>
  <c r="F197" i="30"/>
  <c r="I196" i="30"/>
  <c r="F196" i="30"/>
  <c r="I195" i="30"/>
  <c r="F195" i="30"/>
  <c r="I194" i="30"/>
  <c r="F194" i="30"/>
  <c r="I193" i="30"/>
  <c r="F193" i="30"/>
  <c r="I192" i="30"/>
  <c r="F192" i="30"/>
  <c r="I191" i="30"/>
  <c r="F191" i="30"/>
  <c r="I190" i="30"/>
  <c r="F190" i="30"/>
  <c r="I189" i="30"/>
  <c r="F189" i="30"/>
  <c r="I188" i="30"/>
  <c r="F188" i="30"/>
  <c r="I187" i="30"/>
  <c r="F187" i="30"/>
  <c r="I186" i="30"/>
  <c r="F186" i="30"/>
  <c r="I185" i="30"/>
  <c r="F185" i="30"/>
  <c r="I184" i="30"/>
  <c r="F184" i="30"/>
  <c r="I183" i="30"/>
  <c r="F183" i="30"/>
  <c r="I182" i="30"/>
  <c r="F182" i="30"/>
  <c r="I181" i="30"/>
  <c r="F181" i="30"/>
  <c r="I180" i="30"/>
  <c r="F180" i="30"/>
  <c r="I179" i="30"/>
  <c r="F179" i="30"/>
  <c r="I178" i="30"/>
  <c r="F178" i="30"/>
  <c r="I177" i="30"/>
  <c r="F177" i="30"/>
  <c r="I176" i="30"/>
  <c r="F176" i="30"/>
  <c r="I175" i="30"/>
  <c r="F175" i="30"/>
  <c r="I174" i="30"/>
  <c r="F174" i="30"/>
  <c r="I173" i="30"/>
  <c r="F173" i="30"/>
  <c r="I172" i="30"/>
  <c r="F172" i="30"/>
  <c r="I171" i="30"/>
  <c r="F171" i="30"/>
  <c r="I170" i="30"/>
  <c r="F170" i="30"/>
  <c r="I169" i="30"/>
  <c r="F169" i="30"/>
  <c r="I168" i="30"/>
  <c r="F168" i="30"/>
  <c r="I167" i="30"/>
  <c r="F167" i="30"/>
  <c r="I166" i="30"/>
  <c r="F166" i="30"/>
  <c r="I165" i="30"/>
  <c r="F165" i="30"/>
  <c r="I164" i="30"/>
  <c r="F164" i="30"/>
  <c r="I163" i="30"/>
  <c r="F163" i="30"/>
  <c r="I162" i="30"/>
  <c r="F162" i="30"/>
  <c r="I161" i="30"/>
  <c r="F161" i="30"/>
  <c r="I160" i="30"/>
  <c r="F160" i="30"/>
  <c r="I159" i="30"/>
  <c r="F159" i="30"/>
  <c r="I158" i="30"/>
  <c r="F158" i="30"/>
  <c r="I157" i="30"/>
  <c r="F157" i="30"/>
  <c r="I156" i="30"/>
  <c r="F156" i="30"/>
  <c r="I155" i="30"/>
  <c r="F155" i="30"/>
  <c r="I154" i="30"/>
  <c r="F154" i="30"/>
  <c r="I153" i="30"/>
  <c r="F153" i="30"/>
  <c r="I152" i="30"/>
  <c r="F152" i="30"/>
  <c r="I151" i="30"/>
  <c r="F151" i="30"/>
  <c r="I150" i="30"/>
  <c r="F150" i="30"/>
  <c r="I149" i="30"/>
  <c r="F149" i="30"/>
  <c r="I148" i="30"/>
  <c r="F148" i="30"/>
  <c r="I147" i="30"/>
  <c r="F147" i="30"/>
  <c r="I146" i="30"/>
  <c r="F146" i="30"/>
  <c r="I145" i="30"/>
  <c r="F145" i="30"/>
  <c r="I144" i="30"/>
  <c r="F144" i="30"/>
  <c r="I143" i="30"/>
  <c r="F143" i="30"/>
  <c r="I142" i="30"/>
  <c r="F142" i="30"/>
  <c r="I141" i="30"/>
  <c r="F141" i="30"/>
  <c r="I140" i="30"/>
  <c r="F140" i="30"/>
  <c r="I139" i="30"/>
  <c r="F139" i="30"/>
  <c r="I138" i="30"/>
  <c r="F138" i="30"/>
  <c r="I137" i="30"/>
  <c r="F137" i="30"/>
  <c r="I136" i="30"/>
  <c r="F136" i="30"/>
  <c r="I135" i="30"/>
  <c r="F135" i="30"/>
  <c r="I134" i="30"/>
  <c r="F134" i="30"/>
  <c r="I133" i="30"/>
  <c r="F133" i="30"/>
  <c r="I132" i="30"/>
  <c r="F132" i="30"/>
  <c r="I131" i="30"/>
  <c r="F131" i="30"/>
  <c r="I130" i="30"/>
  <c r="F130" i="30"/>
  <c r="I129" i="30"/>
  <c r="F129" i="30"/>
  <c r="I128" i="30"/>
  <c r="F128" i="30"/>
  <c r="I127" i="30"/>
  <c r="F127" i="30"/>
  <c r="I126" i="30"/>
  <c r="F126" i="30"/>
  <c r="I125" i="30"/>
  <c r="F125" i="30"/>
  <c r="I124" i="30"/>
  <c r="F124" i="30"/>
  <c r="I123" i="30"/>
  <c r="F123" i="30"/>
  <c r="I122" i="30"/>
  <c r="F122" i="30"/>
  <c r="I121" i="30"/>
  <c r="F121" i="30"/>
  <c r="I120" i="30"/>
  <c r="F120" i="30"/>
  <c r="I119" i="30"/>
  <c r="F119" i="30"/>
  <c r="I118" i="30"/>
  <c r="F118" i="30"/>
  <c r="I117" i="30"/>
  <c r="F117" i="30"/>
  <c r="I116" i="30"/>
  <c r="F116" i="30"/>
  <c r="I115" i="30"/>
  <c r="F115" i="30"/>
  <c r="I114" i="30"/>
  <c r="F114" i="30"/>
  <c r="I113" i="30"/>
  <c r="F113" i="30"/>
  <c r="I112" i="30"/>
  <c r="F112" i="30"/>
  <c r="I111" i="30"/>
  <c r="F111" i="30"/>
  <c r="I110" i="30"/>
  <c r="F110" i="30"/>
  <c r="I109" i="30"/>
  <c r="F109" i="30"/>
  <c r="I108" i="30"/>
  <c r="F108" i="30"/>
  <c r="I107" i="30"/>
  <c r="F107" i="30"/>
  <c r="I106" i="30"/>
  <c r="F106" i="30"/>
  <c r="I105" i="30"/>
  <c r="F105" i="30"/>
  <c r="I104" i="30"/>
  <c r="F104" i="30"/>
  <c r="I103" i="30"/>
  <c r="F103" i="30"/>
  <c r="I102" i="30"/>
  <c r="F102" i="30"/>
  <c r="I101" i="30"/>
  <c r="F101" i="30"/>
  <c r="I100" i="30"/>
  <c r="F100" i="30"/>
  <c r="I99" i="30"/>
  <c r="F99" i="30"/>
  <c r="I98" i="30"/>
  <c r="F98" i="30"/>
  <c r="I97" i="30"/>
  <c r="F97" i="30"/>
  <c r="I96" i="30"/>
  <c r="F96" i="30"/>
  <c r="I95" i="30"/>
  <c r="F95" i="30"/>
  <c r="I94" i="30"/>
  <c r="F94" i="30"/>
  <c r="I93" i="30"/>
  <c r="F93" i="30"/>
  <c r="I92" i="30"/>
  <c r="F92" i="30"/>
  <c r="I91" i="30"/>
  <c r="F91" i="30"/>
  <c r="I90" i="30"/>
  <c r="F90" i="30"/>
  <c r="I89" i="30"/>
  <c r="F89" i="30"/>
  <c r="I88" i="30"/>
  <c r="F88" i="30"/>
  <c r="I87" i="30"/>
  <c r="F87" i="30"/>
  <c r="I86" i="30"/>
  <c r="F86" i="30"/>
  <c r="I85" i="30"/>
  <c r="F85" i="30"/>
  <c r="I84" i="30"/>
  <c r="F84" i="30"/>
  <c r="I83" i="30"/>
  <c r="F83" i="30"/>
  <c r="I82" i="30"/>
  <c r="F82" i="30"/>
  <c r="I81" i="30"/>
  <c r="F81" i="30"/>
  <c r="I80" i="30"/>
  <c r="F80" i="30"/>
  <c r="I79" i="30"/>
  <c r="F79" i="30"/>
  <c r="I78" i="30"/>
  <c r="F78" i="30"/>
  <c r="I77" i="30"/>
  <c r="F77" i="30"/>
  <c r="I76" i="30"/>
  <c r="F76" i="30"/>
  <c r="I75" i="30"/>
  <c r="F75" i="30"/>
  <c r="I74" i="30"/>
  <c r="F74" i="30"/>
  <c r="I73" i="30"/>
  <c r="F73" i="30"/>
  <c r="I72" i="30"/>
  <c r="F72" i="30"/>
  <c r="I71" i="30"/>
  <c r="F71" i="30"/>
  <c r="I70" i="30"/>
  <c r="F70" i="30"/>
  <c r="I69" i="30"/>
  <c r="F69" i="30"/>
  <c r="I68" i="30"/>
  <c r="F68" i="30"/>
  <c r="I67" i="30"/>
  <c r="F67" i="30"/>
  <c r="I66" i="30"/>
  <c r="F66" i="30"/>
  <c r="I65" i="30"/>
  <c r="F65" i="30"/>
  <c r="I64" i="30"/>
  <c r="F64" i="30"/>
  <c r="I63" i="30"/>
  <c r="F63" i="30"/>
  <c r="I62" i="30"/>
  <c r="F62" i="30"/>
  <c r="I61" i="30"/>
  <c r="F61" i="30"/>
  <c r="I60" i="30"/>
  <c r="F60" i="30"/>
  <c r="I59" i="30"/>
  <c r="F59" i="30"/>
  <c r="I58" i="30"/>
  <c r="F58" i="30"/>
  <c r="I57" i="30"/>
  <c r="F57" i="30"/>
  <c r="I56" i="30"/>
  <c r="F56" i="30"/>
  <c r="I55" i="30"/>
  <c r="F55" i="30"/>
  <c r="I54" i="30"/>
  <c r="F54" i="30"/>
  <c r="I53" i="30"/>
  <c r="F53" i="30"/>
  <c r="I52" i="30"/>
  <c r="F52" i="30"/>
  <c r="I51" i="30"/>
  <c r="F51" i="30"/>
  <c r="I50" i="30"/>
  <c r="F50" i="30"/>
  <c r="I49" i="30"/>
  <c r="F49" i="30"/>
  <c r="I48" i="30"/>
  <c r="F48" i="30"/>
  <c r="I47" i="30"/>
  <c r="F47" i="30"/>
  <c r="I46" i="30"/>
  <c r="F46" i="30"/>
  <c r="I45" i="30"/>
  <c r="F45" i="30"/>
  <c r="I44" i="30"/>
  <c r="F44" i="30"/>
  <c r="I43" i="30"/>
  <c r="F43" i="30"/>
  <c r="I42" i="30"/>
  <c r="F42" i="30"/>
  <c r="I41" i="30"/>
  <c r="F41" i="30"/>
  <c r="I40" i="30"/>
  <c r="F40" i="30"/>
  <c r="I39" i="30"/>
  <c r="F39" i="30"/>
  <c r="I38" i="30"/>
  <c r="F38" i="30"/>
  <c r="I37" i="30"/>
  <c r="F37" i="30"/>
  <c r="I36" i="30"/>
  <c r="F36" i="30"/>
  <c r="I35" i="30"/>
  <c r="F35" i="30"/>
  <c r="I34" i="30"/>
  <c r="F34" i="30"/>
  <c r="I33" i="30"/>
  <c r="F33" i="30"/>
  <c r="I32" i="30"/>
  <c r="F32" i="30"/>
  <c r="I31" i="30"/>
  <c r="F31" i="30"/>
  <c r="I30" i="30"/>
  <c r="F30" i="30"/>
  <c r="I29" i="30"/>
  <c r="F29" i="30"/>
  <c r="I28" i="30"/>
  <c r="F28" i="30"/>
  <c r="I27" i="30"/>
  <c r="F27" i="30"/>
  <c r="I26" i="30"/>
  <c r="F26" i="30"/>
  <c r="I25" i="30"/>
  <c r="F25" i="30"/>
  <c r="I24" i="30"/>
  <c r="F24" i="30"/>
  <c r="I23" i="30"/>
  <c r="F23" i="30"/>
  <c r="I22" i="30"/>
  <c r="F22" i="30"/>
  <c r="I21" i="30"/>
  <c r="F21" i="30"/>
  <c r="I20" i="30"/>
  <c r="F20" i="30"/>
  <c r="I19" i="30"/>
  <c r="F19" i="30"/>
  <c r="I18" i="30"/>
  <c r="F18" i="30"/>
  <c r="I17" i="30"/>
  <c r="F17" i="30"/>
  <c r="I16" i="30"/>
  <c r="F16" i="30"/>
  <c r="I15" i="30"/>
  <c r="F15" i="30"/>
  <c r="I14" i="30"/>
  <c r="F14" i="30"/>
  <c r="I13" i="30"/>
  <c r="F13" i="30"/>
  <c r="I12" i="30"/>
  <c r="F12" i="30"/>
  <c r="I11" i="30"/>
  <c r="F11" i="30"/>
  <c r="I10" i="30"/>
  <c r="F10" i="30"/>
  <c r="I9" i="30"/>
  <c r="F9" i="30"/>
  <c r="I8" i="30"/>
  <c r="F8" i="30"/>
  <c r="I7" i="30"/>
  <c r="F7" i="30"/>
  <c r="I6" i="30"/>
  <c r="F6" i="30"/>
  <c r="I5" i="30"/>
  <c r="F5" i="30"/>
  <c r="I4" i="30"/>
  <c r="F4" i="30"/>
  <c r="I3" i="30"/>
  <c r="F3" i="30"/>
  <c r="I2" i="30"/>
  <c r="H2" i="30"/>
  <c r="F2" i="30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2" i="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226" i="24"/>
  <c r="E227" i="24"/>
  <c r="E228" i="24"/>
  <c r="E229" i="24"/>
  <c r="E230" i="24"/>
  <c r="E231" i="24"/>
  <c r="E232" i="24"/>
  <c r="E233" i="24"/>
  <c r="E234" i="24"/>
  <c r="E235" i="24"/>
  <c r="E236" i="24"/>
  <c r="E237" i="24"/>
  <c r="E238" i="24"/>
  <c r="E239" i="24"/>
  <c r="E240" i="24"/>
  <c r="E241" i="24"/>
  <c r="E242" i="24"/>
  <c r="E243" i="24"/>
  <c r="E244" i="24"/>
  <c r="E245" i="24"/>
  <c r="E246" i="24"/>
  <c r="E247" i="24"/>
  <c r="E248" i="24"/>
  <c r="E249" i="24"/>
  <c r="E250" i="24"/>
  <c r="E251" i="24"/>
  <c r="E252" i="24"/>
  <c r="E253" i="24"/>
  <c r="E254" i="24"/>
  <c r="E255" i="24"/>
  <c r="E256" i="24"/>
  <c r="E257" i="24"/>
  <c r="E258" i="24"/>
  <c r="E259" i="24"/>
  <c r="E260" i="24"/>
  <c r="E261" i="24"/>
  <c r="E262" i="24"/>
  <c r="E263" i="24"/>
  <c r="E264" i="24"/>
  <c r="E265" i="24"/>
  <c r="E266" i="24"/>
  <c r="E267" i="24"/>
  <c r="E268" i="24"/>
  <c r="E269" i="24"/>
  <c r="E270" i="24"/>
  <c r="E271" i="24"/>
  <c r="E272" i="24"/>
  <c r="E273" i="24"/>
  <c r="E274" i="24"/>
  <c r="E275" i="24"/>
  <c r="E276" i="24"/>
  <c r="E277" i="24"/>
  <c r="E278" i="24"/>
  <c r="E279" i="24"/>
  <c r="E280" i="24"/>
  <c r="E281" i="24"/>
  <c r="E282" i="24"/>
  <c r="E283" i="24"/>
  <c r="E284" i="24"/>
  <c r="E285" i="24"/>
  <c r="E286" i="24"/>
  <c r="E287" i="24"/>
  <c r="E288" i="24"/>
  <c r="E289" i="24"/>
  <c r="E290" i="24"/>
  <c r="E291" i="24"/>
  <c r="E292" i="24"/>
  <c r="E293" i="24"/>
  <c r="E294" i="24"/>
  <c r="E295" i="24"/>
  <c r="E296" i="24"/>
  <c r="E297" i="24"/>
  <c r="E298" i="24"/>
  <c r="E299" i="24"/>
  <c r="E300" i="24"/>
  <c r="E301" i="24"/>
  <c r="E302" i="24"/>
  <c r="E303" i="24"/>
  <c r="E304" i="24"/>
  <c r="E305" i="24"/>
  <c r="E306" i="24"/>
  <c r="E307" i="24"/>
  <c r="E308" i="24"/>
  <c r="E309" i="24"/>
  <c r="E310" i="24"/>
  <c r="E311" i="24"/>
  <c r="E312" i="24"/>
  <c r="E313" i="24"/>
  <c r="E314" i="24"/>
  <c r="E315" i="24"/>
  <c r="E316" i="24"/>
  <c r="E317" i="24"/>
  <c r="E318" i="24"/>
  <c r="E319" i="24"/>
  <c r="E320" i="24"/>
  <c r="E321" i="24"/>
  <c r="E322" i="24"/>
  <c r="E323" i="24"/>
  <c r="E324" i="24"/>
  <c r="E325" i="24"/>
  <c r="E326" i="24"/>
  <c r="E327" i="24"/>
  <c r="E328" i="24"/>
  <c r="E329" i="24"/>
  <c r="E330" i="24"/>
  <c r="E331" i="24"/>
  <c r="E332" i="24"/>
  <c r="E333" i="24"/>
  <c r="E334" i="24"/>
  <c r="E335" i="24"/>
  <c r="E336" i="24"/>
  <c r="E337" i="24"/>
  <c r="E338" i="24"/>
  <c r="E339" i="24"/>
  <c r="E340" i="24"/>
  <c r="E341" i="24"/>
  <c r="E342" i="24"/>
  <c r="E343" i="24"/>
  <c r="E344" i="24"/>
  <c r="E345" i="24"/>
  <c r="E346" i="24"/>
  <c r="E347" i="24"/>
  <c r="E348" i="24"/>
  <c r="E349" i="24"/>
  <c r="E350" i="24"/>
  <c r="E351" i="24"/>
  <c r="E352" i="24"/>
  <c r="E353" i="24"/>
  <c r="E354" i="24"/>
  <c r="E355" i="24"/>
  <c r="E356" i="24"/>
  <c r="E357" i="24"/>
  <c r="E358" i="24"/>
  <c r="E359" i="24"/>
  <c r="E360" i="24"/>
  <c r="E361" i="24"/>
  <c r="E362" i="24"/>
  <c r="E363" i="24"/>
  <c r="E364" i="24"/>
  <c r="E365" i="24"/>
  <c r="E366" i="24"/>
  <c r="E367" i="24"/>
  <c r="E368" i="24"/>
  <c r="E369" i="24"/>
  <c r="E370" i="24"/>
  <c r="E371" i="24"/>
  <c r="E372" i="24"/>
  <c r="E373" i="24"/>
  <c r="E374" i="24"/>
  <c r="E375" i="24"/>
  <c r="E376" i="24"/>
  <c r="E377" i="24"/>
  <c r="E378" i="24"/>
  <c r="E379" i="24"/>
  <c r="E380" i="24"/>
  <c r="E381" i="24"/>
  <c r="E382" i="24"/>
  <c r="E383" i="24"/>
  <c r="E384" i="24"/>
  <c r="E385" i="24"/>
  <c r="E386" i="24"/>
  <c r="E387" i="24"/>
  <c r="E388" i="24"/>
  <c r="E389" i="24"/>
  <c r="E390" i="24"/>
  <c r="E391" i="24"/>
  <c r="E392" i="24"/>
  <c r="E393" i="24"/>
  <c r="E394" i="24"/>
  <c r="E395" i="24"/>
  <c r="E396" i="24"/>
  <c r="E397" i="24"/>
  <c r="E398" i="24"/>
  <c r="E399" i="24"/>
  <c r="E400" i="24"/>
  <c r="E401" i="24"/>
  <c r="E402" i="24"/>
  <c r="E403" i="24"/>
  <c r="E404" i="24"/>
  <c r="E405" i="24"/>
  <c r="E406" i="24"/>
  <c r="E407" i="24"/>
  <c r="E408" i="24"/>
  <c r="E409" i="24"/>
  <c r="E410" i="24"/>
  <c r="E411" i="24"/>
  <c r="E412" i="24"/>
  <c r="E413" i="24"/>
  <c r="E414" i="24"/>
  <c r="E415" i="24"/>
  <c r="E416" i="24"/>
  <c r="E417" i="24"/>
  <c r="E418" i="24"/>
  <c r="E419" i="24"/>
  <c r="E420" i="24"/>
  <c r="E421" i="24"/>
  <c r="E422" i="24"/>
  <c r="E423" i="24"/>
  <c r="E424" i="24"/>
  <c r="E425" i="24"/>
  <c r="E426" i="24"/>
  <c r="E427" i="24"/>
  <c r="E428" i="24"/>
  <c r="E429" i="24"/>
  <c r="E430" i="24"/>
  <c r="E431" i="24"/>
  <c r="E432" i="24"/>
  <c r="E433" i="24"/>
  <c r="E434" i="24"/>
  <c r="E435" i="24"/>
  <c r="E436" i="24"/>
  <c r="E437" i="24"/>
  <c r="E438" i="24"/>
  <c r="E439" i="24"/>
  <c r="E440" i="24"/>
  <c r="E441" i="24"/>
  <c r="E442" i="24"/>
  <c r="E443" i="24"/>
  <c r="E444" i="24"/>
  <c r="E445" i="24"/>
  <c r="E446" i="24"/>
  <c r="E447" i="24"/>
  <c r="E448" i="24"/>
  <c r="E449" i="24"/>
  <c r="E450" i="24"/>
  <c r="E451" i="24"/>
  <c r="E452" i="24"/>
  <c r="E453" i="24"/>
  <c r="E454" i="24"/>
  <c r="E455" i="24"/>
  <c r="E456" i="24"/>
  <c r="E457" i="24"/>
  <c r="E458" i="24"/>
  <c r="E459" i="24"/>
  <c r="E460" i="24"/>
  <c r="E461" i="24"/>
  <c r="E462" i="24"/>
  <c r="E463" i="24"/>
  <c r="E464" i="24"/>
  <c r="E465" i="24"/>
  <c r="E466" i="24"/>
  <c r="E467" i="24"/>
  <c r="E468" i="24"/>
  <c r="E469" i="24"/>
  <c r="E470" i="24"/>
  <c r="E471" i="24"/>
  <c r="E472" i="24"/>
  <c r="E473" i="24"/>
  <c r="E474" i="24"/>
  <c r="E475" i="24"/>
  <c r="E476" i="24"/>
  <c r="E477" i="24"/>
  <c r="E478" i="24"/>
  <c r="E479" i="24"/>
  <c r="E480" i="24"/>
  <c r="E481" i="24"/>
  <c r="E482" i="24"/>
  <c r="E483" i="24"/>
  <c r="E484" i="24"/>
  <c r="E485" i="24"/>
  <c r="E486" i="24"/>
  <c r="E487" i="24"/>
  <c r="E488" i="24"/>
  <c r="E489" i="24"/>
  <c r="E490" i="24"/>
  <c r="E491" i="24"/>
  <c r="E492" i="24"/>
  <c r="E493" i="24"/>
  <c r="E494" i="24"/>
  <c r="E495" i="24"/>
  <c r="E496" i="24"/>
  <c r="E497" i="24"/>
  <c r="E498" i="24"/>
  <c r="E499" i="24"/>
  <c r="E500" i="24"/>
  <c r="E501" i="24"/>
  <c r="E502" i="24"/>
  <c r="E503" i="24"/>
  <c r="E504" i="24"/>
  <c r="E505" i="24"/>
  <c r="E506" i="24"/>
  <c r="E507" i="24"/>
  <c r="E508" i="24"/>
  <c r="E509" i="24"/>
  <c r="E510" i="24"/>
  <c r="E511" i="24"/>
  <c r="E512" i="24"/>
  <c r="E513" i="24"/>
  <c r="E514" i="24"/>
  <c r="E515" i="24"/>
  <c r="E516" i="24"/>
  <c r="E517" i="24"/>
  <c r="E518" i="24"/>
  <c r="E519" i="24"/>
  <c r="E520" i="24"/>
  <c r="E521" i="24"/>
  <c r="E522" i="24"/>
  <c r="E523" i="24"/>
  <c r="E524" i="24"/>
  <c r="E525" i="24"/>
  <c r="E526" i="24"/>
  <c r="E527" i="24"/>
  <c r="E528" i="24"/>
  <c r="E529" i="24"/>
  <c r="E530" i="24"/>
  <c r="E531" i="24"/>
  <c r="E532" i="24"/>
  <c r="E533" i="24"/>
  <c r="E534" i="24"/>
  <c r="E535" i="24"/>
  <c r="E536" i="24"/>
  <c r="E537" i="24"/>
  <c r="E538" i="24"/>
  <c r="E539" i="24"/>
  <c r="E540" i="24"/>
  <c r="E541" i="24"/>
  <c r="E542" i="24"/>
  <c r="E543" i="24"/>
  <c r="E544" i="24"/>
  <c r="E545" i="24"/>
  <c r="E546" i="24"/>
  <c r="E547" i="24"/>
  <c r="E548" i="24"/>
  <c r="E549" i="24"/>
  <c r="E550" i="24"/>
  <c r="E551" i="24"/>
  <c r="E552" i="24"/>
  <c r="E553" i="24"/>
  <c r="E554" i="24"/>
  <c r="E555" i="24"/>
  <c r="E556" i="24"/>
  <c r="E557" i="24"/>
  <c r="E558" i="24"/>
  <c r="E559" i="24"/>
  <c r="E560" i="24"/>
  <c r="E561" i="24"/>
  <c r="E562" i="24"/>
  <c r="E563" i="24"/>
  <c r="E564" i="24"/>
  <c r="E565" i="24"/>
  <c r="E566" i="24"/>
  <c r="E567" i="24"/>
  <c r="E568" i="24"/>
  <c r="E569" i="24"/>
  <c r="E570" i="24"/>
  <c r="E571" i="24"/>
  <c r="E572" i="24"/>
  <c r="E573" i="24"/>
  <c r="E574" i="24"/>
  <c r="E575" i="24"/>
  <c r="E576" i="24"/>
  <c r="E577" i="24"/>
  <c r="E578" i="24"/>
  <c r="E579" i="24"/>
  <c r="E580" i="24"/>
  <c r="E581" i="24"/>
  <c r="E582" i="24"/>
  <c r="E583" i="24"/>
  <c r="E584" i="24"/>
  <c r="E585" i="24"/>
  <c r="E586" i="24"/>
  <c r="E587" i="24"/>
  <c r="E588" i="24"/>
  <c r="E589" i="24"/>
  <c r="E590" i="24"/>
  <c r="E591" i="24"/>
  <c r="E592" i="24"/>
  <c r="E593" i="24"/>
  <c r="E594" i="24"/>
  <c r="E595" i="24"/>
  <c r="E596" i="24"/>
  <c r="E597" i="24"/>
  <c r="E598" i="24"/>
  <c r="E599" i="24"/>
  <c r="E600" i="24"/>
  <c r="E601" i="24"/>
  <c r="E602" i="24"/>
  <c r="E603" i="24"/>
  <c r="E604" i="24"/>
  <c r="E605" i="24"/>
  <c r="E606" i="24"/>
  <c r="E607" i="24"/>
  <c r="E608" i="24"/>
  <c r="E609" i="24"/>
  <c r="E610" i="24"/>
  <c r="E611" i="24"/>
  <c r="E612" i="24"/>
  <c r="E613" i="24"/>
  <c r="E614" i="24"/>
  <c r="E615" i="24"/>
  <c r="E616" i="24"/>
  <c r="E617" i="24"/>
  <c r="E618" i="24"/>
  <c r="E619" i="24"/>
  <c r="E620" i="24"/>
  <c r="E621" i="24"/>
  <c r="E622" i="24"/>
  <c r="E623" i="24"/>
  <c r="E624" i="24"/>
  <c r="E625" i="24"/>
  <c r="E626" i="24"/>
  <c r="E627" i="24"/>
  <c r="E628" i="24"/>
  <c r="E629" i="24"/>
  <c r="E630" i="24"/>
  <c r="E631" i="24"/>
  <c r="E632" i="24"/>
  <c r="E633" i="24"/>
  <c r="E634" i="24"/>
  <c r="E635" i="24"/>
  <c r="E636" i="24"/>
  <c r="E637" i="24"/>
  <c r="E638" i="24"/>
  <c r="E639" i="24"/>
  <c r="E640" i="24"/>
  <c r="E641" i="24"/>
  <c r="E2" i="24"/>
  <c r="F638" i="4"/>
  <c r="F639" i="4"/>
  <c r="F640" i="4"/>
  <c r="F64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2" i="4"/>
  <c r="L622" i="4"/>
  <c r="L621" i="4"/>
  <c r="U15" i="2"/>
  <c r="U14" i="2"/>
  <c r="U13" i="2"/>
  <c r="U12" i="2"/>
</calcChain>
</file>

<file path=xl/sharedStrings.xml><?xml version="1.0" encoding="utf-8"?>
<sst xmlns="http://schemas.openxmlformats.org/spreadsheetml/2006/main" count="6118" uniqueCount="423">
  <si>
    <t>Project</t>
  </si>
  <si>
    <t>Purpose</t>
  </si>
  <si>
    <t>Records</t>
  </si>
  <si>
    <t>Recommended Tools</t>
  </si>
  <si>
    <t>Important Note</t>
  </si>
  <si>
    <t>HR Workforce Analytics and Interactive Dashboard System</t>
  </si>
  <si>
    <t>Synthetic project-ready HR dataset for Employee Demographics, Recruitment, Attendance, Leave, Salary, Performance, Attrition and Department-wise Dashboard.</t>
  </si>
  <si>
    <t>300 employees; 3600 monthly attendance records; 640 leave records</t>
  </si>
  <si>
    <t>Excel → MySQL → Power BI; Python/Pandas for optional preprocessing</t>
  </si>
  <si>
    <t>All names and records are synthetic/fictitious and created for academic/project use.</t>
  </si>
  <si>
    <t>Employee_ID</t>
  </si>
  <si>
    <t>Employee_Name</t>
  </si>
  <si>
    <t>Gender</t>
  </si>
  <si>
    <t>Age</t>
  </si>
  <si>
    <t>Department</t>
  </si>
  <si>
    <t>Position</t>
  </si>
  <si>
    <t>Salary</t>
  </si>
  <si>
    <t>Hire_Date</t>
  </si>
  <si>
    <t>Years_of_Service</t>
  </si>
  <si>
    <t>Recruitment_Source</t>
  </si>
  <si>
    <t>Performance_Score</t>
  </si>
  <si>
    <t>Attendance_Percentage</t>
  </si>
  <si>
    <t>Absence_Days</t>
  </si>
  <si>
    <t>Leave_Days</t>
  </si>
  <si>
    <t>Employment_Status</t>
  </si>
  <si>
    <t>Termination_Date</t>
  </si>
  <si>
    <t>Location</t>
  </si>
  <si>
    <t>Employee_001</t>
  </si>
  <si>
    <t>Male</t>
  </si>
  <si>
    <t>Marketing</t>
  </si>
  <si>
    <t>Marketing Executive</t>
  </si>
  <si>
    <t>Campus Recruitment</t>
  </si>
  <si>
    <t>Active</t>
  </si>
  <si>
    <t>North</t>
  </si>
  <si>
    <t>Employee_002</t>
  </si>
  <si>
    <t>IT</t>
  </si>
  <si>
    <t>Data Analyst</t>
  </si>
  <si>
    <t>Indeed</t>
  </si>
  <si>
    <t>Resigned</t>
  </si>
  <si>
    <t>East</t>
  </si>
  <si>
    <t>Employee_003</t>
  </si>
  <si>
    <t>Customer Support</t>
  </si>
  <si>
    <t>Support Executive</t>
  </si>
  <si>
    <t>LinkedIn</t>
  </si>
  <si>
    <t>Central</t>
  </si>
  <si>
    <t>Employee_004</t>
  </si>
  <si>
    <t>Female</t>
  </si>
  <si>
    <t>HR</t>
  </si>
  <si>
    <t>HR Executive</t>
  </si>
  <si>
    <t>Naukri</t>
  </si>
  <si>
    <t>Employee_005</t>
  </si>
  <si>
    <t>Sales</t>
  </si>
  <si>
    <t>Business Development Executive</t>
  </si>
  <si>
    <t>Company Website</t>
  </si>
  <si>
    <t>Employee_006</t>
  </si>
  <si>
    <t>Sales Manager</t>
  </si>
  <si>
    <t>Employee_007</t>
  </si>
  <si>
    <t>Employee_008</t>
  </si>
  <si>
    <t>Finance</t>
  </si>
  <si>
    <t>Financial Analyst</t>
  </si>
  <si>
    <t>South</t>
  </si>
  <si>
    <t>Employee_009</t>
  </si>
  <si>
    <t>Employee_010</t>
  </si>
  <si>
    <t>Employee_011</t>
  </si>
  <si>
    <t>Recruiter</t>
  </si>
  <si>
    <t>Employee_012</t>
  </si>
  <si>
    <t>Marketing Manager</t>
  </si>
  <si>
    <t>Employee_013</t>
  </si>
  <si>
    <t>Employee_014</t>
  </si>
  <si>
    <t>Software Developer</t>
  </si>
  <si>
    <t>Employee_015</t>
  </si>
  <si>
    <t>Customer Success Executive</t>
  </si>
  <si>
    <t>Employee_016</t>
  </si>
  <si>
    <t>Sales Executive</t>
  </si>
  <si>
    <t>Employee_017</t>
  </si>
  <si>
    <t>West</t>
  </si>
  <si>
    <t>Employee_018</t>
  </si>
  <si>
    <t>Employee_019</t>
  </si>
  <si>
    <t>Finance Manager</t>
  </si>
  <si>
    <t>Employee_020</t>
  </si>
  <si>
    <t>Employee_021</t>
  </si>
  <si>
    <t>QA Engineer</t>
  </si>
  <si>
    <t>Employee_022</t>
  </si>
  <si>
    <t>Employee_023</t>
  </si>
  <si>
    <t>Employee_024</t>
  </si>
  <si>
    <t>Operations</t>
  </si>
  <si>
    <t>Operations Manager</t>
  </si>
  <si>
    <t>Employee_025</t>
  </si>
  <si>
    <t>Employee_026</t>
  </si>
  <si>
    <t>HR Manager</t>
  </si>
  <si>
    <t>Employee_027</t>
  </si>
  <si>
    <t>Employee_028</t>
  </si>
  <si>
    <t>Employee_029</t>
  </si>
  <si>
    <t>Digital Marketing Analyst</t>
  </si>
  <si>
    <t>Employee_030</t>
  </si>
  <si>
    <t>Employee_031</t>
  </si>
  <si>
    <t>Support Lead</t>
  </si>
  <si>
    <t>Employee_032</t>
  </si>
  <si>
    <t>Employee Referral</t>
  </si>
  <si>
    <t>Employee_033</t>
  </si>
  <si>
    <t>Employee_034</t>
  </si>
  <si>
    <t>System Administrator</t>
  </si>
  <si>
    <t>Employee_035</t>
  </si>
  <si>
    <t>Operations Executive</t>
  </si>
  <si>
    <t>Employee_036</t>
  </si>
  <si>
    <t>Employee_037</t>
  </si>
  <si>
    <t>Employee_038</t>
  </si>
  <si>
    <t>Employee_039</t>
  </si>
  <si>
    <t>Process Analyst</t>
  </si>
  <si>
    <t>Employee_040</t>
  </si>
  <si>
    <t>Employee_041</t>
  </si>
  <si>
    <t>Employee_042</t>
  </si>
  <si>
    <t>Employee_043</t>
  </si>
  <si>
    <t>Employee_044</t>
  </si>
  <si>
    <t>Employee_045</t>
  </si>
  <si>
    <t>Employee_046</t>
  </si>
  <si>
    <t>Employee_047</t>
  </si>
  <si>
    <t>Employee_048</t>
  </si>
  <si>
    <t>Employee_049</t>
  </si>
  <si>
    <t>Employee_050</t>
  </si>
  <si>
    <t>Employee_051</t>
  </si>
  <si>
    <t>Employee_052</t>
  </si>
  <si>
    <t>Employee_053</t>
  </si>
  <si>
    <t>Employee_054</t>
  </si>
  <si>
    <t>Employee_055</t>
  </si>
  <si>
    <t>Employee_056</t>
  </si>
  <si>
    <t>Employee_057</t>
  </si>
  <si>
    <t>Employee_058</t>
  </si>
  <si>
    <t>Employee_059</t>
  </si>
  <si>
    <t>Employee_060</t>
  </si>
  <si>
    <t>Employee_061</t>
  </si>
  <si>
    <t>Employee_062</t>
  </si>
  <si>
    <t>Employee_063</t>
  </si>
  <si>
    <t>Employee_064</t>
  </si>
  <si>
    <t>Employee_065</t>
  </si>
  <si>
    <t>Employee_066</t>
  </si>
  <si>
    <t>Accountant</t>
  </si>
  <si>
    <t>Employee_067</t>
  </si>
  <si>
    <t>Employee_068</t>
  </si>
  <si>
    <t>Employee_069</t>
  </si>
  <si>
    <t>Employee_070</t>
  </si>
  <si>
    <t>Employee_071</t>
  </si>
  <si>
    <t>Employee_072</t>
  </si>
  <si>
    <t>Employee_073</t>
  </si>
  <si>
    <t>Employee_074</t>
  </si>
  <si>
    <t>Employee_075</t>
  </si>
  <si>
    <t>Employee_076</t>
  </si>
  <si>
    <t>Employee_077</t>
  </si>
  <si>
    <t>Employee_078</t>
  </si>
  <si>
    <t>Employee_079</t>
  </si>
  <si>
    <t>Employee_080</t>
  </si>
  <si>
    <t>Employee_081</t>
  </si>
  <si>
    <t>Employee_082</t>
  </si>
  <si>
    <t>Employee_083</t>
  </si>
  <si>
    <t>Employee_084</t>
  </si>
  <si>
    <t>Employee_085</t>
  </si>
  <si>
    <t>Employee_086</t>
  </si>
  <si>
    <t>Employee_087</t>
  </si>
  <si>
    <t>Employee_088</t>
  </si>
  <si>
    <t>Employee_089</t>
  </si>
  <si>
    <t>Employee_090</t>
  </si>
  <si>
    <t>Employee_091</t>
  </si>
  <si>
    <t>Employee_092</t>
  </si>
  <si>
    <t>Employee_093</t>
  </si>
  <si>
    <t>Employee_094</t>
  </si>
  <si>
    <t>Employee_095</t>
  </si>
  <si>
    <t>Employee_096</t>
  </si>
  <si>
    <t>Employee_097</t>
  </si>
  <si>
    <t>Employee_098</t>
  </si>
  <si>
    <t>Employee_099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</si>
  <si>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</si>
  <si>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</si>
  <si>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</si>
  <si>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</si>
  <si>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</si>
  <si>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</si>
  <si>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</si>
  <si>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</si>
  <si>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</si>
  <si>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</si>
  <si>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</si>
  <si>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</si>
  <si>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</si>
  <si>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</si>
  <si>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</si>
  <si>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</si>
  <si>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</si>
  <si>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</si>
  <si>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</si>
  <si>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</si>
  <si>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</si>
  <si>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</si>
  <si>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</si>
  <si>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</si>
  <si>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</si>
  <si>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</si>
  <si>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</si>
  <si>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</si>
  <si>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</si>
  <si>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</si>
  <si>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</si>
  <si>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</si>
  <si>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</si>
  <si>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</si>
  <si>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</si>
  <si>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</si>
  <si>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</si>
  <si>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</si>
  <si>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</si>
  <si>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</si>
  <si>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</si>
  <si>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</si>
  <si>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</si>
  <si>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</si>
  <si>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</si>
  <si>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</si>
  <si>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</si>
  <si>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</si>
  <si>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</si>
  <si>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</si>
  <si>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</si>
  <si>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</si>
  <si>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</si>
  <si>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</si>
  <si>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</si>
  <si>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</si>
  <si>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</si>
  <si>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</si>
  <si>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</si>
  <si>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</si>
  <si>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</si>
  <si>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</si>
  <si>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</si>
  <si>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</si>
  <si>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</si>
  <si>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</si>
  <si>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</si>
  <si>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</si>
  <si>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</si>
  <si>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</si>
  <si>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</si>
  <si>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</si>
  <si>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</si>
  <si>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</si>
  <si>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</si>
  <si>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</si>
  <si>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</si>
  <si>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</si>
  <si>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</si>
  <si>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</si>
  <si>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</si>
  <si>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</si>
  <si>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</si>
  <si>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</si>
  <si>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</si>
  <si>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</si>
  <si>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</si>
  <si>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</si>
  <si>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</si>
  <si>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</si>
  <si>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</si>
  <si>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</si>
  <si>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</si>
  <si>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</si>
  <si>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</si>
  <si>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</si>
  <si>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</si>
  <si>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</si>
  <si>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</si>
  <si>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</si>
  <si>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</si>
  <si>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</si>
  <si>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</si>
  <si>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</si>
  <si>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</si>
  <si>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</si>
  <si>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</si>
  <si>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</si>
  <si>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</si>
  <si>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</si>
  <si>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</si>
  <si>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</si>
  <si>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</si>
  <si>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</si>
  <si>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</si>
  <si>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</si>
  <si>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</si>
  <si>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</si>
  <si>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</si>
  <si>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</si>
  <si>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</si>
  <si>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</si>
  <si>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</si>
  <si>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</si>
  <si>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</si>
  <si>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</si>
  <si>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</si>
  <si>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</si>
  <si>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</si>
  <si>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</si>
  <si>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</si>
  <si>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</si>
  <si>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</si>
  <si>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</si>
  <si>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</si>
  <si>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</si>
  <si>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</si>
  <si>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</si>
  <si>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</si>
  <si>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</si>
  <si>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</si>
  <si>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</si>
  <si>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</si>
  <si>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</si>
  <si>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</si>
  <si>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</si>
  <si>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</si>
  <si>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</si>
  <si>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</si>
  <si>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</si>
  <si>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</si>
  <si>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</si>
  <si>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</si>
  <si>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</si>
  <si>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</si>
  <si>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</si>
  <si>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</si>
  <si>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</si>
  <si>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</si>
  <si>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</si>
  <si>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</si>
  <si>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</si>
  <si>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</si>
  <si>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</si>
  <si>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</si>
  <si>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</si>
  <si>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</si>
  <si>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</si>
  <si>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</si>
  <si>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</si>
  <si>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</si>
  <si>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</si>
  <si>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</si>
  <si>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</si>
  <si>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</si>
  <si>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</si>
  <si>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</si>
  <si>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</si>
  <si>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</si>
  <si>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</si>
  <si>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</si>
  <si>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</si>
  <si>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</si>
  <si>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</si>
  <si>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</si>
  <si>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</si>
  <si>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</si>
  <si>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</si>
  <si>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</si>
  <si>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</si>
  <si>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</si>
  <si>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</si>
  <si>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</si>
  <si>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</si>
  <si>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</si>
  <si>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</si>
  <si>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</si>
  <si>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</si>
  <si>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</si>
  <si>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</si>
  <si>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</si>
  <si>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Month</t>
  </si>
  <si>
    <t>Working_Days</t>
  </si>
  <si>
    <t>Present_Days</t>
  </si>
  <si>
    <t>Absent_Days</t>
  </si>
  <si>
    <t>Late_Days</t>
  </si>
  <si>
    <t>Leave_ID</t>
  </si>
  <si>
    <t>Leave_Date</t>
  </si>
  <si>
    <t>Leave_Type</t>
  </si>
  <si>
    <t>Status</t>
  </si>
  <si>
    <t>Sick Leave</t>
  </si>
  <si>
    <t>Approved</t>
  </si>
  <si>
    <t>Emergency Leave</t>
  </si>
  <si>
    <t>Annual Leave</t>
  </si>
  <si>
    <t>Casual Leave</t>
  </si>
  <si>
    <t>Rejected</t>
  </si>
  <si>
    <t>Pending</t>
  </si>
  <si>
    <t>Total_Hires</t>
  </si>
  <si>
    <t>Average_Performance</t>
  </si>
  <si>
    <t>Average_Salary</t>
  </si>
  <si>
    <t>Row Labels</t>
  </si>
  <si>
    <t>Grand Total</t>
  </si>
  <si>
    <t>Average of Salary</t>
  </si>
  <si>
    <t>Average Salary</t>
  </si>
  <si>
    <t>Median salary</t>
  </si>
  <si>
    <t>Maximum salary</t>
  </si>
  <si>
    <t>Minimum Salary</t>
  </si>
  <si>
    <t>EMPLOYEE COMPENSATION &amp; SALARY ANALYTICS</t>
  </si>
  <si>
    <t>LEAVE REQUESTS</t>
  </si>
  <si>
    <t>LEAVE DAYS</t>
  </si>
  <si>
    <t>Column1</t>
  </si>
  <si>
    <t>Column2</t>
  </si>
  <si>
    <t>Sum of Leave_ID</t>
  </si>
  <si>
    <t>Count of Leave_ID</t>
  </si>
  <si>
    <t>Sum of Leave_Days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</si>
  <si>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</si>
  <si>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</si>
  <si>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</si>
  <si>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</si>
  <si>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</si>
  <si>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</si>
  <si>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</si>
  <si>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</si>
  <si>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</si>
  <si>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</si>
  <si>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</si>
  <si>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</si>
  <si>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 Found</t>
  </si>
  <si>
    <t>Average</t>
  </si>
  <si>
    <t>Percentage</t>
  </si>
  <si>
    <t>Sum of Percentage</t>
  </si>
  <si>
    <t>Count of Leave_Days</t>
  </si>
  <si>
    <t>EMPLOYEE LEAVE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</si>
</sst>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50"/>
      <color theme="0"/>
      <name val="Calibri"/>
      <family val="2"/>
      <scheme val="minor"/>
    </font>
    <font>
      <b/>
      <sz val="11"/>
      <name val="Calibri"/>
      <family val="2"/>
    </font>
    <font>
      <b/>
      <sz val="7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5" borderId="3" xfId="0" applyFill="1" applyBorder="1"/>
    <xf numFmtId="0" fontId="0" fillId="6" borderId="3" xfId="0" applyFill="1" applyBorder="1"/>
    <xf numFmtId="0" fontId="0" fillId="5" borderId="5" xfId="0" applyFill="1" applyBorder="1"/>
    <xf numFmtId="0" fontId="0" fillId="6" borderId="5" xfId="0" applyFill="1" applyBorder="1"/>
    <xf numFmtId="0" fontId="0" fillId="5" borderId="4" xfId="0" applyFill="1" applyBorder="1"/>
    <xf numFmtId="0" fontId="0" fillId="6" borderId="4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3" fillId="0" borderId="2" xfId="0" applyFont="1" applyBorder="1" applyAlignment="1">
      <alignment horizontal="center"/>
    </xf>
    <xf numFmtId="164" fontId="0" fillId="5" borderId="3" xfId="0" applyNumberFormat="1" applyFill="1" applyBorder="1"/>
    <xf numFmtId="164" fontId="0" fillId="6" borderId="3" xfId="0" applyNumberFormat="1" applyFill="1" applyBorder="1"/>
    <xf numFmtId="164" fontId="0" fillId="6" borderId="7" xfId="0" applyNumberFormat="1" applyFill="1" applyBorder="1"/>
    <xf numFmtId="0" fontId="3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7" borderId="0" xfId="0" applyFill="1"/>
    <xf numFmtId="0" fontId="2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2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by position!PivotTable3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AVERAGE</a:t>
            </a:r>
            <a:r>
              <a:rPr lang="en-IN" b="1" baseline="0">
                <a:solidFill>
                  <a:schemeClr val="tx1"/>
                </a:solidFill>
              </a:rPr>
              <a:t> SALARY BY POSITION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position'!$B$3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by position'!$A$4:$A$26</c:f>
              <c:strCache>
                <c:ptCount val="22"/>
                <c:pt idx="0">
                  <c:v>Accountant</c:v>
                </c:pt>
                <c:pt idx="1">
                  <c:v>Business Development Executive</c:v>
                </c:pt>
                <c:pt idx="2">
                  <c:v>Customer Success Executive</c:v>
                </c:pt>
                <c:pt idx="3">
                  <c:v>Data Analyst</c:v>
                </c:pt>
                <c:pt idx="4">
                  <c:v>Digital Marketing Analyst</c:v>
                </c:pt>
                <c:pt idx="5">
                  <c:v>Finance Manager</c:v>
                </c:pt>
                <c:pt idx="6">
                  <c:v>Financial Analyst</c:v>
                </c:pt>
                <c:pt idx="7">
                  <c:v>HR Executive</c:v>
                </c:pt>
                <c:pt idx="8">
                  <c:v>HR Manager</c:v>
                </c:pt>
                <c:pt idx="9">
                  <c:v>Marketing Executive</c:v>
                </c:pt>
                <c:pt idx="10">
                  <c:v>Marketing Manager</c:v>
                </c:pt>
                <c:pt idx="11">
                  <c:v>Operations Executive</c:v>
                </c:pt>
                <c:pt idx="12">
                  <c:v>Operations Manager</c:v>
                </c:pt>
                <c:pt idx="13">
                  <c:v>Process Analyst</c:v>
                </c:pt>
                <c:pt idx="14">
                  <c:v>QA Engineer</c:v>
                </c:pt>
                <c:pt idx="15">
                  <c:v>Recruiter</c:v>
                </c:pt>
                <c:pt idx="16">
                  <c:v>Sales Executive</c:v>
                </c:pt>
                <c:pt idx="17">
                  <c:v>Sales Manager</c:v>
                </c:pt>
                <c:pt idx="18">
                  <c:v>Software Developer</c:v>
                </c:pt>
                <c:pt idx="19">
                  <c:v>Support Executive</c:v>
                </c:pt>
                <c:pt idx="20">
                  <c:v>Support Lead</c:v>
                </c:pt>
                <c:pt idx="21">
                  <c:v>System Administrator</c:v>
                </c:pt>
              </c:strCache>
            </c:strRef>
          </c:cat>
          <c:val>
            <c:numRef>
              <c:f>'Average salary by position'!$B$4:$B$26</c:f>
              <c:numCache>
                <c:formatCode>General</c:formatCode>
                <c:ptCount val="22"/>
                <c:pt idx="0">
                  <c:v>52466.666666666664</c:v>
                </c:pt>
                <c:pt idx="1">
                  <c:v>41562.5</c:v>
                </c:pt>
                <c:pt idx="2">
                  <c:v>34285.714285714283</c:v>
                </c:pt>
                <c:pt idx="3">
                  <c:v>60800</c:v>
                </c:pt>
                <c:pt idx="4">
                  <c:v>49125</c:v>
                </c:pt>
                <c:pt idx="5">
                  <c:v>51571.428571428572</c:v>
                </c:pt>
                <c:pt idx="6">
                  <c:v>55500</c:v>
                </c:pt>
                <c:pt idx="7">
                  <c:v>45750</c:v>
                </c:pt>
                <c:pt idx="8">
                  <c:v>44250</c:v>
                </c:pt>
                <c:pt idx="9">
                  <c:v>47846.153846153844</c:v>
                </c:pt>
                <c:pt idx="10">
                  <c:v>41000</c:v>
                </c:pt>
                <c:pt idx="11">
                  <c:v>41333.333333333336</c:v>
                </c:pt>
                <c:pt idx="12">
                  <c:v>36888.888888888891</c:v>
                </c:pt>
                <c:pt idx="13">
                  <c:v>34416.666666666664</c:v>
                </c:pt>
                <c:pt idx="14">
                  <c:v>48357.142857142855</c:v>
                </c:pt>
                <c:pt idx="15">
                  <c:v>44750</c:v>
                </c:pt>
                <c:pt idx="16">
                  <c:v>40600</c:v>
                </c:pt>
                <c:pt idx="17">
                  <c:v>45235.294117647056</c:v>
                </c:pt>
                <c:pt idx="18">
                  <c:v>56076.923076923078</c:v>
                </c:pt>
                <c:pt idx="19">
                  <c:v>35928.571428571428</c:v>
                </c:pt>
                <c:pt idx="20">
                  <c:v>34333.333333333336</c:v>
                </c:pt>
                <c:pt idx="21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0-4675-BC0C-35C3F6C69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18511"/>
        <c:axId val="72204847"/>
      </c:barChart>
      <c:catAx>
        <c:axId val="14661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4847"/>
        <c:crosses val="autoZero"/>
        <c:auto val="1"/>
        <c:lblAlgn val="ctr"/>
        <c:lblOffset val="100"/>
        <c:noMultiLvlLbl val="0"/>
      </c:catAx>
      <c:valAx>
        <c:axId val="7220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>
                <a:solidFill>
                  <a:schemeClr val="tx1"/>
                </a:solidFill>
              </a:rPr>
              <a:t>Salary vs exprience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Employee_Master!$G$2:$H$301</c:f>
              <c:multiLvlStrCache>
                <c:ptCount val="300"/>
                <c:lvl>
                  <c:pt idx="0">
                    <c:v>2021-09-30</c:v>
                  </c:pt>
                  <c:pt idx="1">
                    <c:v>2025-10-01</c:v>
                  </c:pt>
                  <c:pt idx="2">
                    <c:v>2022-10-25</c:v>
                  </c:pt>
                  <c:pt idx="3">
                    <c:v>2020-05-26</c:v>
                  </c:pt>
                  <c:pt idx="4">
                    <c:v>2026-06-01</c:v>
                  </c:pt>
                  <c:pt idx="5">
                    <c:v>2026-07-08</c:v>
                  </c:pt>
                  <c:pt idx="6">
                    <c:v>2023-04-04</c:v>
                  </c:pt>
                  <c:pt idx="7">
                    <c:v>2025-05-12</c:v>
                  </c:pt>
                  <c:pt idx="8">
                    <c:v>2025-01-16</c:v>
                  </c:pt>
                  <c:pt idx="9">
                    <c:v>2026-01-14</c:v>
                  </c:pt>
                  <c:pt idx="10">
                    <c:v>2026-08-24</c:v>
                  </c:pt>
                  <c:pt idx="11">
                    <c:v>2021-01-01</c:v>
                  </c:pt>
                  <c:pt idx="12">
                    <c:v>2024-06-24</c:v>
                  </c:pt>
                  <c:pt idx="13">
                    <c:v>2024-12-21</c:v>
                  </c:pt>
                  <c:pt idx="14">
                    <c:v>2025-01-17</c:v>
                  </c:pt>
                  <c:pt idx="15">
                    <c:v>2019-03-28</c:v>
                  </c:pt>
                  <c:pt idx="16">
                    <c:v>2024-10-06</c:v>
                  </c:pt>
                  <c:pt idx="17">
                    <c:v>2022-12-22</c:v>
                  </c:pt>
                  <c:pt idx="18">
                    <c:v>2021-10-15</c:v>
                  </c:pt>
                  <c:pt idx="19">
                    <c:v>2021-08-26</c:v>
                  </c:pt>
                  <c:pt idx="20">
                    <c:v>2022-03-14</c:v>
                  </c:pt>
                  <c:pt idx="21">
                    <c:v>2019-07-25</c:v>
                  </c:pt>
                  <c:pt idx="22">
                    <c:v>2020-05-06</c:v>
                  </c:pt>
                  <c:pt idx="23">
                    <c:v>2026-07-06</c:v>
                  </c:pt>
                  <c:pt idx="24">
                    <c:v>2025-12-19</c:v>
                  </c:pt>
                  <c:pt idx="25">
                    <c:v>2025-02-03</c:v>
                  </c:pt>
                  <c:pt idx="26">
                    <c:v>2025-03-16</c:v>
                  </c:pt>
                  <c:pt idx="27">
                    <c:v>2019-01-15</c:v>
                  </c:pt>
                  <c:pt idx="28">
                    <c:v>2019-11-05</c:v>
                  </c:pt>
                  <c:pt idx="29">
                    <c:v>2019-06-13</c:v>
                  </c:pt>
                  <c:pt idx="30">
                    <c:v>2020-10-27</c:v>
                  </c:pt>
                  <c:pt idx="31">
                    <c:v>2019-06-08</c:v>
                  </c:pt>
                  <c:pt idx="32">
                    <c:v>2022-02-15</c:v>
                  </c:pt>
                  <c:pt idx="33">
                    <c:v>2021-12-23</c:v>
                  </c:pt>
                  <c:pt idx="34">
                    <c:v>2021-02-17</c:v>
                  </c:pt>
                  <c:pt idx="35">
                    <c:v>2022-05-15</c:v>
                  </c:pt>
                  <c:pt idx="36">
                    <c:v>2026-08-06</c:v>
                  </c:pt>
                  <c:pt idx="37">
                    <c:v>2023-12-15</c:v>
                  </c:pt>
                  <c:pt idx="38">
                    <c:v>2021-08-20</c:v>
                  </c:pt>
                  <c:pt idx="39">
                    <c:v>2024-07-17</c:v>
                  </c:pt>
                  <c:pt idx="40">
                    <c:v>2025-04-02</c:v>
                  </c:pt>
                  <c:pt idx="41">
                    <c:v>2024-01-01</c:v>
                  </c:pt>
                  <c:pt idx="42">
                    <c:v>2022-01-29</c:v>
                  </c:pt>
                  <c:pt idx="43">
                    <c:v>2023-08-27</c:v>
                  </c:pt>
                  <c:pt idx="44">
                    <c:v>2023-04-08</c:v>
                  </c:pt>
                  <c:pt idx="45">
                    <c:v>2023-11-21</c:v>
                  </c:pt>
                  <c:pt idx="46">
                    <c:v>2025-08-21</c:v>
                  </c:pt>
                  <c:pt idx="47">
                    <c:v>2022-10-14</c:v>
                  </c:pt>
                  <c:pt idx="48">
                    <c:v>2021-07-07</c:v>
                  </c:pt>
                  <c:pt idx="49">
                    <c:v>2021-06-11</c:v>
                  </c:pt>
                  <c:pt idx="50">
                    <c:v>2025-06-16</c:v>
                  </c:pt>
                  <c:pt idx="51">
                    <c:v>2019-06-18</c:v>
                  </c:pt>
                  <c:pt idx="52">
                    <c:v>2023-11-11</c:v>
                  </c:pt>
                  <c:pt idx="53">
                    <c:v>2023-11-20</c:v>
                  </c:pt>
                  <c:pt idx="54">
                    <c:v>2019-04-28</c:v>
                  </c:pt>
                  <c:pt idx="55">
                    <c:v>2023-07-23</c:v>
                  </c:pt>
                  <c:pt idx="56">
                    <c:v>2021-06-26</c:v>
                  </c:pt>
                  <c:pt idx="57">
                    <c:v>2022-06-09</c:v>
                  </c:pt>
                  <c:pt idx="58">
                    <c:v>2025-08-11</c:v>
                  </c:pt>
                  <c:pt idx="59">
                    <c:v>2019-07-06</c:v>
                  </c:pt>
                  <c:pt idx="60">
                    <c:v>2024-05-14</c:v>
                  </c:pt>
                  <c:pt idx="61">
                    <c:v>2025-04-24</c:v>
                  </c:pt>
                  <c:pt idx="62">
                    <c:v>2023-04-08</c:v>
                  </c:pt>
                  <c:pt idx="63">
                    <c:v>2021-12-19</c:v>
                  </c:pt>
                  <c:pt idx="64">
                    <c:v>2019-05-14</c:v>
                  </c:pt>
                  <c:pt idx="65">
                    <c:v>2021-12-24</c:v>
                  </c:pt>
                  <c:pt idx="66">
                    <c:v>2023-07-07</c:v>
                  </c:pt>
                  <c:pt idx="67">
                    <c:v>2026-07-24</c:v>
                  </c:pt>
                  <c:pt idx="68">
                    <c:v>2026-04-22</c:v>
                  </c:pt>
                  <c:pt idx="69">
                    <c:v>2022-09-12</c:v>
                  </c:pt>
                  <c:pt idx="70">
                    <c:v>2023-07-14</c:v>
                  </c:pt>
                  <c:pt idx="71">
                    <c:v>2019-07-31</c:v>
                  </c:pt>
                  <c:pt idx="72">
                    <c:v>2025-03-06</c:v>
                  </c:pt>
                  <c:pt idx="73">
                    <c:v>2024-05-30</c:v>
                  </c:pt>
                  <c:pt idx="74">
                    <c:v>2022-10-24</c:v>
                  </c:pt>
                  <c:pt idx="75">
                    <c:v>2022-09-23</c:v>
                  </c:pt>
                  <c:pt idx="76">
                    <c:v>2022-07-27</c:v>
                  </c:pt>
                  <c:pt idx="77">
                    <c:v>2020-02-13</c:v>
                  </c:pt>
                  <c:pt idx="78">
                    <c:v>2026-04-15</c:v>
                  </c:pt>
                  <c:pt idx="79">
                    <c:v>2021-07-20</c:v>
                  </c:pt>
                  <c:pt idx="80">
                    <c:v>2019-07-08</c:v>
                  </c:pt>
                  <c:pt idx="81">
                    <c:v>2025-12-13</c:v>
                  </c:pt>
                  <c:pt idx="82">
                    <c:v>2022-03-24</c:v>
                  </c:pt>
                  <c:pt idx="83">
                    <c:v>2024-06-02</c:v>
                  </c:pt>
                  <c:pt idx="84">
                    <c:v>2019-02-03</c:v>
                  </c:pt>
                  <c:pt idx="85">
                    <c:v>2025-12-18</c:v>
                  </c:pt>
                  <c:pt idx="86">
                    <c:v>2023-02-03</c:v>
                  </c:pt>
                  <c:pt idx="87">
                    <c:v>2021-11-18</c:v>
                  </c:pt>
                  <c:pt idx="88">
                    <c:v>2025-04-01</c:v>
                  </c:pt>
                  <c:pt idx="89">
                    <c:v>2026-07-27</c:v>
                  </c:pt>
                  <c:pt idx="90">
                    <c:v>2020-04-22</c:v>
                  </c:pt>
                  <c:pt idx="91">
                    <c:v>2020-09-24</c:v>
                  </c:pt>
                  <c:pt idx="92">
                    <c:v>2023-12-27</c:v>
                  </c:pt>
                  <c:pt idx="93">
                    <c:v>2026-06-07</c:v>
                  </c:pt>
                  <c:pt idx="94">
                    <c:v>2025-03-20</c:v>
                  </c:pt>
                  <c:pt idx="95">
                    <c:v>2020-03-26</c:v>
                  </c:pt>
                  <c:pt idx="96">
                    <c:v>2020-06-03</c:v>
                  </c:pt>
                  <c:pt idx="97">
                    <c:v>2022-05-20</c:v>
                  </c:pt>
                  <c:pt idx="98">
                    <c:v>2019-11-27</c:v>
                  </c:pt>
                  <c:pt idx="99">
                    <c:v>2025-10-15</c:v>
                  </c:pt>
                  <c:pt idx="100">
                    <c:v>2022-10-20</c:v>
                  </c:pt>
                  <c:pt idx="101">
                    <c:v>2019-12-16</c:v>
                  </c:pt>
                  <c:pt idx="102">
                    <c:v>2023-08-10</c:v>
                  </c:pt>
                  <c:pt idx="103">
                    <c:v>2021-07-07</c:v>
                  </c:pt>
                  <c:pt idx="104">
                    <c:v>2019-04-29</c:v>
                  </c:pt>
                  <c:pt idx="105">
                    <c:v>2024-12-12</c:v>
                  </c:pt>
                  <c:pt idx="106">
                    <c:v>2020-09-29</c:v>
                  </c:pt>
                  <c:pt idx="107">
                    <c:v>2023-10-27</c:v>
                  </c:pt>
                  <c:pt idx="108">
                    <c:v>2021-04-17</c:v>
                  </c:pt>
                  <c:pt idx="109">
                    <c:v>2021-07-31</c:v>
                  </c:pt>
                  <c:pt idx="110">
                    <c:v>2025-06-16</c:v>
                  </c:pt>
                  <c:pt idx="111">
                    <c:v>2023-11-24</c:v>
                  </c:pt>
                  <c:pt idx="112">
                    <c:v>2020-11-19</c:v>
                  </c:pt>
                  <c:pt idx="113">
                    <c:v>2020-12-11</c:v>
                  </c:pt>
                  <c:pt idx="114">
                    <c:v>2026-03-18</c:v>
                  </c:pt>
                  <c:pt idx="115">
                    <c:v>2019-08-19</c:v>
                  </c:pt>
                  <c:pt idx="116">
                    <c:v>2025-11-24</c:v>
                  </c:pt>
                  <c:pt idx="117">
                    <c:v>2024-01-20</c:v>
                  </c:pt>
                  <c:pt idx="118">
                    <c:v>2024-11-16</c:v>
                  </c:pt>
                  <c:pt idx="119">
                    <c:v>2026-08-10</c:v>
                  </c:pt>
                  <c:pt idx="120">
                    <c:v>2026-05-11</c:v>
                  </c:pt>
                  <c:pt idx="121">
                    <c:v>2024-09-13</c:v>
                  </c:pt>
                  <c:pt idx="122">
                    <c:v>2022-04-26</c:v>
                  </c:pt>
                  <c:pt idx="123">
                    <c:v>2026-01-02</c:v>
                  </c:pt>
                  <c:pt idx="124">
                    <c:v>2021-08-16</c:v>
                  </c:pt>
                  <c:pt idx="125">
                    <c:v>2024-11-30</c:v>
                  </c:pt>
                  <c:pt idx="126">
                    <c:v>2020-02-25</c:v>
                  </c:pt>
                  <c:pt idx="127">
                    <c:v>2024-01-22</c:v>
                  </c:pt>
                  <c:pt idx="128">
                    <c:v>2021-07-08</c:v>
                  </c:pt>
                  <c:pt idx="129">
                    <c:v>2025-11-25</c:v>
                  </c:pt>
                  <c:pt idx="130">
                    <c:v>2021-08-31</c:v>
                  </c:pt>
                  <c:pt idx="131">
                    <c:v>2022-04-08</c:v>
                  </c:pt>
                  <c:pt idx="132">
                    <c:v>2025-02-06</c:v>
                  </c:pt>
                  <c:pt idx="133">
                    <c:v>2019-10-04</c:v>
                  </c:pt>
                  <c:pt idx="134">
                    <c:v>2026-09-05</c:v>
                  </c:pt>
                  <c:pt idx="135">
                    <c:v>2019-06-21</c:v>
                  </c:pt>
                  <c:pt idx="136">
                    <c:v>2023-01-02</c:v>
                  </c:pt>
                  <c:pt idx="137">
                    <c:v>2023-02-13</c:v>
                  </c:pt>
                  <c:pt idx="138">
                    <c:v>2020-02-25</c:v>
                  </c:pt>
                  <c:pt idx="139">
                    <c:v>2022-01-29</c:v>
                  </c:pt>
                  <c:pt idx="140">
                    <c:v>2020-08-07</c:v>
                  </c:pt>
                  <c:pt idx="141">
                    <c:v>2023-02-28</c:v>
                  </c:pt>
                  <c:pt idx="142">
                    <c:v>2019-04-17</c:v>
                  </c:pt>
                  <c:pt idx="143">
                    <c:v>2020-05-17</c:v>
                  </c:pt>
                  <c:pt idx="144">
                    <c:v>2025-01-29</c:v>
                  </c:pt>
                  <c:pt idx="145">
                    <c:v>2019-04-18</c:v>
                  </c:pt>
                  <c:pt idx="146">
                    <c:v>2023-08-10</c:v>
                  </c:pt>
                  <c:pt idx="147">
                    <c:v>2023-11-08</c:v>
                  </c:pt>
                  <c:pt idx="148">
                    <c:v>2024-10-26</c:v>
                  </c:pt>
                  <c:pt idx="149">
                    <c:v>2025-07-06</c:v>
                  </c:pt>
                  <c:pt idx="150">
                    <c:v>2023-09-03</c:v>
                  </c:pt>
                  <c:pt idx="151">
                    <c:v>2023-12-06</c:v>
                  </c:pt>
                  <c:pt idx="152">
                    <c:v>2023-02-26</c:v>
                  </c:pt>
                  <c:pt idx="153">
                    <c:v>2020-10-16</c:v>
                  </c:pt>
                  <c:pt idx="154">
                    <c:v>2024-07-30</c:v>
                  </c:pt>
                  <c:pt idx="155">
                    <c:v>2025-01-07</c:v>
                  </c:pt>
                  <c:pt idx="156">
                    <c:v>2025-05-24</c:v>
                  </c:pt>
                  <c:pt idx="157">
                    <c:v>2025-04-03</c:v>
                  </c:pt>
                  <c:pt idx="158">
                    <c:v>2022-09-26</c:v>
                  </c:pt>
                  <c:pt idx="159">
                    <c:v>2022-10-09</c:v>
                  </c:pt>
                  <c:pt idx="160">
                    <c:v>2026-07-22</c:v>
                  </c:pt>
                  <c:pt idx="161">
                    <c:v>2024-05-21</c:v>
                  </c:pt>
                  <c:pt idx="162">
                    <c:v>2019-03-19</c:v>
                  </c:pt>
                  <c:pt idx="163">
                    <c:v>2024-11-22</c:v>
                  </c:pt>
                  <c:pt idx="164">
                    <c:v>2021-02-26</c:v>
                  </c:pt>
                  <c:pt idx="165">
                    <c:v>2022-01-25</c:v>
                  </c:pt>
                  <c:pt idx="166">
                    <c:v>2023-12-17</c:v>
                  </c:pt>
                  <c:pt idx="167">
                    <c:v>2026-07-06</c:v>
                  </c:pt>
                  <c:pt idx="168">
                    <c:v>2019-01-22</c:v>
                  </c:pt>
                  <c:pt idx="169">
                    <c:v>2026-04-25</c:v>
                  </c:pt>
                  <c:pt idx="170">
                    <c:v>2022-03-31</c:v>
                  </c:pt>
                  <c:pt idx="171">
                    <c:v>2021-02-28</c:v>
                  </c:pt>
                  <c:pt idx="172">
                    <c:v>2026-07-25</c:v>
                  </c:pt>
                  <c:pt idx="173">
                    <c:v>2024-05-09</c:v>
                  </c:pt>
                  <c:pt idx="174">
                    <c:v>2026-05-01</c:v>
                  </c:pt>
                  <c:pt idx="175">
                    <c:v>2025-11-22</c:v>
                  </c:pt>
                  <c:pt idx="176">
                    <c:v>2026-06-13</c:v>
                  </c:pt>
                  <c:pt idx="177">
                    <c:v>2024-09-01</c:v>
                  </c:pt>
                  <c:pt idx="178">
                    <c:v>2024-09-21</c:v>
                  </c:pt>
                  <c:pt idx="179">
                    <c:v>2025-06-26</c:v>
                  </c:pt>
                  <c:pt idx="180">
                    <c:v>2020-07-08</c:v>
                  </c:pt>
                  <c:pt idx="181">
                    <c:v>2020-04-30</c:v>
                  </c:pt>
                  <c:pt idx="182">
                    <c:v>2023-04-03</c:v>
                  </c:pt>
                  <c:pt idx="183">
                    <c:v>2019-10-03</c:v>
                  </c:pt>
                  <c:pt idx="184">
                    <c:v>2021-06-08</c:v>
                  </c:pt>
                  <c:pt idx="185">
                    <c:v>2022-05-21</c:v>
                  </c:pt>
                  <c:pt idx="186">
                    <c:v>2025-03-26</c:v>
                  </c:pt>
                  <c:pt idx="187">
                    <c:v>2024-04-23</c:v>
                  </c:pt>
                  <c:pt idx="188">
                    <c:v>2021-09-21</c:v>
                  </c:pt>
                  <c:pt idx="189">
                    <c:v>2021-02-09</c:v>
                  </c:pt>
                  <c:pt idx="190">
                    <c:v>2024-05-15</c:v>
                  </c:pt>
                  <c:pt idx="191">
                    <c:v>2021-12-07</c:v>
                  </c:pt>
                  <c:pt idx="192">
                    <c:v>2019-07-07</c:v>
                  </c:pt>
                  <c:pt idx="193">
                    <c:v>2025-05-22</c:v>
                  </c:pt>
                  <c:pt idx="194">
                    <c:v>2020-07-27</c:v>
                  </c:pt>
                  <c:pt idx="195">
                    <c:v>2026-01-27</c:v>
                  </c:pt>
                  <c:pt idx="196">
                    <c:v>2019-01-28</c:v>
                  </c:pt>
                  <c:pt idx="197">
                    <c:v>2021-02-25</c:v>
                  </c:pt>
                  <c:pt idx="198">
                    <c:v>2022-05-13</c:v>
                  </c:pt>
                  <c:pt idx="199">
                    <c:v>2020-12-02</c:v>
                  </c:pt>
                  <c:pt idx="200">
                    <c:v>2019-07-10</c:v>
                  </c:pt>
                  <c:pt idx="201">
                    <c:v>2022-05-10</c:v>
                  </c:pt>
                  <c:pt idx="202">
                    <c:v>2024-08-13</c:v>
                  </c:pt>
                  <c:pt idx="203">
                    <c:v>2021-07-23</c:v>
                  </c:pt>
                  <c:pt idx="204">
                    <c:v>2019-12-03</c:v>
                  </c:pt>
                  <c:pt idx="205">
                    <c:v>2022-01-09</c:v>
                  </c:pt>
                  <c:pt idx="206">
                    <c:v>2022-12-20</c:v>
                  </c:pt>
                  <c:pt idx="207">
                    <c:v>2024-11-04</c:v>
                  </c:pt>
                  <c:pt idx="208">
                    <c:v>2022-02-04</c:v>
                  </c:pt>
                  <c:pt idx="209">
                    <c:v>2020-07-08</c:v>
                  </c:pt>
                  <c:pt idx="210">
                    <c:v>2022-08-06</c:v>
                  </c:pt>
                  <c:pt idx="211">
                    <c:v>2022-02-22</c:v>
                  </c:pt>
                  <c:pt idx="212">
                    <c:v>2021-05-08</c:v>
                  </c:pt>
                  <c:pt idx="213">
                    <c:v>2023-03-25</c:v>
                  </c:pt>
                  <c:pt idx="214">
                    <c:v>2019-05-31</c:v>
                  </c:pt>
                  <c:pt idx="215">
                    <c:v>2026-03-27</c:v>
                  </c:pt>
                  <c:pt idx="216">
                    <c:v>2023-03-13</c:v>
                  </c:pt>
                  <c:pt idx="217">
                    <c:v>2022-11-27</c:v>
                  </c:pt>
                  <c:pt idx="218">
                    <c:v>2019-10-03</c:v>
                  </c:pt>
                  <c:pt idx="219">
                    <c:v>2025-04-12</c:v>
                  </c:pt>
                  <c:pt idx="220">
                    <c:v>2025-08-22</c:v>
                  </c:pt>
                  <c:pt idx="221">
                    <c:v>2020-04-11</c:v>
                  </c:pt>
                  <c:pt idx="222">
                    <c:v>2022-12-12</c:v>
                  </c:pt>
                  <c:pt idx="223">
                    <c:v>2020-04-24</c:v>
                  </c:pt>
                  <c:pt idx="224">
                    <c:v>2026-02-16</c:v>
                  </c:pt>
                  <c:pt idx="225">
                    <c:v>2019-02-09</c:v>
                  </c:pt>
                  <c:pt idx="226">
                    <c:v>2024-06-24</c:v>
                  </c:pt>
                  <c:pt idx="227">
                    <c:v>2024-09-23</c:v>
                  </c:pt>
                  <c:pt idx="228">
                    <c:v>2026-05-01</c:v>
                  </c:pt>
                  <c:pt idx="229">
                    <c:v>2020-11-10</c:v>
                  </c:pt>
                  <c:pt idx="230">
                    <c:v>2022-04-13</c:v>
                  </c:pt>
                  <c:pt idx="231">
                    <c:v>2021-10-19</c:v>
                  </c:pt>
                  <c:pt idx="232">
                    <c:v>2023-03-17</c:v>
                  </c:pt>
                  <c:pt idx="233">
                    <c:v>2024-02-21</c:v>
                  </c:pt>
                  <c:pt idx="234">
                    <c:v>2022-08-15</c:v>
                  </c:pt>
                  <c:pt idx="235">
                    <c:v>2020-10-09</c:v>
                  </c:pt>
                  <c:pt idx="236">
                    <c:v>2021-10-22</c:v>
                  </c:pt>
                  <c:pt idx="237">
                    <c:v>2021-05-24</c:v>
                  </c:pt>
                  <c:pt idx="238">
                    <c:v>2020-06-25</c:v>
                  </c:pt>
                  <c:pt idx="239">
                    <c:v>2024-12-12</c:v>
                  </c:pt>
                  <c:pt idx="240">
                    <c:v>2019-12-22</c:v>
                  </c:pt>
                  <c:pt idx="241">
                    <c:v>2025-03-16</c:v>
                  </c:pt>
                  <c:pt idx="242">
                    <c:v>2022-04-25</c:v>
                  </c:pt>
                  <c:pt idx="243">
                    <c:v>2020-06-24</c:v>
                  </c:pt>
                  <c:pt idx="244">
                    <c:v>2019-10-04</c:v>
                  </c:pt>
                  <c:pt idx="245">
                    <c:v>2026-03-08</c:v>
                  </c:pt>
                  <c:pt idx="246">
                    <c:v>2025-07-30</c:v>
                  </c:pt>
                  <c:pt idx="247">
                    <c:v>2025-11-12</c:v>
                  </c:pt>
                  <c:pt idx="248">
                    <c:v>2024-10-19</c:v>
                  </c:pt>
                  <c:pt idx="249">
                    <c:v>2019-09-19</c:v>
                  </c:pt>
                  <c:pt idx="250">
                    <c:v>2020-10-06</c:v>
                  </c:pt>
                  <c:pt idx="251">
                    <c:v>2024-04-16</c:v>
                  </c:pt>
                  <c:pt idx="252">
                    <c:v>2022-01-16</c:v>
                  </c:pt>
                  <c:pt idx="253">
                    <c:v>2022-06-26</c:v>
                  </c:pt>
                  <c:pt idx="254">
                    <c:v>2023-02-17</c:v>
                  </c:pt>
                  <c:pt idx="255">
                    <c:v>2022-10-04</c:v>
                  </c:pt>
                  <c:pt idx="256">
                    <c:v>2022-02-20</c:v>
                  </c:pt>
                  <c:pt idx="257">
                    <c:v>2025-08-21</c:v>
                  </c:pt>
                  <c:pt idx="258">
                    <c:v>2024-01-29</c:v>
                  </c:pt>
                  <c:pt idx="259">
                    <c:v>2025-01-04</c:v>
                  </c:pt>
                  <c:pt idx="260">
                    <c:v>2021-05-30</c:v>
                  </c:pt>
                  <c:pt idx="261">
                    <c:v>2024-01-27</c:v>
                  </c:pt>
                  <c:pt idx="262">
                    <c:v>2021-03-22</c:v>
                  </c:pt>
                  <c:pt idx="263">
                    <c:v>2020-01-12</c:v>
                  </c:pt>
                  <c:pt idx="264">
                    <c:v>2024-07-25</c:v>
                  </c:pt>
                  <c:pt idx="265">
                    <c:v>2023-08-15</c:v>
                  </c:pt>
                  <c:pt idx="266">
                    <c:v>2019-03-21</c:v>
                  </c:pt>
                  <c:pt idx="267">
                    <c:v>2022-07-30</c:v>
                  </c:pt>
                  <c:pt idx="268">
                    <c:v>2020-02-15</c:v>
                  </c:pt>
                  <c:pt idx="269">
                    <c:v>2025-08-23</c:v>
                  </c:pt>
                  <c:pt idx="270">
                    <c:v>2025-01-29</c:v>
                  </c:pt>
                  <c:pt idx="271">
                    <c:v>2022-10-27</c:v>
                  </c:pt>
                  <c:pt idx="272">
                    <c:v>2023-02-03</c:v>
                  </c:pt>
                  <c:pt idx="273">
                    <c:v>2026-04-13</c:v>
                  </c:pt>
                  <c:pt idx="274">
                    <c:v>2022-06-10</c:v>
                  </c:pt>
                  <c:pt idx="275">
                    <c:v>2020-03-02</c:v>
                  </c:pt>
                  <c:pt idx="276">
                    <c:v>2019-02-16</c:v>
                  </c:pt>
                  <c:pt idx="277">
                    <c:v>2023-08-23</c:v>
                  </c:pt>
                  <c:pt idx="278">
                    <c:v>2022-04-22</c:v>
                  </c:pt>
                  <c:pt idx="279">
                    <c:v>2023-11-02</c:v>
                  </c:pt>
                  <c:pt idx="280">
                    <c:v>2025-01-21</c:v>
                  </c:pt>
                  <c:pt idx="281">
                    <c:v>2026-06-04</c:v>
                  </c:pt>
                  <c:pt idx="282">
                    <c:v>2023-06-17</c:v>
                  </c:pt>
                  <c:pt idx="283">
                    <c:v>2023-12-07</c:v>
                  </c:pt>
                  <c:pt idx="284">
                    <c:v>2021-07-20</c:v>
                  </c:pt>
                  <c:pt idx="285">
                    <c:v>2025-05-28</c:v>
                  </c:pt>
                  <c:pt idx="286">
                    <c:v>2019-06-24</c:v>
                  </c:pt>
                  <c:pt idx="287">
                    <c:v>2022-08-28</c:v>
                  </c:pt>
                  <c:pt idx="288">
                    <c:v>2020-09-04</c:v>
                  </c:pt>
                  <c:pt idx="289">
                    <c:v>2021-12-17</c:v>
                  </c:pt>
                  <c:pt idx="290">
                    <c:v>2023-06-10</c:v>
                  </c:pt>
                  <c:pt idx="291">
                    <c:v>2021-07-22</c:v>
                  </c:pt>
                  <c:pt idx="292">
                    <c:v>2021-05-15</c:v>
                  </c:pt>
                  <c:pt idx="293">
                    <c:v>2024-11-17</c:v>
                  </c:pt>
                  <c:pt idx="294">
                    <c:v>2022-01-27</c:v>
                  </c:pt>
                  <c:pt idx="295">
                    <c:v>2025-03-08</c:v>
                  </c:pt>
                  <c:pt idx="296">
                    <c:v>2025-06-01</c:v>
                  </c:pt>
                  <c:pt idx="297">
                    <c:v>2026-04-05</c:v>
                  </c:pt>
                  <c:pt idx="298">
                    <c:v>2021-10-29</c:v>
                  </c:pt>
                  <c:pt idx="299">
                    <c:v>2026-09-04</c:v>
                  </c:pt>
                </c:lvl>
                <c:lvl>
                  <c:pt idx="0">
                    <c:v>48000</c:v>
                  </c:pt>
                  <c:pt idx="1">
                    <c:v>74000</c:v>
                  </c:pt>
                  <c:pt idx="2">
                    <c:v>35000</c:v>
                  </c:pt>
                  <c:pt idx="3">
                    <c:v>51000</c:v>
                  </c:pt>
                  <c:pt idx="4">
                    <c:v>43000</c:v>
                  </c:pt>
                  <c:pt idx="5">
                    <c:v>49000</c:v>
                  </c:pt>
                  <c:pt idx="6">
                    <c:v>43000</c:v>
                  </c:pt>
                  <c:pt idx="7">
                    <c:v>77000</c:v>
                  </c:pt>
                  <c:pt idx="8">
                    <c:v>43000</c:v>
                  </c:pt>
                  <c:pt idx="9">
                    <c:v>46000</c:v>
                  </c:pt>
                  <c:pt idx="10">
                    <c:v>57000</c:v>
                  </c:pt>
                  <c:pt idx="11">
                    <c:v>34000</c:v>
                  </c:pt>
                  <c:pt idx="12">
                    <c:v>67000</c:v>
                  </c:pt>
                  <c:pt idx="13">
                    <c:v>58000</c:v>
                  </c:pt>
                  <c:pt idx="14">
                    <c:v>36000</c:v>
                  </c:pt>
                  <c:pt idx="15">
                    <c:v>27000</c:v>
                  </c:pt>
                  <c:pt idx="16">
                    <c:v>56000</c:v>
                  </c:pt>
                  <c:pt idx="17">
                    <c:v>55000</c:v>
                  </c:pt>
                  <c:pt idx="18">
                    <c:v>57000</c:v>
                  </c:pt>
                  <c:pt idx="19">
                    <c:v>69000</c:v>
                  </c:pt>
                  <c:pt idx="20">
                    <c:v>28000</c:v>
                  </c:pt>
                  <c:pt idx="21">
                    <c:v>69000</c:v>
                  </c:pt>
                  <c:pt idx="22">
                    <c:v>69000</c:v>
                  </c:pt>
                  <c:pt idx="23">
                    <c:v>38000</c:v>
                  </c:pt>
                  <c:pt idx="24">
                    <c:v>77000</c:v>
                  </c:pt>
                  <c:pt idx="25">
                    <c:v>44000</c:v>
                  </c:pt>
                  <c:pt idx="26">
                    <c:v>46000</c:v>
                  </c:pt>
                  <c:pt idx="27">
                    <c:v>63000</c:v>
                  </c:pt>
                  <c:pt idx="28">
                    <c:v>60000</c:v>
                  </c:pt>
                  <c:pt idx="29">
                    <c:v>37000</c:v>
                  </c:pt>
                  <c:pt idx="30">
                    <c:v>50000</c:v>
                  </c:pt>
                  <c:pt idx="31">
                    <c:v>39000</c:v>
                  </c:pt>
                  <c:pt idx="32">
                    <c:v>75000</c:v>
                  </c:pt>
                  <c:pt idx="33">
                    <c:v>31000</c:v>
                  </c:pt>
                  <c:pt idx="34">
                    <c:v>42000</c:v>
                  </c:pt>
                  <c:pt idx="35">
                    <c:v>61000</c:v>
                  </c:pt>
                  <c:pt idx="36">
                    <c:v>41000</c:v>
                  </c:pt>
                  <c:pt idx="37">
                    <c:v>31000</c:v>
                  </c:pt>
                  <c:pt idx="38">
                    <c:v>39000</c:v>
                  </c:pt>
                  <c:pt idx="39">
                    <c:v>44000</c:v>
                  </c:pt>
                  <c:pt idx="40">
                    <c:v>42000</c:v>
                  </c:pt>
                  <c:pt idx="41">
                    <c:v>51000</c:v>
                  </c:pt>
                  <c:pt idx="42">
                    <c:v>24000</c:v>
                  </c:pt>
                  <c:pt idx="43">
                    <c:v>51000</c:v>
                  </c:pt>
                  <c:pt idx="44">
                    <c:v>18000</c:v>
                  </c:pt>
                  <c:pt idx="45">
                    <c:v>45000</c:v>
                  </c:pt>
                  <c:pt idx="46">
                    <c:v>40000</c:v>
                  </c:pt>
                  <c:pt idx="47">
                    <c:v>44000</c:v>
                  </c:pt>
                  <c:pt idx="48">
                    <c:v>35000</c:v>
                  </c:pt>
                  <c:pt idx="49">
                    <c:v>28000</c:v>
                  </c:pt>
                  <c:pt idx="50">
                    <c:v>34000</c:v>
                  </c:pt>
                  <c:pt idx="51">
                    <c:v>23000</c:v>
                  </c:pt>
                  <c:pt idx="52">
                    <c:v>46000</c:v>
                  </c:pt>
                  <c:pt idx="53">
                    <c:v>39000</c:v>
                  </c:pt>
                  <c:pt idx="54">
                    <c:v>33000</c:v>
                  </c:pt>
                  <c:pt idx="55">
                    <c:v>55000</c:v>
                  </c:pt>
                  <c:pt idx="56">
                    <c:v>31000</c:v>
                  </c:pt>
                  <c:pt idx="57">
                    <c:v>49000</c:v>
                  </c:pt>
                  <c:pt idx="58">
                    <c:v>53000</c:v>
                  </c:pt>
                  <c:pt idx="59">
                    <c:v>43000</c:v>
                  </c:pt>
                  <c:pt idx="60">
                    <c:v>31000</c:v>
                  </c:pt>
                  <c:pt idx="61">
                    <c:v>57000</c:v>
                  </c:pt>
                  <c:pt idx="62">
                    <c:v>33000</c:v>
                  </c:pt>
                  <c:pt idx="63">
                    <c:v>49000</c:v>
                  </c:pt>
                  <c:pt idx="64">
                    <c:v>54000</c:v>
                  </c:pt>
                  <c:pt idx="65">
                    <c:v>69000</c:v>
                  </c:pt>
                  <c:pt idx="66">
                    <c:v>64000</c:v>
                  </c:pt>
                  <c:pt idx="67">
                    <c:v>40000</c:v>
                  </c:pt>
                  <c:pt idx="68">
                    <c:v>30000</c:v>
                  </c:pt>
                  <c:pt idx="69">
                    <c:v>47000</c:v>
                  </c:pt>
                  <c:pt idx="70">
                    <c:v>57000</c:v>
                  </c:pt>
                  <c:pt idx="71">
                    <c:v>31000</c:v>
                  </c:pt>
                  <c:pt idx="72">
                    <c:v>67000</c:v>
                  </c:pt>
                  <c:pt idx="73">
                    <c:v>46000</c:v>
                  </c:pt>
                  <c:pt idx="74">
                    <c:v>44000</c:v>
                  </c:pt>
                  <c:pt idx="75">
                    <c:v>46000</c:v>
                  </c:pt>
                  <c:pt idx="76">
                    <c:v>51000</c:v>
                  </c:pt>
                  <c:pt idx="77">
                    <c:v>28000</c:v>
                  </c:pt>
                  <c:pt idx="78">
                    <c:v>60000</c:v>
                  </c:pt>
                  <c:pt idx="79">
                    <c:v>60000</c:v>
                  </c:pt>
                  <c:pt idx="80">
                    <c:v>40000</c:v>
                  </c:pt>
                  <c:pt idx="81">
                    <c:v>44000</c:v>
                  </c:pt>
                  <c:pt idx="82">
                    <c:v>42000</c:v>
                  </c:pt>
                  <c:pt idx="83">
                    <c:v>31000</c:v>
                  </c:pt>
                  <c:pt idx="84">
                    <c:v>24000</c:v>
                  </c:pt>
                  <c:pt idx="85">
                    <c:v>31000</c:v>
                  </c:pt>
                  <c:pt idx="86">
                    <c:v>35000</c:v>
                  </c:pt>
                  <c:pt idx="87">
                    <c:v>38000</c:v>
                  </c:pt>
                  <c:pt idx="88">
                    <c:v>40000</c:v>
                  </c:pt>
                  <c:pt idx="89">
                    <c:v>67000</c:v>
                  </c:pt>
                  <c:pt idx="90">
                    <c:v>61000</c:v>
                  </c:pt>
                  <c:pt idx="91">
                    <c:v>73000</c:v>
                  </c:pt>
                  <c:pt idx="92">
                    <c:v>64000</c:v>
                  </c:pt>
                  <c:pt idx="93">
                    <c:v>36000</c:v>
                  </c:pt>
                  <c:pt idx="94">
                    <c:v>37000</c:v>
                  </c:pt>
                  <c:pt idx="95">
                    <c:v>48000</c:v>
                  </c:pt>
                  <c:pt idx="96">
                    <c:v>54000</c:v>
                  </c:pt>
                  <c:pt idx="97">
                    <c:v>31000</c:v>
                  </c:pt>
                  <c:pt idx="98">
                    <c:v>49000</c:v>
                  </c:pt>
                  <c:pt idx="99">
                    <c:v>47000</c:v>
                  </c:pt>
                  <c:pt idx="100">
                    <c:v>57000</c:v>
                  </c:pt>
                  <c:pt idx="101">
                    <c:v>36000</c:v>
                  </c:pt>
                  <c:pt idx="102">
                    <c:v>34000</c:v>
                  </c:pt>
                  <c:pt idx="103">
                    <c:v>69000</c:v>
                  </c:pt>
                  <c:pt idx="104">
                    <c:v>48000</c:v>
                  </c:pt>
                  <c:pt idx="105">
                    <c:v>72000</c:v>
                  </c:pt>
                  <c:pt idx="106">
                    <c:v>42000</c:v>
                  </c:pt>
                  <c:pt idx="107">
                    <c:v>56000</c:v>
                  </c:pt>
                  <c:pt idx="108">
                    <c:v>39000</c:v>
                  </c:pt>
                  <c:pt idx="109">
                    <c:v>48000</c:v>
                  </c:pt>
                  <c:pt idx="110">
                    <c:v>43000</c:v>
                  </c:pt>
                  <c:pt idx="111">
                    <c:v>57000</c:v>
                  </c:pt>
                  <c:pt idx="112">
                    <c:v>58000</c:v>
                  </c:pt>
                  <c:pt idx="113">
                    <c:v>62000</c:v>
                  </c:pt>
                  <c:pt idx="114">
                    <c:v>28000</c:v>
                  </c:pt>
                  <c:pt idx="115">
                    <c:v>35000</c:v>
                  </c:pt>
                  <c:pt idx="116">
                    <c:v>29000</c:v>
                  </c:pt>
                  <c:pt idx="117">
                    <c:v>37000</c:v>
                  </c:pt>
                  <c:pt idx="118">
                    <c:v>47000</c:v>
                  </c:pt>
                  <c:pt idx="119">
                    <c:v>53000</c:v>
                  </c:pt>
                  <c:pt idx="120">
                    <c:v>42000</c:v>
                  </c:pt>
                  <c:pt idx="121">
                    <c:v>36000</c:v>
                  </c:pt>
                  <c:pt idx="122">
                    <c:v>44000</c:v>
                  </c:pt>
                  <c:pt idx="123">
                    <c:v>47000</c:v>
                  </c:pt>
                  <c:pt idx="124">
                    <c:v>42000</c:v>
                  </c:pt>
                  <c:pt idx="125">
                    <c:v>49000</c:v>
                  </c:pt>
                  <c:pt idx="126">
                    <c:v>43000</c:v>
                  </c:pt>
                  <c:pt idx="127">
                    <c:v>26000</c:v>
                  </c:pt>
                  <c:pt idx="128">
                    <c:v>63000</c:v>
                  </c:pt>
                  <c:pt idx="129">
                    <c:v>50000</c:v>
                  </c:pt>
                  <c:pt idx="130">
                    <c:v>42000</c:v>
                  </c:pt>
                  <c:pt idx="131">
                    <c:v>45000</c:v>
                  </c:pt>
                  <c:pt idx="132">
                    <c:v>18000</c:v>
                  </c:pt>
                  <c:pt idx="133">
                    <c:v>43000</c:v>
                  </c:pt>
                  <c:pt idx="134">
                    <c:v>36000</c:v>
                  </c:pt>
                  <c:pt idx="135">
                    <c:v>48000</c:v>
                  </c:pt>
                  <c:pt idx="136">
                    <c:v>37000</c:v>
                  </c:pt>
                  <c:pt idx="137">
                    <c:v>42000</c:v>
                  </c:pt>
                  <c:pt idx="138">
                    <c:v>55000</c:v>
                  </c:pt>
                  <c:pt idx="139">
                    <c:v>60000</c:v>
                  </c:pt>
                  <c:pt idx="140">
                    <c:v>51000</c:v>
                  </c:pt>
                  <c:pt idx="141">
                    <c:v>31000</c:v>
                  </c:pt>
                  <c:pt idx="142">
                    <c:v>44000</c:v>
                  </c:pt>
                  <c:pt idx="143">
                    <c:v>31000</c:v>
                  </c:pt>
                  <c:pt idx="144">
                    <c:v>43000</c:v>
                  </c:pt>
                  <c:pt idx="145">
                    <c:v>49000</c:v>
                  </c:pt>
                  <c:pt idx="146">
                    <c:v>47000</c:v>
                  </c:pt>
                  <c:pt idx="147">
                    <c:v>24000</c:v>
                  </c:pt>
                  <c:pt idx="148">
                    <c:v>56000</c:v>
                  </c:pt>
                  <c:pt idx="149">
                    <c:v>31000</c:v>
                  </c:pt>
                  <c:pt idx="150">
                    <c:v>52000</c:v>
                  </c:pt>
                  <c:pt idx="151">
                    <c:v>50000</c:v>
                  </c:pt>
                  <c:pt idx="152">
                    <c:v>41000</c:v>
                  </c:pt>
                  <c:pt idx="153">
                    <c:v>44000</c:v>
                  </c:pt>
                  <c:pt idx="154">
                    <c:v>65000</c:v>
                  </c:pt>
                  <c:pt idx="155">
                    <c:v>48000</c:v>
                  </c:pt>
                  <c:pt idx="156">
                    <c:v>36000</c:v>
                  </c:pt>
                  <c:pt idx="157">
                    <c:v>50000</c:v>
                  </c:pt>
                  <c:pt idx="158">
                    <c:v>59000</c:v>
                  </c:pt>
                  <c:pt idx="159">
                    <c:v>38000</c:v>
                  </c:pt>
                  <c:pt idx="160">
                    <c:v>42000</c:v>
                  </c:pt>
                  <c:pt idx="161">
                    <c:v>49000</c:v>
                  </c:pt>
                  <c:pt idx="162">
                    <c:v>33000</c:v>
                  </c:pt>
                  <c:pt idx="163">
                    <c:v>46000</c:v>
                  </c:pt>
                  <c:pt idx="164">
                    <c:v>53000</c:v>
                  </c:pt>
                  <c:pt idx="165">
                    <c:v>42000</c:v>
                  </c:pt>
                  <c:pt idx="166">
                    <c:v>43000</c:v>
                  </c:pt>
                  <c:pt idx="167">
                    <c:v>38000</c:v>
                  </c:pt>
                  <c:pt idx="168">
                    <c:v>73000</c:v>
                  </c:pt>
                  <c:pt idx="169">
                    <c:v>38000</c:v>
                  </c:pt>
                  <c:pt idx="170">
                    <c:v>36000</c:v>
                  </c:pt>
                  <c:pt idx="171">
                    <c:v>50000</c:v>
                  </c:pt>
                  <c:pt idx="172">
                    <c:v>46000</c:v>
                  </c:pt>
                  <c:pt idx="173">
                    <c:v>39000</c:v>
                  </c:pt>
                  <c:pt idx="174">
                    <c:v>40000</c:v>
                  </c:pt>
                  <c:pt idx="175">
                    <c:v>51000</c:v>
                  </c:pt>
                  <c:pt idx="176">
                    <c:v>53000</c:v>
                  </c:pt>
                  <c:pt idx="177">
                    <c:v>36000</c:v>
                  </c:pt>
                  <c:pt idx="178">
                    <c:v>42000</c:v>
                  </c:pt>
                  <c:pt idx="179">
                    <c:v>53000</c:v>
                  </c:pt>
                  <c:pt idx="180">
                    <c:v>58000</c:v>
                  </c:pt>
                  <c:pt idx="181">
                    <c:v>18000</c:v>
                  </c:pt>
                  <c:pt idx="182">
                    <c:v>48000</c:v>
                  </c:pt>
                  <c:pt idx="183">
                    <c:v>30000</c:v>
                  </c:pt>
                  <c:pt idx="184">
                    <c:v>52000</c:v>
                  </c:pt>
                  <c:pt idx="185">
                    <c:v>26000</c:v>
                  </c:pt>
                  <c:pt idx="186">
                    <c:v>18000</c:v>
                  </c:pt>
                  <c:pt idx="187">
                    <c:v>45000</c:v>
                  </c:pt>
                  <c:pt idx="188">
                    <c:v>51000</c:v>
                  </c:pt>
                  <c:pt idx="189">
                    <c:v>53000</c:v>
                  </c:pt>
                  <c:pt idx="190">
                    <c:v>71000</c:v>
                  </c:pt>
                  <c:pt idx="191">
                    <c:v>42000</c:v>
                  </c:pt>
                  <c:pt idx="192">
                    <c:v>35000</c:v>
                  </c:pt>
                  <c:pt idx="193">
                    <c:v>39000</c:v>
                  </c:pt>
                  <c:pt idx="194">
                    <c:v>49000</c:v>
                  </c:pt>
                  <c:pt idx="195">
                    <c:v>26000</c:v>
                  </c:pt>
                  <c:pt idx="196">
                    <c:v>42000</c:v>
                  </c:pt>
                  <c:pt idx="197">
                    <c:v>52000</c:v>
                  </c:pt>
                  <c:pt idx="198">
                    <c:v>43000</c:v>
                  </c:pt>
                  <c:pt idx="199">
                    <c:v>26000</c:v>
                  </c:pt>
                  <c:pt idx="200">
                    <c:v>54000</c:v>
                  </c:pt>
                  <c:pt idx="201">
                    <c:v>36000</c:v>
                  </c:pt>
                  <c:pt idx="202">
                    <c:v>35000</c:v>
                  </c:pt>
                  <c:pt idx="203">
                    <c:v>43000</c:v>
                  </c:pt>
                  <c:pt idx="204">
                    <c:v>53000</c:v>
                  </c:pt>
                  <c:pt idx="205">
                    <c:v>66000</c:v>
                  </c:pt>
                  <c:pt idx="206">
                    <c:v>37000</c:v>
                  </c:pt>
                  <c:pt idx="207">
                    <c:v>41000</c:v>
                  </c:pt>
                  <c:pt idx="208">
                    <c:v>32000</c:v>
                  </c:pt>
                  <c:pt idx="209">
                    <c:v>48000</c:v>
                  </c:pt>
                  <c:pt idx="210">
                    <c:v>32000</c:v>
                  </c:pt>
                  <c:pt idx="211">
                    <c:v>28000</c:v>
                  </c:pt>
                  <c:pt idx="212">
                    <c:v>34000</c:v>
                  </c:pt>
                  <c:pt idx="213">
                    <c:v>44000</c:v>
                  </c:pt>
                  <c:pt idx="214">
                    <c:v>37000</c:v>
                  </c:pt>
                  <c:pt idx="215">
                    <c:v>33000</c:v>
                  </c:pt>
                  <c:pt idx="216">
                    <c:v>31000</c:v>
                  </c:pt>
                  <c:pt idx="217">
                    <c:v>64000</c:v>
                  </c:pt>
                  <c:pt idx="218">
                    <c:v>48000</c:v>
                  </c:pt>
                  <c:pt idx="219">
                    <c:v>58000</c:v>
                  </c:pt>
                  <c:pt idx="220">
                    <c:v>51000</c:v>
                  </c:pt>
                  <c:pt idx="221">
                    <c:v>45000</c:v>
                  </c:pt>
                  <c:pt idx="222">
                    <c:v>60000</c:v>
                  </c:pt>
                  <c:pt idx="223">
                    <c:v>33000</c:v>
                  </c:pt>
                  <c:pt idx="224">
                    <c:v>27000</c:v>
                  </c:pt>
                  <c:pt idx="225">
                    <c:v>39000</c:v>
                  </c:pt>
                  <c:pt idx="226">
                    <c:v>52000</c:v>
                  </c:pt>
                  <c:pt idx="227">
                    <c:v>52000</c:v>
                  </c:pt>
                  <c:pt idx="228">
                    <c:v>43000</c:v>
                  </c:pt>
                  <c:pt idx="229">
                    <c:v>34000</c:v>
                  </c:pt>
                  <c:pt idx="230">
                    <c:v>43000</c:v>
                  </c:pt>
                  <c:pt idx="231">
                    <c:v>52000</c:v>
                  </c:pt>
                  <c:pt idx="232">
                    <c:v>30000</c:v>
                  </c:pt>
                  <c:pt idx="233">
                    <c:v>49000</c:v>
                  </c:pt>
                  <c:pt idx="234">
                    <c:v>39000</c:v>
                  </c:pt>
                  <c:pt idx="235">
                    <c:v>45000</c:v>
                  </c:pt>
                  <c:pt idx="236">
                    <c:v>53000</c:v>
                  </c:pt>
                  <c:pt idx="237">
                    <c:v>53000</c:v>
                  </c:pt>
                  <c:pt idx="238">
                    <c:v>46000</c:v>
                  </c:pt>
                  <c:pt idx="239">
                    <c:v>53000</c:v>
                  </c:pt>
                  <c:pt idx="240">
                    <c:v>57000</c:v>
                  </c:pt>
                  <c:pt idx="241">
                    <c:v>41000</c:v>
                  </c:pt>
                  <c:pt idx="242">
                    <c:v>32000</c:v>
                  </c:pt>
                  <c:pt idx="243">
                    <c:v>38000</c:v>
                  </c:pt>
                  <c:pt idx="244">
                    <c:v>41000</c:v>
                  </c:pt>
                  <c:pt idx="245">
                    <c:v>52000</c:v>
                  </c:pt>
                  <c:pt idx="246">
                    <c:v>30000</c:v>
                  </c:pt>
                  <c:pt idx="247">
                    <c:v>37000</c:v>
                  </c:pt>
                  <c:pt idx="248">
                    <c:v>45000</c:v>
                  </c:pt>
                  <c:pt idx="249">
                    <c:v>23000</c:v>
                  </c:pt>
                  <c:pt idx="250">
                    <c:v>54000</c:v>
                  </c:pt>
                  <c:pt idx="251">
                    <c:v>39000</c:v>
                  </c:pt>
                  <c:pt idx="252">
                    <c:v>50000</c:v>
                  </c:pt>
                  <c:pt idx="253">
                    <c:v>38000</c:v>
                  </c:pt>
                  <c:pt idx="254">
                    <c:v>28000</c:v>
                  </c:pt>
                  <c:pt idx="255">
                    <c:v>36000</c:v>
                  </c:pt>
                  <c:pt idx="256">
                    <c:v>73000</c:v>
                  </c:pt>
                  <c:pt idx="257">
                    <c:v>70000</c:v>
                  </c:pt>
                  <c:pt idx="258">
                    <c:v>35000</c:v>
                  </c:pt>
                  <c:pt idx="259">
                    <c:v>56000</c:v>
                  </c:pt>
                  <c:pt idx="260">
                    <c:v>60000</c:v>
                  </c:pt>
                  <c:pt idx="261">
                    <c:v>37000</c:v>
                  </c:pt>
                  <c:pt idx="262">
                    <c:v>60000</c:v>
                  </c:pt>
                  <c:pt idx="263">
                    <c:v>34000</c:v>
                  </c:pt>
                  <c:pt idx="264">
                    <c:v>55000</c:v>
                  </c:pt>
                  <c:pt idx="265">
                    <c:v>58000</c:v>
                  </c:pt>
                  <c:pt idx="266">
                    <c:v>58000</c:v>
                  </c:pt>
                  <c:pt idx="267">
                    <c:v>50000</c:v>
                  </c:pt>
                  <c:pt idx="268">
                    <c:v>36000</c:v>
                  </c:pt>
                  <c:pt idx="269">
                    <c:v>41000</c:v>
                  </c:pt>
                  <c:pt idx="270">
                    <c:v>39000</c:v>
                  </c:pt>
                  <c:pt idx="271">
                    <c:v>55000</c:v>
                  </c:pt>
                  <c:pt idx="272">
                    <c:v>55000</c:v>
                  </c:pt>
                  <c:pt idx="273">
                    <c:v>39000</c:v>
                  </c:pt>
                  <c:pt idx="274">
                    <c:v>45000</c:v>
                  </c:pt>
                  <c:pt idx="275">
                    <c:v>36000</c:v>
                  </c:pt>
                  <c:pt idx="276">
                    <c:v>45000</c:v>
                  </c:pt>
                  <c:pt idx="277">
                    <c:v>60000</c:v>
                  </c:pt>
                  <c:pt idx="278">
                    <c:v>49000</c:v>
                  </c:pt>
                  <c:pt idx="279">
                    <c:v>56000</c:v>
                  </c:pt>
                  <c:pt idx="280">
                    <c:v>41000</c:v>
                  </c:pt>
                  <c:pt idx="281">
                    <c:v>64000</c:v>
                  </c:pt>
                  <c:pt idx="282">
                    <c:v>29000</c:v>
                  </c:pt>
                  <c:pt idx="283">
                    <c:v>45000</c:v>
                  </c:pt>
                  <c:pt idx="284">
                    <c:v>33000</c:v>
                  </c:pt>
                  <c:pt idx="285">
                    <c:v>47000</c:v>
                  </c:pt>
                  <c:pt idx="286">
                    <c:v>18000</c:v>
                  </c:pt>
                  <c:pt idx="287">
                    <c:v>71000</c:v>
                  </c:pt>
                  <c:pt idx="288">
                    <c:v>42000</c:v>
                  </c:pt>
                  <c:pt idx="289">
                    <c:v>44000</c:v>
                  </c:pt>
                  <c:pt idx="290">
                    <c:v>48000</c:v>
                  </c:pt>
                  <c:pt idx="291">
                    <c:v>39000</c:v>
                  </c:pt>
                  <c:pt idx="292">
                    <c:v>54000</c:v>
                  </c:pt>
                  <c:pt idx="293">
                    <c:v>39000</c:v>
                  </c:pt>
                  <c:pt idx="294">
                    <c:v>43000</c:v>
                  </c:pt>
                  <c:pt idx="295">
                    <c:v>61000</c:v>
                  </c:pt>
                  <c:pt idx="296">
                    <c:v>56000</c:v>
                  </c:pt>
                  <c:pt idx="297">
                    <c:v>46000</c:v>
                  </c:pt>
                  <c:pt idx="298">
                    <c:v>53000</c:v>
                  </c:pt>
                  <c:pt idx="299">
                    <c:v>54000</c:v>
                  </c:pt>
                </c:lvl>
              </c:multiLvlStrCache>
            </c:multiLvlStrRef>
          </c:xVal>
          <c:yVal>
            <c:numRef>
              <c:f>Employee_Master!$I$2:$I$301</c:f>
              <c:numCache>
                <c:formatCode>General</c:formatCode>
                <c:ptCount val="300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6.4</c:v>
                </c:pt>
                <c:pt idx="4">
                  <c:v>0.4</c:v>
                </c:pt>
                <c:pt idx="5">
                  <c:v>0.2</c:v>
                </c:pt>
                <c:pt idx="6">
                  <c:v>3.5</c:v>
                </c:pt>
                <c:pt idx="7">
                  <c:v>1.4</c:v>
                </c:pt>
                <c:pt idx="8">
                  <c:v>1.7</c:v>
                </c:pt>
                <c:pt idx="9">
                  <c:v>0.7</c:v>
                </c:pt>
                <c:pt idx="10">
                  <c:v>0.1</c:v>
                </c:pt>
                <c:pt idx="11">
                  <c:v>5.8</c:v>
                </c:pt>
                <c:pt idx="12">
                  <c:v>2.2999999999999998</c:v>
                </c:pt>
                <c:pt idx="13">
                  <c:v>1.8</c:v>
                </c:pt>
                <c:pt idx="14">
                  <c:v>1.7</c:v>
                </c:pt>
                <c:pt idx="15">
                  <c:v>7.5</c:v>
                </c:pt>
                <c:pt idx="16">
                  <c:v>2</c:v>
                </c:pt>
                <c:pt idx="17">
                  <c:v>3.8</c:v>
                </c:pt>
                <c:pt idx="18">
                  <c:v>5</c:v>
                </c:pt>
                <c:pt idx="19">
                  <c:v>5.0999999999999996</c:v>
                </c:pt>
                <c:pt idx="20">
                  <c:v>4.5999999999999996</c:v>
                </c:pt>
                <c:pt idx="21">
                  <c:v>7.2</c:v>
                </c:pt>
                <c:pt idx="22">
                  <c:v>6.4</c:v>
                </c:pt>
                <c:pt idx="23">
                  <c:v>0.3</c:v>
                </c:pt>
                <c:pt idx="24">
                  <c:v>0.8</c:v>
                </c:pt>
                <c:pt idx="25">
                  <c:v>1.7</c:v>
                </c:pt>
                <c:pt idx="26">
                  <c:v>1.6</c:v>
                </c:pt>
                <c:pt idx="27">
                  <c:v>7.7</c:v>
                </c:pt>
                <c:pt idx="28">
                  <c:v>6.9</c:v>
                </c:pt>
                <c:pt idx="29">
                  <c:v>7.3</c:v>
                </c:pt>
                <c:pt idx="30">
                  <c:v>5.9</c:v>
                </c:pt>
                <c:pt idx="31">
                  <c:v>7.3</c:v>
                </c:pt>
                <c:pt idx="32">
                  <c:v>4.5999999999999996</c:v>
                </c:pt>
                <c:pt idx="33">
                  <c:v>4.8</c:v>
                </c:pt>
                <c:pt idx="34">
                  <c:v>5.6</c:v>
                </c:pt>
                <c:pt idx="35">
                  <c:v>4.4000000000000004</c:v>
                </c:pt>
                <c:pt idx="36">
                  <c:v>0.2</c:v>
                </c:pt>
                <c:pt idx="37">
                  <c:v>2.8</c:v>
                </c:pt>
                <c:pt idx="38">
                  <c:v>5.0999999999999996</c:v>
                </c:pt>
                <c:pt idx="39">
                  <c:v>2.2000000000000002</c:v>
                </c:pt>
                <c:pt idx="40">
                  <c:v>1.5</c:v>
                </c:pt>
                <c:pt idx="41">
                  <c:v>2.8</c:v>
                </c:pt>
                <c:pt idx="42">
                  <c:v>4.7</c:v>
                </c:pt>
                <c:pt idx="43">
                  <c:v>3.1</c:v>
                </c:pt>
                <c:pt idx="44">
                  <c:v>3.5</c:v>
                </c:pt>
                <c:pt idx="45">
                  <c:v>2.9</c:v>
                </c:pt>
                <c:pt idx="46">
                  <c:v>1.1000000000000001</c:v>
                </c:pt>
                <c:pt idx="47">
                  <c:v>4</c:v>
                </c:pt>
                <c:pt idx="48">
                  <c:v>5.3</c:v>
                </c:pt>
                <c:pt idx="49">
                  <c:v>5.3</c:v>
                </c:pt>
                <c:pt idx="50">
                  <c:v>1.3</c:v>
                </c:pt>
                <c:pt idx="51">
                  <c:v>7.3</c:v>
                </c:pt>
                <c:pt idx="52">
                  <c:v>2.9</c:v>
                </c:pt>
                <c:pt idx="53">
                  <c:v>2.9</c:v>
                </c:pt>
                <c:pt idx="54">
                  <c:v>7.4</c:v>
                </c:pt>
                <c:pt idx="55">
                  <c:v>3.2</c:v>
                </c:pt>
                <c:pt idx="56">
                  <c:v>5.3</c:v>
                </c:pt>
                <c:pt idx="57">
                  <c:v>4.3</c:v>
                </c:pt>
                <c:pt idx="58">
                  <c:v>1.2</c:v>
                </c:pt>
                <c:pt idx="59">
                  <c:v>7.3</c:v>
                </c:pt>
                <c:pt idx="60">
                  <c:v>2.4</c:v>
                </c:pt>
                <c:pt idx="61">
                  <c:v>1.5</c:v>
                </c:pt>
                <c:pt idx="62">
                  <c:v>3.5</c:v>
                </c:pt>
                <c:pt idx="63">
                  <c:v>4.8</c:v>
                </c:pt>
                <c:pt idx="64">
                  <c:v>7.4</c:v>
                </c:pt>
                <c:pt idx="65">
                  <c:v>4.8</c:v>
                </c:pt>
                <c:pt idx="66">
                  <c:v>3.3</c:v>
                </c:pt>
                <c:pt idx="67">
                  <c:v>0.2</c:v>
                </c:pt>
                <c:pt idx="68">
                  <c:v>0.5</c:v>
                </c:pt>
                <c:pt idx="69">
                  <c:v>4.0999999999999996</c:v>
                </c:pt>
                <c:pt idx="70">
                  <c:v>3.2</c:v>
                </c:pt>
                <c:pt idx="71">
                  <c:v>7.2</c:v>
                </c:pt>
                <c:pt idx="72">
                  <c:v>1.6</c:v>
                </c:pt>
                <c:pt idx="73">
                  <c:v>2.4</c:v>
                </c:pt>
                <c:pt idx="74">
                  <c:v>4</c:v>
                </c:pt>
                <c:pt idx="75">
                  <c:v>4</c:v>
                </c:pt>
                <c:pt idx="76">
                  <c:v>4.2</c:v>
                </c:pt>
                <c:pt idx="77">
                  <c:v>6.6</c:v>
                </c:pt>
                <c:pt idx="78">
                  <c:v>0.5</c:v>
                </c:pt>
                <c:pt idx="79">
                  <c:v>5.2</c:v>
                </c:pt>
                <c:pt idx="80">
                  <c:v>7.2</c:v>
                </c:pt>
                <c:pt idx="81">
                  <c:v>0.8</c:v>
                </c:pt>
                <c:pt idx="82">
                  <c:v>4.5</c:v>
                </c:pt>
                <c:pt idx="83">
                  <c:v>2.2999999999999998</c:v>
                </c:pt>
                <c:pt idx="84">
                  <c:v>7.7</c:v>
                </c:pt>
                <c:pt idx="85">
                  <c:v>0.8</c:v>
                </c:pt>
                <c:pt idx="86">
                  <c:v>3.7</c:v>
                </c:pt>
                <c:pt idx="87">
                  <c:v>4.9000000000000004</c:v>
                </c:pt>
                <c:pt idx="88">
                  <c:v>1.5</c:v>
                </c:pt>
                <c:pt idx="89">
                  <c:v>0.2</c:v>
                </c:pt>
                <c:pt idx="90">
                  <c:v>6.5</c:v>
                </c:pt>
                <c:pt idx="91">
                  <c:v>6</c:v>
                </c:pt>
                <c:pt idx="92">
                  <c:v>2.8</c:v>
                </c:pt>
                <c:pt idx="93">
                  <c:v>0.3</c:v>
                </c:pt>
                <c:pt idx="94">
                  <c:v>1.5</c:v>
                </c:pt>
                <c:pt idx="95">
                  <c:v>6.5</c:v>
                </c:pt>
                <c:pt idx="96">
                  <c:v>6.3</c:v>
                </c:pt>
                <c:pt idx="97">
                  <c:v>4.4000000000000004</c:v>
                </c:pt>
                <c:pt idx="98">
                  <c:v>6.9</c:v>
                </c:pt>
                <c:pt idx="99">
                  <c:v>1</c:v>
                </c:pt>
                <c:pt idx="100">
                  <c:v>4</c:v>
                </c:pt>
                <c:pt idx="101">
                  <c:v>6.8</c:v>
                </c:pt>
                <c:pt idx="102">
                  <c:v>3.2</c:v>
                </c:pt>
                <c:pt idx="103">
                  <c:v>5.3</c:v>
                </c:pt>
                <c:pt idx="104">
                  <c:v>7.4</c:v>
                </c:pt>
                <c:pt idx="105">
                  <c:v>1.8</c:v>
                </c:pt>
                <c:pt idx="106">
                  <c:v>6</c:v>
                </c:pt>
                <c:pt idx="107">
                  <c:v>2.9</c:v>
                </c:pt>
                <c:pt idx="108">
                  <c:v>5.5</c:v>
                </c:pt>
                <c:pt idx="109">
                  <c:v>5.2</c:v>
                </c:pt>
                <c:pt idx="110">
                  <c:v>1.3</c:v>
                </c:pt>
                <c:pt idx="111">
                  <c:v>2.9</c:v>
                </c:pt>
                <c:pt idx="112">
                  <c:v>5.9</c:v>
                </c:pt>
                <c:pt idx="113">
                  <c:v>5.8</c:v>
                </c:pt>
                <c:pt idx="114">
                  <c:v>0.6</c:v>
                </c:pt>
                <c:pt idx="115">
                  <c:v>7.1</c:v>
                </c:pt>
                <c:pt idx="116">
                  <c:v>0.9</c:v>
                </c:pt>
                <c:pt idx="117">
                  <c:v>2.7</c:v>
                </c:pt>
                <c:pt idx="118">
                  <c:v>1.9</c:v>
                </c:pt>
                <c:pt idx="119">
                  <c:v>0.2</c:v>
                </c:pt>
                <c:pt idx="120">
                  <c:v>0.4</c:v>
                </c:pt>
                <c:pt idx="121">
                  <c:v>2.1</c:v>
                </c:pt>
                <c:pt idx="122">
                  <c:v>4.4000000000000004</c:v>
                </c:pt>
                <c:pt idx="123">
                  <c:v>0.8</c:v>
                </c:pt>
                <c:pt idx="124">
                  <c:v>5.0999999999999996</c:v>
                </c:pt>
                <c:pt idx="125">
                  <c:v>1.9</c:v>
                </c:pt>
                <c:pt idx="126">
                  <c:v>6.6</c:v>
                </c:pt>
                <c:pt idx="127">
                  <c:v>2.7</c:v>
                </c:pt>
                <c:pt idx="128">
                  <c:v>5.2</c:v>
                </c:pt>
                <c:pt idx="129">
                  <c:v>0.9</c:v>
                </c:pt>
                <c:pt idx="130">
                  <c:v>5.0999999999999996</c:v>
                </c:pt>
                <c:pt idx="131">
                  <c:v>4.5</c:v>
                </c:pt>
                <c:pt idx="132">
                  <c:v>1.7</c:v>
                </c:pt>
                <c:pt idx="133">
                  <c:v>7</c:v>
                </c:pt>
                <c:pt idx="134">
                  <c:v>0.1</c:v>
                </c:pt>
                <c:pt idx="135">
                  <c:v>7.3</c:v>
                </c:pt>
                <c:pt idx="136">
                  <c:v>3.8</c:v>
                </c:pt>
                <c:pt idx="137">
                  <c:v>3.6</c:v>
                </c:pt>
                <c:pt idx="138">
                  <c:v>6.6</c:v>
                </c:pt>
                <c:pt idx="139">
                  <c:v>4.7</c:v>
                </c:pt>
                <c:pt idx="140">
                  <c:v>6.2</c:v>
                </c:pt>
                <c:pt idx="141">
                  <c:v>3.6</c:v>
                </c:pt>
                <c:pt idx="142">
                  <c:v>7.5</c:v>
                </c:pt>
                <c:pt idx="143">
                  <c:v>6.4</c:v>
                </c:pt>
                <c:pt idx="144">
                  <c:v>1.7</c:v>
                </c:pt>
                <c:pt idx="145">
                  <c:v>7.5</c:v>
                </c:pt>
                <c:pt idx="146">
                  <c:v>3.2</c:v>
                </c:pt>
                <c:pt idx="147">
                  <c:v>2.9</c:v>
                </c:pt>
                <c:pt idx="148">
                  <c:v>1.9</c:v>
                </c:pt>
                <c:pt idx="149">
                  <c:v>1.3</c:v>
                </c:pt>
                <c:pt idx="150">
                  <c:v>3.1</c:v>
                </c:pt>
                <c:pt idx="151">
                  <c:v>2.8</c:v>
                </c:pt>
                <c:pt idx="152">
                  <c:v>3.6</c:v>
                </c:pt>
                <c:pt idx="153">
                  <c:v>6</c:v>
                </c:pt>
                <c:pt idx="154">
                  <c:v>2.2000000000000002</c:v>
                </c:pt>
                <c:pt idx="155">
                  <c:v>1.7</c:v>
                </c:pt>
                <c:pt idx="156">
                  <c:v>1.4</c:v>
                </c:pt>
                <c:pt idx="157">
                  <c:v>1.5</c:v>
                </c:pt>
                <c:pt idx="158">
                  <c:v>4</c:v>
                </c:pt>
                <c:pt idx="159">
                  <c:v>4</c:v>
                </c:pt>
                <c:pt idx="160">
                  <c:v>0.2</c:v>
                </c:pt>
                <c:pt idx="161">
                  <c:v>2.4</c:v>
                </c:pt>
                <c:pt idx="162">
                  <c:v>7.6</c:v>
                </c:pt>
                <c:pt idx="163">
                  <c:v>1.9</c:v>
                </c:pt>
                <c:pt idx="164">
                  <c:v>5.6</c:v>
                </c:pt>
                <c:pt idx="165">
                  <c:v>4.7</c:v>
                </c:pt>
                <c:pt idx="166">
                  <c:v>2.8</c:v>
                </c:pt>
                <c:pt idx="167">
                  <c:v>0.3</c:v>
                </c:pt>
                <c:pt idx="168">
                  <c:v>7.7</c:v>
                </c:pt>
                <c:pt idx="169">
                  <c:v>0.5</c:v>
                </c:pt>
                <c:pt idx="170">
                  <c:v>4.5</c:v>
                </c:pt>
                <c:pt idx="171">
                  <c:v>5.6</c:v>
                </c:pt>
                <c:pt idx="172">
                  <c:v>0.2</c:v>
                </c:pt>
                <c:pt idx="173">
                  <c:v>2.4</c:v>
                </c:pt>
                <c:pt idx="174">
                  <c:v>0.4</c:v>
                </c:pt>
                <c:pt idx="175">
                  <c:v>0.9</c:v>
                </c:pt>
                <c:pt idx="176">
                  <c:v>0.3</c:v>
                </c:pt>
                <c:pt idx="177">
                  <c:v>2.1</c:v>
                </c:pt>
                <c:pt idx="178">
                  <c:v>2</c:v>
                </c:pt>
                <c:pt idx="179">
                  <c:v>1.3</c:v>
                </c:pt>
                <c:pt idx="180">
                  <c:v>6.2</c:v>
                </c:pt>
                <c:pt idx="181">
                  <c:v>6.4</c:v>
                </c:pt>
                <c:pt idx="182">
                  <c:v>3.5</c:v>
                </c:pt>
                <c:pt idx="183">
                  <c:v>7</c:v>
                </c:pt>
                <c:pt idx="184">
                  <c:v>5.3</c:v>
                </c:pt>
                <c:pt idx="185">
                  <c:v>4.4000000000000004</c:v>
                </c:pt>
                <c:pt idx="186">
                  <c:v>1.5</c:v>
                </c:pt>
                <c:pt idx="187">
                  <c:v>2.5</c:v>
                </c:pt>
                <c:pt idx="188">
                  <c:v>5</c:v>
                </c:pt>
                <c:pt idx="189">
                  <c:v>5.7</c:v>
                </c:pt>
                <c:pt idx="190">
                  <c:v>2.4</c:v>
                </c:pt>
                <c:pt idx="191">
                  <c:v>4.8</c:v>
                </c:pt>
                <c:pt idx="192">
                  <c:v>7.3</c:v>
                </c:pt>
                <c:pt idx="193">
                  <c:v>1.4</c:v>
                </c:pt>
                <c:pt idx="194">
                  <c:v>6.2</c:v>
                </c:pt>
                <c:pt idx="195">
                  <c:v>0.7</c:v>
                </c:pt>
                <c:pt idx="196">
                  <c:v>7.7</c:v>
                </c:pt>
                <c:pt idx="197">
                  <c:v>5.6</c:v>
                </c:pt>
                <c:pt idx="198">
                  <c:v>4.4000000000000004</c:v>
                </c:pt>
                <c:pt idx="199">
                  <c:v>5.8</c:v>
                </c:pt>
                <c:pt idx="200">
                  <c:v>7.2</c:v>
                </c:pt>
                <c:pt idx="201">
                  <c:v>4.4000000000000004</c:v>
                </c:pt>
                <c:pt idx="202">
                  <c:v>2.1</c:v>
                </c:pt>
                <c:pt idx="203">
                  <c:v>5.2</c:v>
                </c:pt>
                <c:pt idx="204">
                  <c:v>6.8</c:v>
                </c:pt>
                <c:pt idx="205">
                  <c:v>4.7</c:v>
                </c:pt>
                <c:pt idx="206">
                  <c:v>3.8</c:v>
                </c:pt>
                <c:pt idx="207">
                  <c:v>1.9</c:v>
                </c:pt>
                <c:pt idx="208">
                  <c:v>4.7</c:v>
                </c:pt>
                <c:pt idx="209">
                  <c:v>6.2</c:v>
                </c:pt>
                <c:pt idx="210">
                  <c:v>4.2</c:v>
                </c:pt>
                <c:pt idx="211">
                  <c:v>4.5999999999999996</c:v>
                </c:pt>
                <c:pt idx="212">
                  <c:v>5.4</c:v>
                </c:pt>
                <c:pt idx="213">
                  <c:v>3.5</c:v>
                </c:pt>
                <c:pt idx="214">
                  <c:v>7.4</c:v>
                </c:pt>
                <c:pt idx="215">
                  <c:v>0.5</c:v>
                </c:pt>
                <c:pt idx="216">
                  <c:v>3.6</c:v>
                </c:pt>
                <c:pt idx="217">
                  <c:v>3.9</c:v>
                </c:pt>
                <c:pt idx="218">
                  <c:v>7</c:v>
                </c:pt>
                <c:pt idx="219">
                  <c:v>1.5</c:v>
                </c:pt>
                <c:pt idx="220">
                  <c:v>1.1000000000000001</c:v>
                </c:pt>
                <c:pt idx="221">
                  <c:v>6.5</c:v>
                </c:pt>
                <c:pt idx="222">
                  <c:v>3.8</c:v>
                </c:pt>
                <c:pt idx="223">
                  <c:v>6.5</c:v>
                </c:pt>
                <c:pt idx="224">
                  <c:v>0.6</c:v>
                </c:pt>
                <c:pt idx="225">
                  <c:v>7.7</c:v>
                </c:pt>
                <c:pt idx="226">
                  <c:v>2.2999999999999998</c:v>
                </c:pt>
                <c:pt idx="227">
                  <c:v>2</c:v>
                </c:pt>
                <c:pt idx="228">
                  <c:v>0.4</c:v>
                </c:pt>
                <c:pt idx="229">
                  <c:v>5.9</c:v>
                </c:pt>
                <c:pt idx="230">
                  <c:v>4.5</c:v>
                </c:pt>
                <c:pt idx="231">
                  <c:v>5</c:v>
                </c:pt>
                <c:pt idx="232">
                  <c:v>3.6</c:v>
                </c:pt>
                <c:pt idx="233">
                  <c:v>2.6</c:v>
                </c:pt>
                <c:pt idx="234">
                  <c:v>4.0999999999999996</c:v>
                </c:pt>
                <c:pt idx="235">
                  <c:v>6</c:v>
                </c:pt>
                <c:pt idx="236">
                  <c:v>5</c:v>
                </c:pt>
                <c:pt idx="237">
                  <c:v>5.4</c:v>
                </c:pt>
                <c:pt idx="238">
                  <c:v>6.3</c:v>
                </c:pt>
                <c:pt idx="239">
                  <c:v>1.8</c:v>
                </c:pt>
                <c:pt idx="240">
                  <c:v>6.8</c:v>
                </c:pt>
                <c:pt idx="241">
                  <c:v>1.6</c:v>
                </c:pt>
                <c:pt idx="242">
                  <c:v>4.5</c:v>
                </c:pt>
                <c:pt idx="243">
                  <c:v>6.3</c:v>
                </c:pt>
                <c:pt idx="244">
                  <c:v>7</c:v>
                </c:pt>
                <c:pt idx="245">
                  <c:v>0.6</c:v>
                </c:pt>
                <c:pt idx="246">
                  <c:v>1.2</c:v>
                </c:pt>
                <c:pt idx="247">
                  <c:v>0.9</c:v>
                </c:pt>
                <c:pt idx="248">
                  <c:v>2</c:v>
                </c:pt>
                <c:pt idx="249">
                  <c:v>7</c:v>
                </c:pt>
                <c:pt idx="250">
                  <c:v>6</c:v>
                </c:pt>
                <c:pt idx="251">
                  <c:v>2.5</c:v>
                </c:pt>
                <c:pt idx="252">
                  <c:v>4.7</c:v>
                </c:pt>
                <c:pt idx="253">
                  <c:v>4.3</c:v>
                </c:pt>
                <c:pt idx="254">
                  <c:v>3.6</c:v>
                </c:pt>
                <c:pt idx="255">
                  <c:v>4</c:v>
                </c:pt>
                <c:pt idx="256">
                  <c:v>4.5999999999999996</c:v>
                </c:pt>
                <c:pt idx="257">
                  <c:v>1.1000000000000001</c:v>
                </c:pt>
                <c:pt idx="258">
                  <c:v>2.7</c:v>
                </c:pt>
                <c:pt idx="259">
                  <c:v>1.8</c:v>
                </c:pt>
                <c:pt idx="260">
                  <c:v>5.4</c:v>
                </c:pt>
                <c:pt idx="261">
                  <c:v>2.7</c:v>
                </c:pt>
                <c:pt idx="262">
                  <c:v>5.5</c:v>
                </c:pt>
                <c:pt idx="263">
                  <c:v>6.7</c:v>
                </c:pt>
                <c:pt idx="264">
                  <c:v>2.2000000000000002</c:v>
                </c:pt>
                <c:pt idx="265">
                  <c:v>3.1</c:v>
                </c:pt>
                <c:pt idx="266">
                  <c:v>7.5</c:v>
                </c:pt>
                <c:pt idx="267">
                  <c:v>4.2</c:v>
                </c:pt>
                <c:pt idx="268">
                  <c:v>6.6</c:v>
                </c:pt>
                <c:pt idx="269">
                  <c:v>1.1000000000000001</c:v>
                </c:pt>
                <c:pt idx="270">
                  <c:v>1.7</c:v>
                </c:pt>
                <c:pt idx="271">
                  <c:v>3.9</c:v>
                </c:pt>
                <c:pt idx="272">
                  <c:v>3.7</c:v>
                </c:pt>
                <c:pt idx="273">
                  <c:v>0.5</c:v>
                </c:pt>
                <c:pt idx="274">
                  <c:v>4.3</c:v>
                </c:pt>
                <c:pt idx="275">
                  <c:v>6.6</c:v>
                </c:pt>
                <c:pt idx="276">
                  <c:v>7.6</c:v>
                </c:pt>
                <c:pt idx="277">
                  <c:v>3.1</c:v>
                </c:pt>
                <c:pt idx="278">
                  <c:v>4.5</c:v>
                </c:pt>
                <c:pt idx="279">
                  <c:v>2.9</c:v>
                </c:pt>
                <c:pt idx="280">
                  <c:v>1.7</c:v>
                </c:pt>
                <c:pt idx="281">
                  <c:v>0.3</c:v>
                </c:pt>
                <c:pt idx="282">
                  <c:v>3.3</c:v>
                </c:pt>
                <c:pt idx="283">
                  <c:v>2.8</c:v>
                </c:pt>
                <c:pt idx="284">
                  <c:v>5.2</c:v>
                </c:pt>
                <c:pt idx="285">
                  <c:v>1.4</c:v>
                </c:pt>
                <c:pt idx="286">
                  <c:v>7.3</c:v>
                </c:pt>
                <c:pt idx="287">
                  <c:v>4.0999999999999996</c:v>
                </c:pt>
                <c:pt idx="288">
                  <c:v>6.1</c:v>
                </c:pt>
                <c:pt idx="289">
                  <c:v>4.8</c:v>
                </c:pt>
                <c:pt idx="290">
                  <c:v>3.3</c:v>
                </c:pt>
                <c:pt idx="291">
                  <c:v>5.2</c:v>
                </c:pt>
                <c:pt idx="292">
                  <c:v>5.4</c:v>
                </c:pt>
                <c:pt idx="293">
                  <c:v>1.9</c:v>
                </c:pt>
                <c:pt idx="294">
                  <c:v>4.7</c:v>
                </c:pt>
                <c:pt idx="295">
                  <c:v>1.6</c:v>
                </c:pt>
                <c:pt idx="296">
                  <c:v>1.3</c:v>
                </c:pt>
                <c:pt idx="297">
                  <c:v>0.5</c:v>
                </c:pt>
                <c:pt idx="298">
                  <c:v>4.9000000000000004</c:v>
                </c:pt>
                <c:pt idx="29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2-41DD-8AE1-F22C4EA04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98351"/>
        <c:axId val="176566095"/>
      </c:scatterChart>
      <c:valAx>
        <c:axId val="16559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6095"/>
        <c:crosses val="autoZero"/>
        <c:crossBetween val="midCat"/>
      </c:valAx>
      <c:valAx>
        <c:axId val="1765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9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by department!PivotTable2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AVERAGE</a:t>
            </a:r>
            <a:r>
              <a:rPr lang="en-IN" sz="1400" b="1" baseline="0">
                <a:solidFill>
                  <a:schemeClr val="tx1"/>
                </a:solidFill>
              </a:rPr>
              <a:t> SALARY BY DEPARTMENT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salary by department'!$A$4:$A$11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'Average salary by department'!$B$4:$B$11</c:f>
              <c:numCache>
                <c:formatCode>General</c:formatCode>
                <c:ptCount val="7"/>
                <c:pt idx="0">
                  <c:v>34875</c:v>
                </c:pt>
                <c:pt idx="1">
                  <c:v>53162.79069767442</c:v>
                </c:pt>
                <c:pt idx="2">
                  <c:v>44931.818181818184</c:v>
                </c:pt>
                <c:pt idx="3">
                  <c:v>53481.481481481482</c:v>
                </c:pt>
                <c:pt idx="4">
                  <c:v>46763.15789473684</c:v>
                </c:pt>
                <c:pt idx="5">
                  <c:v>37606.060606060608</c:v>
                </c:pt>
                <c:pt idx="6">
                  <c:v>42562.5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7-4007-A0D5-1D21AF513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19919"/>
        <c:axId val="72164527"/>
      </c:barChart>
      <c:catAx>
        <c:axId val="6261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4527"/>
        <c:crosses val="autoZero"/>
        <c:auto val="1"/>
        <c:lblAlgn val="ctr"/>
        <c:lblOffset val="100"/>
        <c:noMultiLvlLbl val="0"/>
      </c:catAx>
      <c:valAx>
        <c:axId val="7216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and  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chemeClr val="tx1"/>
                </a:solidFill>
              </a:rPr>
              <a:t>Average</a:t>
            </a:r>
            <a:r>
              <a:rPr lang="en-IN" sz="2000" b="1" baseline="0">
                <a:solidFill>
                  <a:schemeClr val="tx1"/>
                </a:solidFill>
              </a:rPr>
              <a:t> salary by location</a:t>
            </a:r>
            <a:endParaRPr lang="en-IN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'Average salary and 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and  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'Average salary and  '!$B$4:$B$9</c:f>
              <c:numCache>
                <c:formatCode>General</c:formatCode>
                <c:ptCount val="5"/>
                <c:pt idx="0">
                  <c:v>47133.333333333336</c:v>
                </c:pt>
                <c:pt idx="1">
                  <c:v>45387.096774193546</c:v>
                </c:pt>
                <c:pt idx="2">
                  <c:v>43365.079365079364</c:v>
                </c:pt>
                <c:pt idx="3">
                  <c:v>44410.714285714283</c:v>
                </c:pt>
                <c:pt idx="4">
                  <c:v>46542.372881355936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1-4EA3-8F10-60201DDFA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415599"/>
        <c:axId val="176688975"/>
      </c:barChart>
      <c:catAx>
        <c:axId val="17541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88975"/>
        <c:crosses val="autoZero"/>
        <c:auto val="1"/>
        <c:lblAlgn val="ctr"/>
        <c:lblOffset val="100"/>
        <c:noMultiLvlLbl val="0"/>
      </c:catAx>
      <c:valAx>
        <c:axId val="17668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Leave Status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23-4175-B6CB-43B30DD30A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23-4175-B6CB-43B30DD30A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23-4175-B6CB-43B30DD30ABD}"/>
              </c:ext>
            </c:extLst>
          </c:dPt>
          <c:cat>
            <c:strRef>
              <c:f>Sheet1!$A$4:$A$7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126367</c:v>
                </c:pt>
                <c:pt idx="1">
                  <c:v>37073</c:v>
                </c:pt>
                <c:pt idx="2">
                  <c:v>41680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9-4FA1-8B12-B3B03284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bg1"/>
                </a:solidFill>
              </a:rPr>
              <a:t>Leave Type Distribution</a:t>
            </a:r>
            <a:endParaRPr lang="en-IN" sz="18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Sheet2!$A$4:$A$8</c:f>
              <c:strCache>
                <c:ptCount val="4"/>
                <c:pt idx="0">
                  <c:v>Annual Leave</c:v>
                </c:pt>
                <c:pt idx="1">
                  <c:v>Casual Leave</c:v>
                </c:pt>
                <c:pt idx="2">
                  <c:v>Emergency Leave</c:v>
                </c:pt>
                <c:pt idx="3">
                  <c:v>Sick Leave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173</c:v>
                </c:pt>
                <c:pt idx="1">
                  <c:v>141</c:v>
                </c:pt>
                <c:pt idx="2">
                  <c:v>158</c:v>
                </c:pt>
                <c:pt idx="3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0-4322-AF17-0858C4002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3114672"/>
        <c:axId val="2024286416"/>
        <c:axId val="0"/>
      </c:bar3DChart>
      <c:catAx>
        <c:axId val="211311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86416"/>
        <c:crosses val="autoZero"/>
        <c:auto val="1"/>
        <c:lblAlgn val="ctr"/>
        <c:lblOffset val="100"/>
        <c:noMultiLvlLbl val="0"/>
      </c:catAx>
      <c:valAx>
        <c:axId val="202428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1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Leave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138</c:v>
                </c:pt>
                <c:pt idx="1">
                  <c:v>108</c:v>
                </c:pt>
                <c:pt idx="2">
                  <c:v>136</c:v>
                </c:pt>
                <c:pt idx="3">
                  <c:v>186</c:v>
                </c:pt>
                <c:pt idx="4">
                  <c:v>117</c:v>
                </c:pt>
                <c:pt idx="5">
                  <c:v>99</c:v>
                </c:pt>
                <c:pt idx="6">
                  <c:v>124</c:v>
                </c:pt>
                <c:pt idx="7">
                  <c:v>142</c:v>
                </c:pt>
                <c:pt idx="8">
                  <c:v>121</c:v>
                </c:pt>
                <c:pt idx="9">
                  <c:v>135</c:v>
                </c:pt>
                <c:pt idx="10">
                  <c:v>143</c:v>
                </c:pt>
                <c:pt idx="11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6-4C68-8D95-83C8227D9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43135"/>
        <c:axId val="2135581040"/>
      </c:lineChart>
      <c:catAx>
        <c:axId val="17464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581040"/>
        <c:crosses val="autoZero"/>
        <c:auto val="1"/>
        <c:lblAlgn val="ctr"/>
        <c:lblOffset val="100"/>
        <c:noMultiLvlLbl val="0"/>
      </c:catAx>
      <c:valAx>
        <c:axId val="21355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4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anylatic.xlsx]Sheet14!PivotTable14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Sum of leave days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CE-469D-ACE6-B23F39D219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E-469D-ACE6-B23F39D219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CE-469D-ACE6-B23F39D219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CE-469D-ACE6-B23F39D219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CE-469D-ACE6-B23F39D219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3CE-469D-ACE6-B23F39D219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3CE-469D-ACE6-B23F39D219E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3CE-469D-ACE6-B23F39D219EA}"/>
              </c:ext>
            </c:extLst>
          </c:dPt>
          <c:cat>
            <c:strRef>
              <c:f>Sheet14!$A$4:$A$12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Not Found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Sheet14!$B$4:$B$12</c:f>
              <c:numCache>
                <c:formatCode>General</c:formatCode>
                <c:ptCount val="8"/>
                <c:pt idx="0">
                  <c:v>83</c:v>
                </c:pt>
                <c:pt idx="1">
                  <c:v>120</c:v>
                </c:pt>
                <c:pt idx="2">
                  <c:v>100</c:v>
                </c:pt>
                <c:pt idx="3">
                  <c:v>124</c:v>
                </c:pt>
                <c:pt idx="4">
                  <c:v>91</c:v>
                </c:pt>
                <c:pt idx="5">
                  <c:v>839</c:v>
                </c:pt>
                <c:pt idx="6">
                  <c:v>92</c:v>
                </c:pt>
                <c:pt idx="7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C-4C51-8598-0DA3DB19F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anylatic.xlsx]Sheet15!PivotTable15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Employee-wise Total Leave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Sheet15!$A$4:$A$644</c:f>
              <c:strCache>
                <c:ptCount val="640"/>
                <c:pt idx="0">
                  <c:v>542</c:v>
                </c:pt>
                <c:pt idx="1">
                  <c:v>463</c:v>
                </c:pt>
                <c:pt idx="2">
                  <c:v>623</c:v>
                </c:pt>
                <c:pt idx="3">
                  <c:v>323</c:v>
                </c:pt>
                <c:pt idx="4">
                  <c:v>507</c:v>
                </c:pt>
                <c:pt idx="5">
                  <c:v>324</c:v>
                </c:pt>
                <c:pt idx="6">
                  <c:v>594</c:v>
                </c:pt>
                <c:pt idx="7">
                  <c:v>327</c:v>
                </c:pt>
                <c:pt idx="8">
                  <c:v>455</c:v>
                </c:pt>
                <c:pt idx="9">
                  <c:v>336</c:v>
                </c:pt>
                <c:pt idx="10">
                  <c:v>488</c:v>
                </c:pt>
                <c:pt idx="11">
                  <c:v>337</c:v>
                </c:pt>
                <c:pt idx="12">
                  <c:v>521</c:v>
                </c:pt>
                <c:pt idx="13">
                  <c:v>338</c:v>
                </c:pt>
                <c:pt idx="14">
                  <c:v>573</c:v>
                </c:pt>
                <c:pt idx="15">
                  <c:v>340</c:v>
                </c:pt>
                <c:pt idx="16">
                  <c:v>607</c:v>
                </c:pt>
                <c:pt idx="17">
                  <c:v>343</c:v>
                </c:pt>
                <c:pt idx="18">
                  <c:v>446</c:v>
                </c:pt>
                <c:pt idx="19">
                  <c:v>344</c:v>
                </c:pt>
                <c:pt idx="20">
                  <c:v>459</c:v>
                </c:pt>
                <c:pt idx="21">
                  <c:v>345</c:v>
                </c:pt>
                <c:pt idx="22">
                  <c:v>473</c:v>
                </c:pt>
                <c:pt idx="23">
                  <c:v>347</c:v>
                </c:pt>
                <c:pt idx="24">
                  <c:v>500</c:v>
                </c:pt>
                <c:pt idx="25">
                  <c:v>354</c:v>
                </c:pt>
                <c:pt idx="26">
                  <c:v>513</c:v>
                </c:pt>
                <c:pt idx="27">
                  <c:v>355</c:v>
                </c:pt>
                <c:pt idx="28">
                  <c:v>524</c:v>
                </c:pt>
                <c:pt idx="29">
                  <c:v>361</c:v>
                </c:pt>
                <c:pt idx="30">
                  <c:v>551</c:v>
                </c:pt>
                <c:pt idx="31">
                  <c:v>365</c:v>
                </c:pt>
                <c:pt idx="32">
                  <c:v>582</c:v>
                </c:pt>
                <c:pt idx="33">
                  <c:v>372</c:v>
                </c:pt>
                <c:pt idx="34">
                  <c:v>599</c:v>
                </c:pt>
                <c:pt idx="35">
                  <c:v>376</c:v>
                </c:pt>
                <c:pt idx="36">
                  <c:v>612</c:v>
                </c:pt>
                <c:pt idx="37">
                  <c:v>378</c:v>
                </c:pt>
                <c:pt idx="38">
                  <c:v>444</c:v>
                </c:pt>
                <c:pt idx="39">
                  <c:v>379</c:v>
                </c:pt>
                <c:pt idx="40">
                  <c:v>448</c:v>
                </c:pt>
                <c:pt idx="41">
                  <c:v>390</c:v>
                </c:pt>
                <c:pt idx="42">
                  <c:v>457</c:v>
                </c:pt>
                <c:pt idx="43">
                  <c:v>391</c:v>
                </c:pt>
                <c:pt idx="44">
                  <c:v>461</c:v>
                </c:pt>
                <c:pt idx="45">
                  <c:v>394</c:v>
                </c:pt>
                <c:pt idx="46">
                  <c:v>469</c:v>
                </c:pt>
                <c:pt idx="47">
                  <c:v>396</c:v>
                </c:pt>
                <c:pt idx="48">
                  <c:v>487</c:v>
                </c:pt>
                <c:pt idx="49">
                  <c:v>397</c:v>
                </c:pt>
                <c:pt idx="50">
                  <c:v>492</c:v>
                </c:pt>
                <c:pt idx="51">
                  <c:v>400</c:v>
                </c:pt>
                <c:pt idx="52">
                  <c:v>506</c:v>
                </c:pt>
                <c:pt idx="53">
                  <c:v>405</c:v>
                </c:pt>
                <c:pt idx="54">
                  <c:v>511</c:v>
                </c:pt>
                <c:pt idx="55">
                  <c:v>406</c:v>
                </c:pt>
                <c:pt idx="56">
                  <c:v>520</c:v>
                </c:pt>
                <c:pt idx="57">
                  <c:v>408</c:v>
                </c:pt>
                <c:pt idx="58">
                  <c:v>522</c:v>
                </c:pt>
                <c:pt idx="59">
                  <c:v>409</c:v>
                </c:pt>
                <c:pt idx="60">
                  <c:v>530</c:v>
                </c:pt>
                <c:pt idx="61">
                  <c:v>427</c:v>
                </c:pt>
                <c:pt idx="62">
                  <c:v>548</c:v>
                </c:pt>
                <c:pt idx="63">
                  <c:v>428</c:v>
                </c:pt>
                <c:pt idx="64">
                  <c:v>563</c:v>
                </c:pt>
                <c:pt idx="65">
                  <c:v>432</c:v>
                </c:pt>
                <c:pt idx="66">
                  <c:v>574</c:v>
                </c:pt>
                <c:pt idx="67">
                  <c:v>433</c:v>
                </c:pt>
                <c:pt idx="68">
                  <c:v>591</c:v>
                </c:pt>
                <c:pt idx="69">
                  <c:v>434</c:v>
                </c:pt>
                <c:pt idx="70">
                  <c:v>598</c:v>
                </c:pt>
                <c:pt idx="71">
                  <c:v>435</c:v>
                </c:pt>
                <c:pt idx="72">
                  <c:v>605</c:v>
                </c:pt>
                <c:pt idx="73">
                  <c:v>436</c:v>
                </c:pt>
                <c:pt idx="74">
                  <c:v>610</c:v>
                </c:pt>
                <c:pt idx="75">
                  <c:v>439</c:v>
                </c:pt>
                <c:pt idx="76">
                  <c:v>620</c:v>
                </c:pt>
                <c:pt idx="77">
                  <c:v>440</c:v>
                </c:pt>
                <c:pt idx="78">
                  <c:v>624</c:v>
                </c:pt>
                <c:pt idx="79">
                  <c:v>441</c:v>
                </c:pt>
                <c:pt idx="80">
                  <c:v>480</c:v>
                </c:pt>
                <c:pt idx="81">
                  <c:v>260</c:v>
                </c:pt>
                <c:pt idx="82">
                  <c:v>200</c:v>
                </c:pt>
                <c:pt idx="83">
                  <c:v>319</c:v>
                </c:pt>
                <c:pt idx="84">
                  <c:v>8</c:v>
                </c:pt>
                <c:pt idx="85">
                  <c:v>237</c:v>
                </c:pt>
                <c:pt idx="86">
                  <c:v>16</c:v>
                </c:pt>
                <c:pt idx="87">
                  <c:v>289</c:v>
                </c:pt>
                <c:pt idx="88">
                  <c:v>23</c:v>
                </c:pt>
                <c:pt idx="89">
                  <c:v>189</c:v>
                </c:pt>
                <c:pt idx="90">
                  <c:v>30</c:v>
                </c:pt>
                <c:pt idx="91">
                  <c:v>228</c:v>
                </c:pt>
                <c:pt idx="92">
                  <c:v>36</c:v>
                </c:pt>
                <c:pt idx="93">
                  <c:v>248</c:v>
                </c:pt>
                <c:pt idx="94">
                  <c:v>50</c:v>
                </c:pt>
                <c:pt idx="95">
                  <c:v>274</c:v>
                </c:pt>
                <c:pt idx="96">
                  <c:v>57</c:v>
                </c:pt>
                <c:pt idx="97">
                  <c:v>309</c:v>
                </c:pt>
                <c:pt idx="98">
                  <c:v>61</c:v>
                </c:pt>
                <c:pt idx="99">
                  <c:v>179</c:v>
                </c:pt>
                <c:pt idx="100">
                  <c:v>62</c:v>
                </c:pt>
                <c:pt idx="101">
                  <c:v>196</c:v>
                </c:pt>
                <c:pt idx="102">
                  <c:v>63</c:v>
                </c:pt>
                <c:pt idx="103">
                  <c:v>214</c:v>
                </c:pt>
                <c:pt idx="104">
                  <c:v>64</c:v>
                </c:pt>
                <c:pt idx="105">
                  <c:v>230</c:v>
                </c:pt>
                <c:pt idx="106">
                  <c:v>65</c:v>
                </c:pt>
                <c:pt idx="107">
                  <c:v>243</c:v>
                </c:pt>
                <c:pt idx="108">
                  <c:v>71</c:v>
                </c:pt>
                <c:pt idx="109">
                  <c:v>253</c:v>
                </c:pt>
                <c:pt idx="110">
                  <c:v>79</c:v>
                </c:pt>
                <c:pt idx="111">
                  <c:v>265</c:v>
                </c:pt>
                <c:pt idx="112">
                  <c:v>81</c:v>
                </c:pt>
                <c:pt idx="113">
                  <c:v>277</c:v>
                </c:pt>
                <c:pt idx="114">
                  <c:v>83</c:v>
                </c:pt>
                <c:pt idx="115">
                  <c:v>296</c:v>
                </c:pt>
                <c:pt idx="116">
                  <c:v>87</c:v>
                </c:pt>
                <c:pt idx="117">
                  <c:v>314</c:v>
                </c:pt>
                <c:pt idx="118">
                  <c:v>88</c:v>
                </c:pt>
                <c:pt idx="119">
                  <c:v>175</c:v>
                </c:pt>
                <c:pt idx="120">
                  <c:v>90</c:v>
                </c:pt>
                <c:pt idx="121">
                  <c:v>186</c:v>
                </c:pt>
                <c:pt idx="122">
                  <c:v>94</c:v>
                </c:pt>
                <c:pt idx="123">
                  <c:v>195</c:v>
                </c:pt>
                <c:pt idx="124">
                  <c:v>99</c:v>
                </c:pt>
                <c:pt idx="125">
                  <c:v>198</c:v>
                </c:pt>
                <c:pt idx="126">
                  <c:v>112</c:v>
                </c:pt>
                <c:pt idx="127">
                  <c:v>210</c:v>
                </c:pt>
                <c:pt idx="128">
                  <c:v>114</c:v>
                </c:pt>
                <c:pt idx="129">
                  <c:v>223</c:v>
                </c:pt>
                <c:pt idx="130">
                  <c:v>118</c:v>
                </c:pt>
                <c:pt idx="131">
                  <c:v>229</c:v>
                </c:pt>
                <c:pt idx="132">
                  <c:v>123</c:v>
                </c:pt>
                <c:pt idx="133">
                  <c:v>236</c:v>
                </c:pt>
                <c:pt idx="134">
                  <c:v>124</c:v>
                </c:pt>
                <c:pt idx="135">
                  <c:v>241</c:v>
                </c:pt>
                <c:pt idx="136">
                  <c:v>132</c:v>
                </c:pt>
                <c:pt idx="137">
                  <c:v>244</c:v>
                </c:pt>
                <c:pt idx="138">
                  <c:v>137</c:v>
                </c:pt>
                <c:pt idx="139">
                  <c:v>250</c:v>
                </c:pt>
                <c:pt idx="140">
                  <c:v>138</c:v>
                </c:pt>
                <c:pt idx="141">
                  <c:v>257</c:v>
                </c:pt>
                <c:pt idx="142">
                  <c:v>139</c:v>
                </c:pt>
                <c:pt idx="143">
                  <c:v>261</c:v>
                </c:pt>
                <c:pt idx="144">
                  <c:v>143</c:v>
                </c:pt>
                <c:pt idx="145">
                  <c:v>267</c:v>
                </c:pt>
                <c:pt idx="146">
                  <c:v>149</c:v>
                </c:pt>
                <c:pt idx="147">
                  <c:v>275</c:v>
                </c:pt>
                <c:pt idx="148">
                  <c:v>150</c:v>
                </c:pt>
                <c:pt idx="149">
                  <c:v>282</c:v>
                </c:pt>
                <c:pt idx="150">
                  <c:v>153</c:v>
                </c:pt>
                <c:pt idx="151">
                  <c:v>295</c:v>
                </c:pt>
                <c:pt idx="152">
                  <c:v>155</c:v>
                </c:pt>
                <c:pt idx="153">
                  <c:v>297</c:v>
                </c:pt>
                <c:pt idx="154">
                  <c:v>157</c:v>
                </c:pt>
                <c:pt idx="155">
                  <c:v>310</c:v>
                </c:pt>
                <c:pt idx="156">
                  <c:v>1</c:v>
                </c:pt>
                <c:pt idx="157">
                  <c:v>318</c:v>
                </c:pt>
                <c:pt idx="158">
                  <c:v>169</c:v>
                </c:pt>
                <c:pt idx="159">
                  <c:v>170</c:v>
                </c:pt>
                <c:pt idx="160">
                  <c:v>162</c:v>
                </c:pt>
                <c:pt idx="161">
                  <c:v>603</c:v>
                </c:pt>
                <c:pt idx="162">
                  <c:v>554</c:v>
                </c:pt>
                <c:pt idx="163">
                  <c:v>525</c:v>
                </c:pt>
                <c:pt idx="164">
                  <c:v>403</c:v>
                </c:pt>
                <c:pt idx="165">
                  <c:v>571</c:v>
                </c:pt>
                <c:pt idx="166">
                  <c:v>407</c:v>
                </c:pt>
                <c:pt idx="167">
                  <c:v>626</c:v>
                </c:pt>
                <c:pt idx="168">
                  <c:v>410</c:v>
                </c:pt>
                <c:pt idx="169">
                  <c:v>384</c:v>
                </c:pt>
                <c:pt idx="170">
                  <c:v>415</c:v>
                </c:pt>
                <c:pt idx="171">
                  <c:v>562</c:v>
                </c:pt>
                <c:pt idx="172">
                  <c:v>417</c:v>
                </c:pt>
                <c:pt idx="173">
                  <c:v>586</c:v>
                </c:pt>
                <c:pt idx="174">
                  <c:v>418</c:v>
                </c:pt>
                <c:pt idx="175">
                  <c:v>616</c:v>
                </c:pt>
                <c:pt idx="176">
                  <c:v>420</c:v>
                </c:pt>
                <c:pt idx="177">
                  <c:v>515</c:v>
                </c:pt>
                <c:pt idx="178">
                  <c:v>426</c:v>
                </c:pt>
                <c:pt idx="179">
                  <c:v>537</c:v>
                </c:pt>
                <c:pt idx="180">
                  <c:v>429</c:v>
                </c:pt>
                <c:pt idx="181">
                  <c:v>544</c:v>
                </c:pt>
                <c:pt idx="182">
                  <c:v>333</c:v>
                </c:pt>
                <c:pt idx="183">
                  <c:v>560</c:v>
                </c:pt>
                <c:pt idx="184">
                  <c:v>357</c:v>
                </c:pt>
                <c:pt idx="185">
                  <c:v>566</c:v>
                </c:pt>
                <c:pt idx="186">
                  <c:v>358</c:v>
                </c:pt>
                <c:pt idx="187">
                  <c:v>583</c:v>
                </c:pt>
                <c:pt idx="188">
                  <c:v>359</c:v>
                </c:pt>
                <c:pt idx="189">
                  <c:v>593</c:v>
                </c:pt>
                <c:pt idx="190">
                  <c:v>442</c:v>
                </c:pt>
                <c:pt idx="191">
                  <c:v>331</c:v>
                </c:pt>
                <c:pt idx="192">
                  <c:v>445</c:v>
                </c:pt>
                <c:pt idx="193">
                  <c:v>619</c:v>
                </c:pt>
                <c:pt idx="194">
                  <c:v>362</c:v>
                </c:pt>
                <c:pt idx="195">
                  <c:v>636</c:v>
                </c:pt>
                <c:pt idx="196">
                  <c:v>451</c:v>
                </c:pt>
                <c:pt idx="197">
                  <c:v>517</c:v>
                </c:pt>
                <c:pt idx="198">
                  <c:v>364</c:v>
                </c:pt>
                <c:pt idx="199">
                  <c:v>526</c:v>
                </c:pt>
                <c:pt idx="200">
                  <c:v>456</c:v>
                </c:pt>
                <c:pt idx="201">
                  <c:v>539</c:v>
                </c:pt>
                <c:pt idx="202">
                  <c:v>462</c:v>
                </c:pt>
                <c:pt idx="203">
                  <c:v>543</c:v>
                </c:pt>
                <c:pt idx="204">
                  <c:v>470</c:v>
                </c:pt>
                <c:pt idx="205">
                  <c:v>386</c:v>
                </c:pt>
                <c:pt idx="206">
                  <c:v>472</c:v>
                </c:pt>
                <c:pt idx="207">
                  <c:v>555</c:v>
                </c:pt>
                <c:pt idx="208">
                  <c:v>474</c:v>
                </c:pt>
                <c:pt idx="209">
                  <c:v>561</c:v>
                </c:pt>
                <c:pt idx="210">
                  <c:v>476</c:v>
                </c:pt>
                <c:pt idx="211">
                  <c:v>387</c:v>
                </c:pt>
                <c:pt idx="212">
                  <c:v>477</c:v>
                </c:pt>
                <c:pt idx="213">
                  <c:v>569</c:v>
                </c:pt>
                <c:pt idx="214">
                  <c:v>479</c:v>
                </c:pt>
                <c:pt idx="215">
                  <c:v>579</c:v>
                </c:pt>
                <c:pt idx="216">
                  <c:v>326</c:v>
                </c:pt>
                <c:pt idx="217">
                  <c:v>584</c:v>
                </c:pt>
                <c:pt idx="218">
                  <c:v>489</c:v>
                </c:pt>
                <c:pt idx="219">
                  <c:v>589</c:v>
                </c:pt>
                <c:pt idx="220">
                  <c:v>373</c:v>
                </c:pt>
                <c:pt idx="221">
                  <c:v>601</c:v>
                </c:pt>
                <c:pt idx="222">
                  <c:v>496</c:v>
                </c:pt>
                <c:pt idx="223">
                  <c:v>604</c:v>
                </c:pt>
                <c:pt idx="224">
                  <c:v>498</c:v>
                </c:pt>
                <c:pt idx="225">
                  <c:v>398</c:v>
                </c:pt>
                <c:pt idx="226">
                  <c:v>499</c:v>
                </c:pt>
                <c:pt idx="227">
                  <c:v>617</c:v>
                </c:pt>
                <c:pt idx="228">
                  <c:v>374</c:v>
                </c:pt>
                <c:pt idx="229">
                  <c:v>399</c:v>
                </c:pt>
                <c:pt idx="230">
                  <c:v>510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288</c:v>
                </c:pt>
                <c:pt idx="235">
                  <c:v>249</c:v>
                </c:pt>
                <c:pt idx="236">
                  <c:v>221</c:v>
                </c:pt>
                <c:pt idx="237">
                  <c:v>121</c:v>
                </c:pt>
                <c:pt idx="238">
                  <c:v>100</c:v>
                </c:pt>
                <c:pt idx="239">
                  <c:v>41</c:v>
                </c:pt>
                <c:pt idx="240">
                  <c:v>308</c:v>
                </c:pt>
                <c:pt idx="241">
                  <c:v>125</c:v>
                </c:pt>
                <c:pt idx="242">
                  <c:v>235</c:v>
                </c:pt>
                <c:pt idx="243">
                  <c:v>130</c:v>
                </c:pt>
                <c:pt idx="244">
                  <c:v>264</c:v>
                </c:pt>
                <c:pt idx="245">
                  <c:v>131</c:v>
                </c:pt>
                <c:pt idx="246">
                  <c:v>283</c:v>
                </c:pt>
                <c:pt idx="247">
                  <c:v>133</c:v>
                </c:pt>
                <c:pt idx="248">
                  <c:v>7</c:v>
                </c:pt>
                <c:pt idx="249">
                  <c:v>136</c:v>
                </c:pt>
                <c:pt idx="250">
                  <c:v>38</c:v>
                </c:pt>
                <c:pt idx="251">
                  <c:v>2</c:v>
                </c:pt>
                <c:pt idx="252">
                  <c:v>225</c:v>
                </c:pt>
                <c:pt idx="253">
                  <c:v>141</c:v>
                </c:pt>
                <c:pt idx="254">
                  <c:v>239</c:v>
                </c:pt>
                <c:pt idx="255">
                  <c:v>51</c:v>
                </c:pt>
                <c:pt idx="256">
                  <c:v>96</c:v>
                </c:pt>
                <c:pt idx="257">
                  <c:v>144</c:v>
                </c:pt>
                <c:pt idx="258">
                  <c:v>268</c:v>
                </c:pt>
                <c:pt idx="259">
                  <c:v>54</c:v>
                </c:pt>
                <c:pt idx="260">
                  <c:v>278</c:v>
                </c:pt>
                <c:pt idx="261">
                  <c:v>152</c:v>
                </c:pt>
                <c:pt idx="262">
                  <c:v>285</c:v>
                </c:pt>
                <c:pt idx="263">
                  <c:v>154</c:v>
                </c:pt>
                <c:pt idx="264">
                  <c:v>291</c:v>
                </c:pt>
                <c:pt idx="265">
                  <c:v>11</c:v>
                </c:pt>
                <c:pt idx="266">
                  <c:v>305</c:v>
                </c:pt>
                <c:pt idx="267">
                  <c:v>58</c:v>
                </c:pt>
                <c:pt idx="268">
                  <c:v>216</c:v>
                </c:pt>
                <c:pt idx="269">
                  <c:v>320</c:v>
                </c:pt>
                <c:pt idx="270">
                  <c:v>220</c:v>
                </c:pt>
                <c:pt idx="271">
                  <c:v>167</c:v>
                </c:pt>
                <c:pt idx="272">
                  <c:v>224</c:v>
                </c:pt>
                <c:pt idx="273">
                  <c:v>182</c:v>
                </c:pt>
                <c:pt idx="274">
                  <c:v>231</c:v>
                </c:pt>
                <c:pt idx="275">
                  <c:v>183</c:v>
                </c:pt>
                <c:pt idx="276">
                  <c:v>85</c:v>
                </c:pt>
                <c:pt idx="277">
                  <c:v>185</c:v>
                </c:pt>
                <c:pt idx="278">
                  <c:v>29</c:v>
                </c:pt>
                <c:pt idx="279">
                  <c:v>17</c:v>
                </c:pt>
                <c:pt idx="280">
                  <c:v>251</c:v>
                </c:pt>
                <c:pt idx="281">
                  <c:v>67</c:v>
                </c:pt>
                <c:pt idx="282">
                  <c:v>97</c:v>
                </c:pt>
                <c:pt idx="283">
                  <c:v>194</c:v>
                </c:pt>
                <c:pt idx="284">
                  <c:v>98</c:v>
                </c:pt>
                <c:pt idx="285">
                  <c:v>70</c:v>
                </c:pt>
                <c:pt idx="286">
                  <c:v>272</c:v>
                </c:pt>
                <c:pt idx="287">
                  <c:v>18</c:v>
                </c:pt>
                <c:pt idx="288">
                  <c:v>105</c:v>
                </c:pt>
                <c:pt idx="289">
                  <c:v>197</c:v>
                </c:pt>
                <c:pt idx="290">
                  <c:v>107</c:v>
                </c:pt>
                <c:pt idx="291">
                  <c:v>74</c:v>
                </c:pt>
                <c:pt idx="292">
                  <c:v>284</c:v>
                </c:pt>
                <c:pt idx="293">
                  <c:v>201</c:v>
                </c:pt>
                <c:pt idx="294">
                  <c:v>287</c:v>
                </c:pt>
                <c:pt idx="295">
                  <c:v>203</c:v>
                </c:pt>
                <c:pt idx="296">
                  <c:v>108</c:v>
                </c:pt>
                <c:pt idx="297">
                  <c:v>206</c:v>
                </c:pt>
                <c:pt idx="298">
                  <c:v>110</c:v>
                </c:pt>
                <c:pt idx="299">
                  <c:v>207</c:v>
                </c:pt>
                <c:pt idx="300">
                  <c:v>304</c:v>
                </c:pt>
                <c:pt idx="301">
                  <c:v>77</c:v>
                </c:pt>
                <c:pt idx="302">
                  <c:v>306</c:v>
                </c:pt>
                <c:pt idx="303">
                  <c:v>213</c:v>
                </c:pt>
                <c:pt idx="304">
                  <c:v>115</c:v>
                </c:pt>
                <c:pt idx="305">
                  <c:v>215</c:v>
                </c:pt>
                <c:pt idx="306">
                  <c:v>218</c:v>
                </c:pt>
                <c:pt idx="307">
                  <c:v>349</c:v>
                </c:pt>
                <c:pt idx="308">
                  <c:v>581</c:v>
                </c:pt>
                <c:pt idx="309">
                  <c:v>475</c:v>
                </c:pt>
                <c:pt idx="310">
                  <c:v>423</c:v>
                </c:pt>
                <c:pt idx="311">
                  <c:v>484</c:v>
                </c:pt>
                <c:pt idx="312">
                  <c:v>363</c:v>
                </c:pt>
                <c:pt idx="313">
                  <c:v>622</c:v>
                </c:pt>
                <c:pt idx="314">
                  <c:v>424</c:v>
                </c:pt>
                <c:pt idx="315">
                  <c:v>389</c:v>
                </c:pt>
                <c:pt idx="316">
                  <c:v>638</c:v>
                </c:pt>
                <c:pt idx="317">
                  <c:v>588</c:v>
                </c:pt>
                <c:pt idx="318">
                  <c:v>425</c:v>
                </c:pt>
                <c:pt idx="319">
                  <c:v>485</c:v>
                </c:pt>
                <c:pt idx="320">
                  <c:v>413</c:v>
                </c:pt>
                <c:pt idx="321">
                  <c:v>497</c:v>
                </c:pt>
                <c:pt idx="322">
                  <c:v>519</c:v>
                </c:pt>
                <c:pt idx="323">
                  <c:v>421</c:v>
                </c:pt>
                <c:pt idx="324">
                  <c:v>402</c:v>
                </c:pt>
                <c:pt idx="325">
                  <c:v>353</c:v>
                </c:pt>
                <c:pt idx="326">
                  <c:v>382</c:v>
                </c:pt>
                <c:pt idx="327">
                  <c:v>578</c:v>
                </c:pt>
                <c:pt idx="328">
                  <c:v>325</c:v>
                </c:pt>
                <c:pt idx="329">
                  <c:v>321</c:v>
                </c:pt>
                <c:pt idx="330">
                  <c:v>366</c:v>
                </c:pt>
                <c:pt idx="331">
                  <c:v>590</c:v>
                </c:pt>
                <c:pt idx="332">
                  <c:v>527</c:v>
                </c:pt>
                <c:pt idx="333">
                  <c:v>595</c:v>
                </c:pt>
                <c:pt idx="334">
                  <c:v>529</c:v>
                </c:pt>
                <c:pt idx="335">
                  <c:v>334</c:v>
                </c:pt>
                <c:pt idx="336">
                  <c:v>534</c:v>
                </c:pt>
                <c:pt idx="337">
                  <c:v>348</c:v>
                </c:pt>
                <c:pt idx="338">
                  <c:v>536</c:v>
                </c:pt>
                <c:pt idx="339">
                  <c:v>360</c:v>
                </c:pt>
                <c:pt idx="340">
                  <c:v>460</c:v>
                </c:pt>
                <c:pt idx="341">
                  <c:v>401</c:v>
                </c:pt>
                <c:pt idx="342">
                  <c:v>538</c:v>
                </c:pt>
                <c:pt idx="343">
                  <c:v>504</c:v>
                </c:pt>
                <c:pt idx="344">
                  <c:v>367</c:v>
                </c:pt>
                <c:pt idx="345">
                  <c:v>431</c:v>
                </c:pt>
                <c:pt idx="346">
                  <c:v>541</c:v>
                </c:pt>
                <c:pt idx="347">
                  <c:v>388</c:v>
                </c:pt>
                <c:pt idx="348">
                  <c:v>351</c:v>
                </c:pt>
                <c:pt idx="349">
                  <c:v>575</c:v>
                </c:pt>
                <c:pt idx="350">
                  <c:v>368</c:v>
                </c:pt>
                <c:pt idx="351">
                  <c:v>478</c:v>
                </c:pt>
                <c:pt idx="352">
                  <c:v>464</c:v>
                </c:pt>
                <c:pt idx="353">
                  <c:v>416</c:v>
                </c:pt>
                <c:pt idx="354">
                  <c:v>546</c:v>
                </c:pt>
                <c:pt idx="355">
                  <c:v>482</c:v>
                </c:pt>
                <c:pt idx="356">
                  <c:v>547</c:v>
                </c:pt>
                <c:pt idx="357">
                  <c:v>483</c:v>
                </c:pt>
                <c:pt idx="358">
                  <c:v>385</c:v>
                </c:pt>
                <c:pt idx="359">
                  <c:v>592</c:v>
                </c:pt>
                <c:pt idx="360">
                  <c:v>549</c:v>
                </c:pt>
                <c:pt idx="361">
                  <c:v>392</c:v>
                </c:pt>
                <c:pt idx="362">
                  <c:v>465</c:v>
                </c:pt>
                <c:pt idx="363">
                  <c:v>596</c:v>
                </c:pt>
                <c:pt idx="364">
                  <c:v>552</c:v>
                </c:pt>
                <c:pt idx="365">
                  <c:v>371</c:v>
                </c:pt>
                <c:pt idx="366">
                  <c:v>553</c:v>
                </c:pt>
                <c:pt idx="367">
                  <c:v>395</c:v>
                </c:pt>
                <c:pt idx="368">
                  <c:v>467</c:v>
                </c:pt>
                <c:pt idx="369">
                  <c:v>611</c:v>
                </c:pt>
                <c:pt idx="370">
                  <c:v>352</c:v>
                </c:pt>
                <c:pt idx="371">
                  <c:v>419</c:v>
                </c:pt>
                <c:pt idx="372">
                  <c:v>557</c:v>
                </c:pt>
                <c:pt idx="373">
                  <c:v>618</c:v>
                </c:pt>
                <c:pt idx="374">
                  <c:v>559</c:v>
                </c:pt>
                <c:pt idx="375">
                  <c:v>411</c:v>
                </c:pt>
                <c:pt idx="376">
                  <c:v>471</c:v>
                </c:pt>
                <c:pt idx="377">
                  <c:v>346</c:v>
                </c:pt>
                <c:pt idx="378">
                  <c:v>404</c:v>
                </c:pt>
                <c:pt idx="379">
                  <c:v>625</c:v>
                </c:pt>
                <c:pt idx="380">
                  <c:v>370</c:v>
                </c:pt>
                <c:pt idx="381">
                  <c:v>631</c:v>
                </c:pt>
                <c:pt idx="382">
                  <c:v>430</c:v>
                </c:pt>
                <c:pt idx="383">
                  <c:v>509</c:v>
                </c:pt>
                <c:pt idx="384">
                  <c:v>565</c:v>
                </c:pt>
                <c:pt idx="385">
                  <c:v>377</c:v>
                </c:pt>
                <c:pt idx="386">
                  <c:v>637</c:v>
                </c:pt>
                <c:pt idx="387">
                  <c:v>339</c:v>
                </c:pt>
                <c:pt idx="388">
                  <c:v>514</c:v>
                </c:pt>
                <c:pt idx="389">
                  <c:v>380</c:v>
                </c:pt>
                <c:pt idx="390">
                  <c:v>298</c:v>
                </c:pt>
                <c:pt idx="391">
                  <c:v>151</c:v>
                </c:pt>
                <c:pt idx="392">
                  <c:v>34</c:v>
                </c:pt>
                <c:pt idx="393">
                  <c:v>127</c:v>
                </c:pt>
                <c:pt idx="394">
                  <c:v>126</c:v>
                </c:pt>
                <c:pt idx="395">
                  <c:v>219</c:v>
                </c:pt>
                <c:pt idx="396">
                  <c:v>37</c:v>
                </c:pt>
                <c:pt idx="397">
                  <c:v>168</c:v>
                </c:pt>
                <c:pt idx="398">
                  <c:v>273</c:v>
                </c:pt>
                <c:pt idx="399">
                  <c:v>12</c:v>
                </c:pt>
                <c:pt idx="400">
                  <c:v>199</c:v>
                </c:pt>
                <c:pt idx="401">
                  <c:v>19</c:v>
                </c:pt>
                <c:pt idx="402">
                  <c:v>294</c:v>
                </c:pt>
                <c:pt idx="403">
                  <c:v>13</c:v>
                </c:pt>
                <c:pt idx="404">
                  <c:v>49</c:v>
                </c:pt>
                <c:pt idx="405">
                  <c:v>172</c:v>
                </c:pt>
                <c:pt idx="406">
                  <c:v>116</c:v>
                </c:pt>
                <c:pt idx="407">
                  <c:v>226</c:v>
                </c:pt>
                <c:pt idx="408">
                  <c:v>269</c:v>
                </c:pt>
                <c:pt idx="409">
                  <c:v>80</c:v>
                </c:pt>
                <c:pt idx="410">
                  <c:v>122</c:v>
                </c:pt>
                <c:pt idx="411">
                  <c:v>22</c:v>
                </c:pt>
                <c:pt idx="412">
                  <c:v>134</c:v>
                </c:pt>
                <c:pt idx="413">
                  <c:v>5</c:v>
                </c:pt>
                <c:pt idx="414">
                  <c:v>286</c:v>
                </c:pt>
                <c:pt idx="415">
                  <c:v>174</c:v>
                </c:pt>
                <c:pt idx="416">
                  <c:v>156</c:v>
                </c:pt>
                <c:pt idx="417">
                  <c:v>233</c:v>
                </c:pt>
                <c:pt idx="418">
                  <c:v>47</c:v>
                </c:pt>
                <c:pt idx="419">
                  <c:v>234</c:v>
                </c:pt>
                <c:pt idx="420">
                  <c:v>300</c:v>
                </c:pt>
                <c:pt idx="421">
                  <c:v>15</c:v>
                </c:pt>
                <c:pt idx="422">
                  <c:v>164</c:v>
                </c:pt>
                <c:pt idx="423">
                  <c:v>84</c:v>
                </c:pt>
                <c:pt idx="424">
                  <c:v>316</c:v>
                </c:pt>
                <c:pt idx="425">
                  <c:v>176</c:v>
                </c:pt>
                <c:pt idx="426">
                  <c:v>217</c:v>
                </c:pt>
                <c:pt idx="427">
                  <c:v>3</c:v>
                </c:pt>
                <c:pt idx="428">
                  <c:v>190</c:v>
                </c:pt>
                <c:pt idx="429">
                  <c:v>28</c:v>
                </c:pt>
                <c:pt idx="430">
                  <c:v>192</c:v>
                </c:pt>
                <c:pt idx="431">
                  <c:v>242</c:v>
                </c:pt>
                <c:pt idx="432">
                  <c:v>52</c:v>
                </c:pt>
                <c:pt idx="433">
                  <c:v>40</c:v>
                </c:pt>
                <c:pt idx="434">
                  <c:v>106</c:v>
                </c:pt>
                <c:pt idx="435">
                  <c:v>89</c:v>
                </c:pt>
                <c:pt idx="436">
                  <c:v>280</c:v>
                </c:pt>
                <c:pt idx="437">
                  <c:v>246</c:v>
                </c:pt>
                <c:pt idx="438">
                  <c:v>56</c:v>
                </c:pt>
                <c:pt idx="439">
                  <c:v>6</c:v>
                </c:pt>
                <c:pt idx="440">
                  <c:v>75</c:v>
                </c:pt>
                <c:pt idx="441">
                  <c:v>142</c:v>
                </c:pt>
                <c:pt idx="442">
                  <c:v>135</c:v>
                </c:pt>
                <c:pt idx="443">
                  <c:v>91</c:v>
                </c:pt>
                <c:pt idx="444">
                  <c:v>205</c:v>
                </c:pt>
                <c:pt idx="445">
                  <c:v>184</c:v>
                </c:pt>
                <c:pt idx="446">
                  <c:v>292</c:v>
                </c:pt>
                <c:pt idx="447">
                  <c:v>93</c:v>
                </c:pt>
                <c:pt idx="448">
                  <c:v>109</c:v>
                </c:pt>
                <c:pt idx="449">
                  <c:v>254</c:v>
                </c:pt>
                <c:pt idx="450">
                  <c:v>208</c:v>
                </c:pt>
                <c:pt idx="451">
                  <c:v>256</c:v>
                </c:pt>
                <c:pt idx="452">
                  <c:v>299</c:v>
                </c:pt>
                <c:pt idx="453">
                  <c:v>33</c:v>
                </c:pt>
                <c:pt idx="454">
                  <c:v>60</c:v>
                </c:pt>
                <c:pt idx="455">
                  <c:v>258</c:v>
                </c:pt>
                <c:pt idx="456">
                  <c:v>78</c:v>
                </c:pt>
                <c:pt idx="457">
                  <c:v>259</c:v>
                </c:pt>
                <c:pt idx="458">
                  <c:v>113</c:v>
                </c:pt>
                <c:pt idx="459">
                  <c:v>119</c:v>
                </c:pt>
                <c:pt idx="460">
                  <c:v>166</c:v>
                </c:pt>
                <c:pt idx="461">
                  <c:v>46</c:v>
                </c:pt>
                <c:pt idx="462">
                  <c:v>317</c:v>
                </c:pt>
                <c:pt idx="463">
                  <c:v>262</c:v>
                </c:pt>
                <c:pt idx="464">
                  <c:v>117</c:v>
                </c:pt>
                <c:pt idx="465">
                  <c:v>187</c:v>
                </c:pt>
                <c:pt idx="466">
                  <c:v>146</c:v>
                </c:pt>
                <c:pt idx="467">
                  <c:v>160</c:v>
                </c:pt>
                <c:pt idx="468">
                  <c:v>621</c:v>
                </c:pt>
                <c:pt idx="469">
                  <c:v>491</c:v>
                </c:pt>
                <c:pt idx="470">
                  <c:v>556</c:v>
                </c:pt>
                <c:pt idx="471">
                  <c:v>508</c:v>
                </c:pt>
                <c:pt idx="472">
                  <c:v>613</c:v>
                </c:pt>
                <c:pt idx="473">
                  <c:v>332</c:v>
                </c:pt>
                <c:pt idx="474">
                  <c:v>629</c:v>
                </c:pt>
                <c:pt idx="475">
                  <c:v>422</c:v>
                </c:pt>
                <c:pt idx="476">
                  <c:v>449</c:v>
                </c:pt>
                <c:pt idx="477">
                  <c:v>414</c:v>
                </c:pt>
                <c:pt idx="478">
                  <c:v>609</c:v>
                </c:pt>
                <c:pt idx="479">
                  <c:v>512</c:v>
                </c:pt>
                <c:pt idx="480">
                  <c:v>495</c:v>
                </c:pt>
                <c:pt idx="481">
                  <c:v>564</c:v>
                </c:pt>
                <c:pt idx="482">
                  <c:v>501</c:v>
                </c:pt>
                <c:pt idx="483">
                  <c:v>458</c:v>
                </c:pt>
                <c:pt idx="484">
                  <c:v>454</c:v>
                </c:pt>
                <c:pt idx="485">
                  <c:v>350</c:v>
                </c:pt>
                <c:pt idx="486">
                  <c:v>558</c:v>
                </c:pt>
                <c:pt idx="487">
                  <c:v>567</c:v>
                </c:pt>
                <c:pt idx="488">
                  <c:v>535</c:v>
                </c:pt>
                <c:pt idx="489">
                  <c:v>568</c:v>
                </c:pt>
                <c:pt idx="490">
                  <c:v>330</c:v>
                </c:pt>
                <c:pt idx="491">
                  <c:v>443</c:v>
                </c:pt>
                <c:pt idx="492">
                  <c:v>493</c:v>
                </c:pt>
                <c:pt idx="493">
                  <c:v>570</c:v>
                </c:pt>
                <c:pt idx="494">
                  <c:v>615</c:v>
                </c:pt>
                <c:pt idx="495">
                  <c:v>516</c:v>
                </c:pt>
                <c:pt idx="496">
                  <c:v>450</c:v>
                </c:pt>
                <c:pt idx="497">
                  <c:v>572</c:v>
                </c:pt>
                <c:pt idx="498">
                  <c:v>452</c:v>
                </c:pt>
                <c:pt idx="499">
                  <c:v>481</c:v>
                </c:pt>
                <c:pt idx="500">
                  <c:v>627</c:v>
                </c:pt>
                <c:pt idx="501">
                  <c:v>518</c:v>
                </c:pt>
                <c:pt idx="502">
                  <c:v>502</c:v>
                </c:pt>
                <c:pt idx="503">
                  <c:v>335</c:v>
                </c:pt>
                <c:pt idx="504">
                  <c:v>635</c:v>
                </c:pt>
                <c:pt idx="505">
                  <c:v>576</c:v>
                </c:pt>
                <c:pt idx="506">
                  <c:v>639</c:v>
                </c:pt>
                <c:pt idx="507">
                  <c:v>577</c:v>
                </c:pt>
                <c:pt idx="508">
                  <c:v>600</c:v>
                </c:pt>
                <c:pt idx="509">
                  <c:v>328</c:v>
                </c:pt>
                <c:pt idx="510">
                  <c:v>602</c:v>
                </c:pt>
                <c:pt idx="511">
                  <c:v>356</c:v>
                </c:pt>
                <c:pt idx="512">
                  <c:v>490</c:v>
                </c:pt>
                <c:pt idx="513">
                  <c:v>580</c:v>
                </c:pt>
                <c:pt idx="514">
                  <c:v>606</c:v>
                </c:pt>
                <c:pt idx="515">
                  <c:v>381</c:v>
                </c:pt>
                <c:pt idx="516">
                  <c:v>608</c:v>
                </c:pt>
                <c:pt idx="517">
                  <c:v>341</c:v>
                </c:pt>
                <c:pt idx="518">
                  <c:v>468</c:v>
                </c:pt>
                <c:pt idx="519">
                  <c:v>523</c:v>
                </c:pt>
                <c:pt idx="520">
                  <c:v>540</c:v>
                </c:pt>
                <c:pt idx="521">
                  <c:v>412</c:v>
                </c:pt>
                <c:pt idx="522">
                  <c:v>614</c:v>
                </c:pt>
                <c:pt idx="523">
                  <c:v>585</c:v>
                </c:pt>
                <c:pt idx="524">
                  <c:v>494</c:v>
                </c:pt>
                <c:pt idx="525">
                  <c:v>447</c:v>
                </c:pt>
                <c:pt idx="526">
                  <c:v>369</c:v>
                </c:pt>
                <c:pt idx="527">
                  <c:v>587</c:v>
                </c:pt>
                <c:pt idx="528">
                  <c:v>545</c:v>
                </c:pt>
                <c:pt idx="529">
                  <c:v>486</c:v>
                </c:pt>
                <c:pt idx="530">
                  <c:v>438</c:v>
                </c:pt>
                <c:pt idx="531">
                  <c:v>437</c:v>
                </c:pt>
                <c:pt idx="532">
                  <c:v>453</c:v>
                </c:pt>
                <c:pt idx="533">
                  <c:v>528</c:v>
                </c:pt>
                <c:pt idx="534">
                  <c:v>550</c:v>
                </c:pt>
                <c:pt idx="535">
                  <c:v>342</c:v>
                </c:pt>
                <c:pt idx="536">
                  <c:v>628</c:v>
                </c:pt>
                <c:pt idx="537">
                  <c:v>466</c:v>
                </c:pt>
                <c:pt idx="538">
                  <c:v>630</c:v>
                </c:pt>
                <c:pt idx="539">
                  <c:v>383</c:v>
                </c:pt>
                <c:pt idx="540">
                  <c:v>503</c:v>
                </c:pt>
                <c:pt idx="541">
                  <c:v>531</c:v>
                </c:pt>
                <c:pt idx="542">
                  <c:v>505</c:v>
                </c:pt>
                <c:pt idx="543">
                  <c:v>532</c:v>
                </c:pt>
                <c:pt idx="544">
                  <c:v>375</c:v>
                </c:pt>
                <c:pt idx="545">
                  <c:v>533</c:v>
                </c:pt>
                <c:pt idx="546">
                  <c:v>322</c:v>
                </c:pt>
                <c:pt idx="547">
                  <c:v>597</c:v>
                </c:pt>
                <c:pt idx="548">
                  <c:v>640</c:v>
                </c:pt>
                <c:pt idx="549">
                  <c:v>393</c:v>
                </c:pt>
                <c:pt idx="550">
                  <c:v>329</c:v>
                </c:pt>
                <c:pt idx="551">
                  <c:v>14</c:v>
                </c:pt>
                <c:pt idx="552">
                  <c:v>279</c:v>
                </c:pt>
                <c:pt idx="553">
                  <c:v>311</c:v>
                </c:pt>
                <c:pt idx="554">
                  <c:v>53</c:v>
                </c:pt>
                <c:pt idx="555">
                  <c:v>148</c:v>
                </c:pt>
                <c:pt idx="556">
                  <c:v>82</c:v>
                </c:pt>
                <c:pt idx="557">
                  <c:v>303</c:v>
                </c:pt>
                <c:pt idx="558">
                  <c:v>120</c:v>
                </c:pt>
                <c:pt idx="559">
                  <c:v>165</c:v>
                </c:pt>
                <c:pt idx="560">
                  <c:v>9</c:v>
                </c:pt>
                <c:pt idx="561">
                  <c:v>204</c:v>
                </c:pt>
                <c:pt idx="562">
                  <c:v>171</c:v>
                </c:pt>
                <c:pt idx="563">
                  <c:v>211</c:v>
                </c:pt>
                <c:pt idx="564">
                  <c:v>238</c:v>
                </c:pt>
                <c:pt idx="565">
                  <c:v>111</c:v>
                </c:pt>
                <c:pt idx="566">
                  <c:v>55</c:v>
                </c:pt>
                <c:pt idx="567">
                  <c:v>307</c:v>
                </c:pt>
                <c:pt idx="568">
                  <c:v>240</c:v>
                </c:pt>
                <c:pt idx="569">
                  <c:v>315</c:v>
                </c:pt>
                <c:pt idx="570">
                  <c:v>173</c:v>
                </c:pt>
                <c:pt idx="571">
                  <c:v>101</c:v>
                </c:pt>
                <c:pt idx="572">
                  <c:v>35</c:v>
                </c:pt>
                <c:pt idx="573">
                  <c:v>281</c:v>
                </c:pt>
                <c:pt idx="574">
                  <c:v>86</c:v>
                </c:pt>
                <c:pt idx="575">
                  <c:v>104</c:v>
                </c:pt>
                <c:pt idx="576">
                  <c:v>10</c:v>
                </c:pt>
                <c:pt idx="577">
                  <c:v>69</c:v>
                </c:pt>
                <c:pt idx="578">
                  <c:v>245</c:v>
                </c:pt>
                <c:pt idx="579">
                  <c:v>293</c:v>
                </c:pt>
                <c:pt idx="580">
                  <c:v>177</c:v>
                </c:pt>
                <c:pt idx="581">
                  <c:v>73</c:v>
                </c:pt>
                <c:pt idx="582">
                  <c:v>247</c:v>
                </c:pt>
                <c:pt idx="583">
                  <c:v>301</c:v>
                </c:pt>
                <c:pt idx="584">
                  <c:v>178</c:v>
                </c:pt>
                <c:pt idx="585">
                  <c:v>158</c:v>
                </c:pt>
                <c:pt idx="586">
                  <c:v>24</c:v>
                </c:pt>
                <c:pt idx="587">
                  <c:v>20</c:v>
                </c:pt>
                <c:pt idx="588">
                  <c:v>180</c:v>
                </c:pt>
                <c:pt idx="589">
                  <c:v>313</c:v>
                </c:pt>
                <c:pt idx="590">
                  <c:v>181</c:v>
                </c:pt>
                <c:pt idx="591">
                  <c:v>163</c:v>
                </c:pt>
                <c:pt idx="592">
                  <c:v>252</c:v>
                </c:pt>
                <c:pt idx="593">
                  <c:v>232</c:v>
                </c:pt>
                <c:pt idx="594">
                  <c:v>59</c:v>
                </c:pt>
                <c:pt idx="595">
                  <c:v>102</c:v>
                </c:pt>
                <c:pt idx="596">
                  <c:v>128</c:v>
                </c:pt>
                <c:pt idx="597">
                  <c:v>202</c:v>
                </c:pt>
                <c:pt idx="598">
                  <c:v>255</c:v>
                </c:pt>
                <c:pt idx="599">
                  <c:v>103</c:v>
                </c:pt>
                <c:pt idx="600">
                  <c:v>129</c:v>
                </c:pt>
                <c:pt idx="601">
                  <c:v>145</c:v>
                </c:pt>
                <c:pt idx="602">
                  <c:v>25</c:v>
                </c:pt>
                <c:pt idx="603">
                  <c:v>147</c:v>
                </c:pt>
                <c:pt idx="604">
                  <c:v>39</c:v>
                </c:pt>
                <c:pt idx="605">
                  <c:v>209</c:v>
                </c:pt>
                <c:pt idx="606">
                  <c:v>92</c:v>
                </c:pt>
                <c:pt idx="607">
                  <c:v>290</c:v>
                </c:pt>
                <c:pt idx="608">
                  <c:v>188</c:v>
                </c:pt>
                <c:pt idx="609">
                  <c:v>212</c:v>
                </c:pt>
                <c:pt idx="610">
                  <c:v>26</c:v>
                </c:pt>
                <c:pt idx="611">
                  <c:v>45</c:v>
                </c:pt>
                <c:pt idx="612">
                  <c:v>27</c:v>
                </c:pt>
                <c:pt idx="613">
                  <c:v>72</c:v>
                </c:pt>
                <c:pt idx="614">
                  <c:v>263</c:v>
                </c:pt>
                <c:pt idx="615">
                  <c:v>4</c:v>
                </c:pt>
                <c:pt idx="616">
                  <c:v>191</c:v>
                </c:pt>
                <c:pt idx="617">
                  <c:v>48</c:v>
                </c:pt>
                <c:pt idx="618">
                  <c:v>95</c:v>
                </c:pt>
                <c:pt idx="619">
                  <c:v>302</c:v>
                </c:pt>
                <c:pt idx="620">
                  <c:v>266</c:v>
                </c:pt>
                <c:pt idx="621">
                  <c:v>76</c:v>
                </c:pt>
                <c:pt idx="622">
                  <c:v>193</c:v>
                </c:pt>
                <c:pt idx="623">
                  <c:v>222</c:v>
                </c:pt>
                <c:pt idx="624">
                  <c:v>42</c:v>
                </c:pt>
                <c:pt idx="625">
                  <c:v>159</c:v>
                </c:pt>
                <c:pt idx="626">
                  <c:v>43</c:v>
                </c:pt>
                <c:pt idx="627">
                  <c:v>161</c:v>
                </c:pt>
                <c:pt idx="628">
                  <c:v>270</c:v>
                </c:pt>
                <c:pt idx="629">
                  <c:v>312</c:v>
                </c:pt>
                <c:pt idx="630">
                  <c:v>271</c:v>
                </c:pt>
                <c:pt idx="631">
                  <c:v>31</c:v>
                </c:pt>
                <c:pt idx="632">
                  <c:v>66</c:v>
                </c:pt>
                <c:pt idx="633">
                  <c:v>227</c:v>
                </c:pt>
                <c:pt idx="634">
                  <c:v>44</c:v>
                </c:pt>
                <c:pt idx="635">
                  <c:v>32</c:v>
                </c:pt>
                <c:pt idx="636">
                  <c:v>140</c:v>
                </c:pt>
                <c:pt idx="637">
                  <c:v>21</c:v>
                </c:pt>
                <c:pt idx="638">
                  <c:v>68</c:v>
                </c:pt>
                <c:pt idx="639">
                  <c:v>276</c:v>
                </c:pt>
              </c:strCache>
            </c:strRef>
          </c:cat>
          <c:val>
            <c:numRef>
              <c:f>Sheet15!$B$4:$B$644</c:f>
              <c:numCache>
                <c:formatCode>General</c:formatCode>
                <c:ptCount val="64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0-4E20-B468-56D0042A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74856575"/>
        <c:axId val="159405519"/>
        <c:axId val="0"/>
      </c:bar3DChart>
      <c:catAx>
        <c:axId val="1748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5519"/>
        <c:crosses val="autoZero"/>
        <c:auto val="1"/>
        <c:lblAlgn val="ctr"/>
        <c:lblOffset val="100"/>
        <c:noMultiLvlLbl val="0"/>
      </c:catAx>
      <c:valAx>
        <c:axId val="1594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Leave vs Attendance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Sheet22!$A$1:$A$248</c:f>
              <c:numCache>
                <c:formatCode>General</c:formatCode>
                <c:ptCount val="2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42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48</c:v>
                </c:pt>
                <c:pt idx="40">
                  <c:v>49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63</c:v>
                </c:pt>
                <c:pt idx="53">
                  <c:v>64</c:v>
                </c:pt>
                <c:pt idx="54">
                  <c:v>66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89</c:v>
                </c:pt>
                <c:pt idx="75">
                  <c:v>90</c:v>
                </c:pt>
                <c:pt idx="76">
                  <c:v>91</c:v>
                </c:pt>
                <c:pt idx="77">
                  <c:v>92</c:v>
                </c:pt>
                <c:pt idx="78">
                  <c:v>93</c:v>
                </c:pt>
                <c:pt idx="79">
                  <c:v>94</c:v>
                </c:pt>
                <c:pt idx="80">
                  <c:v>95</c:v>
                </c:pt>
                <c:pt idx="81">
                  <c:v>96</c:v>
                </c:pt>
                <c:pt idx="82">
                  <c:v>97</c:v>
                </c:pt>
                <c:pt idx="83">
                  <c:v>98</c:v>
                </c:pt>
                <c:pt idx="84">
                  <c:v>99</c:v>
                </c:pt>
                <c:pt idx="85">
                  <c:v>100</c:v>
                </c:pt>
                <c:pt idx="86">
                  <c:v>101</c:v>
                </c:pt>
                <c:pt idx="87">
                  <c:v>102</c:v>
                </c:pt>
                <c:pt idx="88">
                  <c:v>103</c:v>
                </c:pt>
                <c:pt idx="89">
                  <c:v>104</c:v>
                </c:pt>
                <c:pt idx="90">
                  <c:v>105</c:v>
                </c:pt>
                <c:pt idx="91">
                  <c:v>106</c:v>
                </c:pt>
                <c:pt idx="92">
                  <c:v>107</c:v>
                </c:pt>
                <c:pt idx="93">
                  <c:v>108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115</c:v>
                </c:pt>
                <c:pt idx="99">
                  <c:v>116</c:v>
                </c:pt>
                <c:pt idx="100">
                  <c:v>117</c:v>
                </c:pt>
                <c:pt idx="101">
                  <c:v>119</c:v>
                </c:pt>
                <c:pt idx="102">
                  <c:v>120</c:v>
                </c:pt>
                <c:pt idx="103">
                  <c:v>121</c:v>
                </c:pt>
                <c:pt idx="104">
                  <c:v>122</c:v>
                </c:pt>
                <c:pt idx="105">
                  <c:v>124</c:v>
                </c:pt>
                <c:pt idx="106">
                  <c:v>125</c:v>
                </c:pt>
                <c:pt idx="107">
                  <c:v>126</c:v>
                </c:pt>
                <c:pt idx="108">
                  <c:v>128</c:v>
                </c:pt>
                <c:pt idx="109">
                  <c:v>129</c:v>
                </c:pt>
                <c:pt idx="110">
                  <c:v>131</c:v>
                </c:pt>
                <c:pt idx="111">
                  <c:v>134</c:v>
                </c:pt>
                <c:pt idx="112">
                  <c:v>135</c:v>
                </c:pt>
                <c:pt idx="113">
                  <c:v>136</c:v>
                </c:pt>
                <c:pt idx="114">
                  <c:v>137</c:v>
                </c:pt>
                <c:pt idx="115">
                  <c:v>139</c:v>
                </c:pt>
                <c:pt idx="116">
                  <c:v>140</c:v>
                </c:pt>
                <c:pt idx="117">
                  <c:v>142</c:v>
                </c:pt>
                <c:pt idx="118">
                  <c:v>143</c:v>
                </c:pt>
                <c:pt idx="119">
                  <c:v>144</c:v>
                </c:pt>
                <c:pt idx="120">
                  <c:v>146</c:v>
                </c:pt>
                <c:pt idx="121">
                  <c:v>148</c:v>
                </c:pt>
                <c:pt idx="122">
                  <c:v>149</c:v>
                </c:pt>
                <c:pt idx="123">
                  <c:v>150</c:v>
                </c:pt>
                <c:pt idx="124">
                  <c:v>151</c:v>
                </c:pt>
                <c:pt idx="125">
                  <c:v>152</c:v>
                </c:pt>
                <c:pt idx="126">
                  <c:v>153</c:v>
                </c:pt>
                <c:pt idx="127">
                  <c:v>154</c:v>
                </c:pt>
                <c:pt idx="128">
                  <c:v>155</c:v>
                </c:pt>
                <c:pt idx="129">
                  <c:v>156</c:v>
                </c:pt>
                <c:pt idx="130">
                  <c:v>158</c:v>
                </c:pt>
                <c:pt idx="131">
                  <c:v>160</c:v>
                </c:pt>
                <c:pt idx="132">
                  <c:v>161</c:v>
                </c:pt>
                <c:pt idx="133">
                  <c:v>162</c:v>
                </c:pt>
                <c:pt idx="134">
                  <c:v>163</c:v>
                </c:pt>
                <c:pt idx="135">
                  <c:v>164</c:v>
                </c:pt>
                <c:pt idx="136">
                  <c:v>165</c:v>
                </c:pt>
                <c:pt idx="137">
                  <c:v>166</c:v>
                </c:pt>
                <c:pt idx="138">
                  <c:v>167</c:v>
                </c:pt>
                <c:pt idx="139">
                  <c:v>168</c:v>
                </c:pt>
                <c:pt idx="140">
                  <c:v>169</c:v>
                </c:pt>
                <c:pt idx="141">
                  <c:v>170</c:v>
                </c:pt>
                <c:pt idx="142">
                  <c:v>171</c:v>
                </c:pt>
                <c:pt idx="143">
                  <c:v>172</c:v>
                </c:pt>
                <c:pt idx="144">
                  <c:v>173</c:v>
                </c:pt>
                <c:pt idx="145">
                  <c:v>174</c:v>
                </c:pt>
                <c:pt idx="146">
                  <c:v>175</c:v>
                </c:pt>
                <c:pt idx="147">
                  <c:v>176</c:v>
                </c:pt>
                <c:pt idx="148">
                  <c:v>177</c:v>
                </c:pt>
                <c:pt idx="149">
                  <c:v>178</c:v>
                </c:pt>
                <c:pt idx="150">
                  <c:v>179</c:v>
                </c:pt>
                <c:pt idx="151">
                  <c:v>180</c:v>
                </c:pt>
                <c:pt idx="152">
                  <c:v>182</c:v>
                </c:pt>
                <c:pt idx="153">
                  <c:v>183</c:v>
                </c:pt>
                <c:pt idx="154">
                  <c:v>184</c:v>
                </c:pt>
                <c:pt idx="155">
                  <c:v>185</c:v>
                </c:pt>
                <c:pt idx="156">
                  <c:v>186</c:v>
                </c:pt>
                <c:pt idx="157">
                  <c:v>187</c:v>
                </c:pt>
                <c:pt idx="158">
                  <c:v>188</c:v>
                </c:pt>
                <c:pt idx="159">
                  <c:v>189</c:v>
                </c:pt>
                <c:pt idx="160">
                  <c:v>190</c:v>
                </c:pt>
                <c:pt idx="161">
                  <c:v>191</c:v>
                </c:pt>
                <c:pt idx="162">
                  <c:v>192</c:v>
                </c:pt>
                <c:pt idx="163">
                  <c:v>193</c:v>
                </c:pt>
                <c:pt idx="164">
                  <c:v>194</c:v>
                </c:pt>
                <c:pt idx="165">
                  <c:v>196</c:v>
                </c:pt>
                <c:pt idx="166">
                  <c:v>198</c:v>
                </c:pt>
                <c:pt idx="167">
                  <c:v>199</c:v>
                </c:pt>
                <c:pt idx="168">
                  <c:v>200</c:v>
                </c:pt>
                <c:pt idx="169">
                  <c:v>201</c:v>
                </c:pt>
                <c:pt idx="170">
                  <c:v>202</c:v>
                </c:pt>
                <c:pt idx="171">
                  <c:v>203</c:v>
                </c:pt>
                <c:pt idx="172">
                  <c:v>204</c:v>
                </c:pt>
                <c:pt idx="173">
                  <c:v>205</c:v>
                </c:pt>
                <c:pt idx="174">
                  <c:v>206</c:v>
                </c:pt>
                <c:pt idx="175">
                  <c:v>207</c:v>
                </c:pt>
                <c:pt idx="176">
                  <c:v>208</c:v>
                </c:pt>
                <c:pt idx="177">
                  <c:v>209</c:v>
                </c:pt>
                <c:pt idx="178">
                  <c:v>210</c:v>
                </c:pt>
                <c:pt idx="179">
                  <c:v>211</c:v>
                </c:pt>
                <c:pt idx="180">
                  <c:v>212</c:v>
                </c:pt>
                <c:pt idx="181">
                  <c:v>214</c:v>
                </c:pt>
                <c:pt idx="182">
                  <c:v>215</c:v>
                </c:pt>
                <c:pt idx="183">
                  <c:v>216</c:v>
                </c:pt>
                <c:pt idx="184">
                  <c:v>217</c:v>
                </c:pt>
                <c:pt idx="185">
                  <c:v>218</c:v>
                </c:pt>
                <c:pt idx="186">
                  <c:v>219</c:v>
                </c:pt>
                <c:pt idx="187">
                  <c:v>223</c:v>
                </c:pt>
                <c:pt idx="188">
                  <c:v>224</c:v>
                </c:pt>
                <c:pt idx="189">
                  <c:v>226</c:v>
                </c:pt>
                <c:pt idx="190">
                  <c:v>229</c:v>
                </c:pt>
                <c:pt idx="191">
                  <c:v>230</c:v>
                </c:pt>
                <c:pt idx="192">
                  <c:v>231</c:v>
                </c:pt>
                <c:pt idx="193">
                  <c:v>232</c:v>
                </c:pt>
                <c:pt idx="194">
                  <c:v>234</c:v>
                </c:pt>
                <c:pt idx="195">
                  <c:v>235</c:v>
                </c:pt>
                <c:pt idx="196">
                  <c:v>236</c:v>
                </c:pt>
                <c:pt idx="197">
                  <c:v>237</c:v>
                </c:pt>
                <c:pt idx="198">
                  <c:v>238</c:v>
                </c:pt>
                <c:pt idx="199">
                  <c:v>239</c:v>
                </c:pt>
                <c:pt idx="200">
                  <c:v>240</c:v>
                </c:pt>
                <c:pt idx="201">
                  <c:v>241</c:v>
                </c:pt>
                <c:pt idx="202">
                  <c:v>242</c:v>
                </c:pt>
                <c:pt idx="203">
                  <c:v>243</c:v>
                </c:pt>
                <c:pt idx="204">
                  <c:v>245</c:v>
                </c:pt>
                <c:pt idx="205">
                  <c:v>246</c:v>
                </c:pt>
                <c:pt idx="206">
                  <c:v>249</c:v>
                </c:pt>
                <c:pt idx="207">
                  <c:v>250</c:v>
                </c:pt>
                <c:pt idx="208">
                  <c:v>253</c:v>
                </c:pt>
                <c:pt idx="209">
                  <c:v>254</c:v>
                </c:pt>
                <c:pt idx="210">
                  <c:v>255</c:v>
                </c:pt>
                <c:pt idx="211">
                  <c:v>256</c:v>
                </c:pt>
                <c:pt idx="212">
                  <c:v>257</c:v>
                </c:pt>
                <c:pt idx="213">
                  <c:v>258</c:v>
                </c:pt>
                <c:pt idx="214">
                  <c:v>259</c:v>
                </c:pt>
                <c:pt idx="215">
                  <c:v>260</c:v>
                </c:pt>
                <c:pt idx="216">
                  <c:v>263</c:v>
                </c:pt>
                <c:pt idx="217">
                  <c:v>265</c:v>
                </c:pt>
                <c:pt idx="218">
                  <c:v>267</c:v>
                </c:pt>
                <c:pt idx="219">
                  <c:v>269</c:v>
                </c:pt>
                <c:pt idx="220">
                  <c:v>271</c:v>
                </c:pt>
                <c:pt idx="221">
                  <c:v>272</c:v>
                </c:pt>
                <c:pt idx="222">
                  <c:v>273</c:v>
                </c:pt>
                <c:pt idx="223">
                  <c:v>274</c:v>
                </c:pt>
                <c:pt idx="224">
                  <c:v>275</c:v>
                </c:pt>
                <c:pt idx="225">
                  <c:v>276</c:v>
                </c:pt>
                <c:pt idx="226">
                  <c:v>277</c:v>
                </c:pt>
                <c:pt idx="227">
                  <c:v>278</c:v>
                </c:pt>
                <c:pt idx="228">
                  <c:v>279</c:v>
                </c:pt>
                <c:pt idx="229">
                  <c:v>280</c:v>
                </c:pt>
                <c:pt idx="230">
                  <c:v>283</c:v>
                </c:pt>
                <c:pt idx="231">
                  <c:v>284</c:v>
                </c:pt>
                <c:pt idx="232">
                  <c:v>285</c:v>
                </c:pt>
                <c:pt idx="233">
                  <c:v>286</c:v>
                </c:pt>
                <c:pt idx="234">
                  <c:v>287</c:v>
                </c:pt>
                <c:pt idx="235">
                  <c:v>288</c:v>
                </c:pt>
                <c:pt idx="236">
                  <c:v>289</c:v>
                </c:pt>
                <c:pt idx="237">
                  <c:v>290</c:v>
                </c:pt>
                <c:pt idx="238">
                  <c:v>291</c:v>
                </c:pt>
                <c:pt idx="239">
                  <c:v>292</c:v>
                </c:pt>
                <c:pt idx="240">
                  <c:v>293</c:v>
                </c:pt>
                <c:pt idx="241">
                  <c:v>294</c:v>
                </c:pt>
                <c:pt idx="242">
                  <c:v>295</c:v>
                </c:pt>
                <c:pt idx="243">
                  <c:v>296</c:v>
                </c:pt>
                <c:pt idx="244">
                  <c:v>297</c:v>
                </c:pt>
                <c:pt idx="245">
                  <c:v>298</c:v>
                </c:pt>
                <c:pt idx="246">
                  <c:v>299</c:v>
                </c:pt>
                <c:pt idx="247">
                  <c:v>300</c:v>
                </c:pt>
              </c:numCache>
            </c:numRef>
          </c:xVal>
          <c:yVal>
            <c:numRef>
              <c:f>Sheet22!$B$1:$B$248</c:f>
              <c:numCache>
                <c:formatCode>General</c:formatCode>
                <c:ptCount val="248"/>
                <c:pt idx="0">
                  <c:v>244.03590068362104</c:v>
                </c:pt>
                <c:pt idx="1">
                  <c:v>243.58773730401037</c:v>
                </c:pt>
                <c:pt idx="2">
                  <c:v>182.27828452669559</c:v>
                </c:pt>
                <c:pt idx="3">
                  <c:v>181.71681181797328</c:v>
                </c:pt>
                <c:pt idx="4">
                  <c:v>181.62970196330213</c:v>
                </c:pt>
                <c:pt idx="5">
                  <c:v>121.25108038029387</c:v>
                </c:pt>
                <c:pt idx="6">
                  <c:v>60.771704180064312</c:v>
                </c:pt>
                <c:pt idx="7">
                  <c:v>182.41967121024868</c:v>
                </c:pt>
                <c:pt idx="8">
                  <c:v>183.14430425412155</c:v>
                </c:pt>
                <c:pt idx="9">
                  <c:v>121.88766187336141</c:v>
                </c:pt>
                <c:pt idx="10">
                  <c:v>61.011419249592166</c:v>
                </c:pt>
                <c:pt idx="11">
                  <c:v>122.32224040734678</c:v>
                </c:pt>
                <c:pt idx="12">
                  <c:v>122.39548843845057</c:v>
                </c:pt>
                <c:pt idx="13">
                  <c:v>61.348684210526315</c:v>
                </c:pt>
                <c:pt idx="14">
                  <c:v>183.66315514283193</c:v>
                </c:pt>
                <c:pt idx="15">
                  <c:v>61.258278145695364</c:v>
                </c:pt>
                <c:pt idx="16">
                  <c:v>183.38848980398035</c:v>
                </c:pt>
                <c:pt idx="17">
                  <c:v>244.44487824762828</c:v>
                </c:pt>
                <c:pt idx="18">
                  <c:v>244.57557246408493</c:v>
                </c:pt>
                <c:pt idx="19">
                  <c:v>61.148648648648653</c:v>
                </c:pt>
                <c:pt idx="20">
                  <c:v>244.78358882682429</c:v>
                </c:pt>
                <c:pt idx="21">
                  <c:v>245.77330183712962</c:v>
                </c:pt>
                <c:pt idx="22">
                  <c:v>184.02039028880182</c:v>
                </c:pt>
                <c:pt idx="23">
                  <c:v>122.34679292478113</c:v>
                </c:pt>
                <c:pt idx="24">
                  <c:v>183.70890649476902</c:v>
                </c:pt>
                <c:pt idx="25">
                  <c:v>122.36721708831993</c:v>
                </c:pt>
                <c:pt idx="26">
                  <c:v>183.21685107726864</c:v>
                </c:pt>
                <c:pt idx="27">
                  <c:v>61.05263157894737</c:v>
                </c:pt>
                <c:pt idx="28">
                  <c:v>182.92260342414224</c:v>
                </c:pt>
                <c:pt idx="29">
                  <c:v>60.954063604240282</c:v>
                </c:pt>
                <c:pt idx="30">
                  <c:v>61.06194690265486</c:v>
                </c:pt>
                <c:pt idx="31">
                  <c:v>244.26699957477271</c:v>
                </c:pt>
                <c:pt idx="32">
                  <c:v>183.54179089644208</c:v>
                </c:pt>
                <c:pt idx="33">
                  <c:v>183.09359674180206</c:v>
                </c:pt>
                <c:pt idx="34">
                  <c:v>61.191335740072205</c:v>
                </c:pt>
                <c:pt idx="35">
                  <c:v>61.121157323688969</c:v>
                </c:pt>
                <c:pt idx="36">
                  <c:v>61.231884057971023</c:v>
                </c:pt>
                <c:pt idx="37">
                  <c:v>183.272470021689</c:v>
                </c:pt>
                <c:pt idx="38">
                  <c:v>182.81542980965179</c:v>
                </c:pt>
                <c:pt idx="39">
                  <c:v>183.08864774558006</c:v>
                </c:pt>
                <c:pt idx="40">
                  <c:v>244.40317730589265</c:v>
                </c:pt>
                <c:pt idx="41">
                  <c:v>244.7349319104726</c:v>
                </c:pt>
                <c:pt idx="42">
                  <c:v>184.42784792577814</c:v>
                </c:pt>
                <c:pt idx="43">
                  <c:v>184.71706375090704</c:v>
                </c:pt>
                <c:pt idx="44">
                  <c:v>185.0099317683877</c:v>
                </c:pt>
                <c:pt idx="45">
                  <c:v>61.714285714285708</c:v>
                </c:pt>
                <c:pt idx="46">
                  <c:v>61.832061068702295</c:v>
                </c:pt>
                <c:pt idx="47">
                  <c:v>186.20735213218617</c:v>
                </c:pt>
                <c:pt idx="48">
                  <c:v>187.09065032764454</c:v>
                </c:pt>
                <c:pt idx="49">
                  <c:v>62.475822050290134</c:v>
                </c:pt>
                <c:pt idx="50">
                  <c:v>62.403100775193799</c:v>
                </c:pt>
                <c:pt idx="51">
                  <c:v>187.35380135369002</c:v>
                </c:pt>
                <c:pt idx="52">
                  <c:v>124.53560726516633</c:v>
                </c:pt>
                <c:pt idx="53">
                  <c:v>124.2393774798721</c:v>
                </c:pt>
                <c:pt idx="54">
                  <c:v>248.9641039748816</c:v>
                </c:pt>
                <c:pt idx="55">
                  <c:v>62.301587301587304</c:v>
                </c:pt>
                <c:pt idx="56">
                  <c:v>62.226640159045722</c:v>
                </c:pt>
                <c:pt idx="57">
                  <c:v>249.95069760996174</c:v>
                </c:pt>
                <c:pt idx="58">
                  <c:v>62.449799196787147</c:v>
                </c:pt>
                <c:pt idx="59">
                  <c:v>124.67263256961121</c:v>
                </c:pt>
                <c:pt idx="60">
                  <c:v>124.77242056189425</c:v>
                </c:pt>
                <c:pt idx="61">
                  <c:v>124.87301901416581</c:v>
                </c:pt>
                <c:pt idx="62">
                  <c:v>124.56669021987614</c:v>
                </c:pt>
                <c:pt idx="63">
                  <c:v>62.372188139059304</c:v>
                </c:pt>
                <c:pt idx="64">
                  <c:v>124.92299794661191</c:v>
                </c:pt>
                <c:pt idx="65">
                  <c:v>62.345679012345677</c:v>
                </c:pt>
                <c:pt idx="66">
                  <c:v>124.66473545198943</c:v>
                </c:pt>
                <c:pt idx="67">
                  <c:v>62.318840579710141</c:v>
                </c:pt>
                <c:pt idx="68">
                  <c:v>124.40282606257711</c:v>
                </c:pt>
                <c:pt idx="69">
                  <c:v>247.85705862280258</c:v>
                </c:pt>
                <c:pt idx="70">
                  <c:v>185.05229193609489</c:v>
                </c:pt>
                <c:pt idx="71">
                  <c:v>247.08358915166866</c:v>
                </c:pt>
                <c:pt idx="72">
                  <c:v>246.63082421394898</c:v>
                </c:pt>
                <c:pt idx="73">
                  <c:v>123.57387838338894</c:v>
                </c:pt>
                <c:pt idx="74">
                  <c:v>185.06457607739918</c:v>
                </c:pt>
                <c:pt idx="75">
                  <c:v>123.17751255091409</c:v>
                </c:pt>
                <c:pt idx="76">
                  <c:v>123.71599476364749</c:v>
                </c:pt>
                <c:pt idx="77">
                  <c:v>186.59400746868866</c:v>
                </c:pt>
                <c:pt idx="78">
                  <c:v>124.41979722205943</c:v>
                </c:pt>
                <c:pt idx="79">
                  <c:v>247.8299818323618</c:v>
                </c:pt>
                <c:pt idx="80">
                  <c:v>124.07630340787111</c:v>
                </c:pt>
                <c:pt idx="81">
                  <c:v>186.48610260906403</c:v>
                </c:pt>
                <c:pt idx="82">
                  <c:v>186.84819848685396</c:v>
                </c:pt>
                <c:pt idx="83">
                  <c:v>62.186788154897499</c:v>
                </c:pt>
                <c:pt idx="84">
                  <c:v>62.328767123287676</c:v>
                </c:pt>
                <c:pt idx="85">
                  <c:v>186.46749174905545</c:v>
                </c:pt>
                <c:pt idx="86">
                  <c:v>62.21198156682027</c:v>
                </c:pt>
                <c:pt idx="87">
                  <c:v>186.11070426990759</c:v>
                </c:pt>
                <c:pt idx="88">
                  <c:v>186.01465983122145</c:v>
                </c:pt>
                <c:pt idx="89">
                  <c:v>62.060889929742387</c:v>
                </c:pt>
                <c:pt idx="90">
                  <c:v>247.34876441685512</c:v>
                </c:pt>
                <c:pt idx="91">
                  <c:v>185.03576078921398</c:v>
                </c:pt>
                <c:pt idx="92">
                  <c:v>184.68912802977522</c:v>
                </c:pt>
                <c:pt idx="93">
                  <c:v>246.07965822329541</c:v>
                </c:pt>
                <c:pt idx="94">
                  <c:v>184.42835924000937</c:v>
                </c:pt>
                <c:pt idx="95">
                  <c:v>183.82306413731698</c:v>
                </c:pt>
                <c:pt idx="96">
                  <c:v>183.21001202473832</c:v>
                </c:pt>
                <c:pt idx="97">
                  <c:v>183.58160928924679</c:v>
                </c:pt>
                <c:pt idx="98">
                  <c:v>61</c:v>
                </c:pt>
                <c:pt idx="99">
                  <c:v>121.9575320210073</c:v>
                </c:pt>
                <c:pt idx="100">
                  <c:v>182.57525837078177</c:v>
                </c:pt>
                <c:pt idx="101">
                  <c:v>242.03693485427044</c:v>
                </c:pt>
                <c:pt idx="102">
                  <c:v>120.41065190165446</c:v>
                </c:pt>
                <c:pt idx="103">
                  <c:v>240.361891681011</c:v>
                </c:pt>
                <c:pt idx="104">
                  <c:v>60.15625</c:v>
                </c:pt>
                <c:pt idx="105">
                  <c:v>120.26164340491846</c:v>
                </c:pt>
                <c:pt idx="106">
                  <c:v>180.26329822228686</c:v>
                </c:pt>
                <c:pt idx="107">
                  <c:v>239.84028518694697</c:v>
                </c:pt>
                <c:pt idx="108">
                  <c:v>119.67857091654599</c:v>
                </c:pt>
                <c:pt idx="109">
                  <c:v>178.97588223820725</c:v>
                </c:pt>
                <c:pt idx="110">
                  <c:v>237.82162821664633</c:v>
                </c:pt>
                <c:pt idx="111">
                  <c:v>119.06743940990516</c:v>
                </c:pt>
                <c:pt idx="112">
                  <c:v>59.504132231404959</c:v>
                </c:pt>
                <c:pt idx="113">
                  <c:v>237.1701865765084</c:v>
                </c:pt>
                <c:pt idx="114">
                  <c:v>238.99253292428639</c:v>
                </c:pt>
                <c:pt idx="115">
                  <c:v>241.13556799433303</c:v>
                </c:pt>
                <c:pt idx="116">
                  <c:v>60.285714285714285</c:v>
                </c:pt>
                <c:pt idx="117">
                  <c:v>181.89755305662197</c:v>
                </c:pt>
                <c:pt idx="118">
                  <c:v>121.27335176342464</c:v>
                </c:pt>
                <c:pt idx="119">
                  <c:v>60.465116279069761</c:v>
                </c:pt>
                <c:pt idx="120">
                  <c:v>240.99519205590497</c:v>
                </c:pt>
                <c:pt idx="121">
                  <c:v>60.176991150442483</c:v>
                </c:pt>
                <c:pt idx="122">
                  <c:v>180.11887203567184</c:v>
                </c:pt>
                <c:pt idx="123">
                  <c:v>241.98037871421369</c:v>
                </c:pt>
                <c:pt idx="124">
                  <c:v>244.00887916668202</c:v>
                </c:pt>
                <c:pt idx="125">
                  <c:v>122.5117727622371</c:v>
                </c:pt>
                <c:pt idx="126">
                  <c:v>184.260429437932</c:v>
                </c:pt>
                <c:pt idx="127">
                  <c:v>246.17938563413404</c:v>
                </c:pt>
                <c:pt idx="128">
                  <c:v>61.635220125786162</c:v>
                </c:pt>
                <c:pt idx="129">
                  <c:v>61.514195583596212</c:v>
                </c:pt>
                <c:pt idx="130">
                  <c:v>123.61362266425557</c:v>
                </c:pt>
                <c:pt idx="131">
                  <c:v>62.101910828025474</c:v>
                </c:pt>
                <c:pt idx="132">
                  <c:v>186.53973907227865</c:v>
                </c:pt>
                <c:pt idx="133">
                  <c:v>250.89260385606426</c:v>
                </c:pt>
                <c:pt idx="134">
                  <c:v>62.745098039215684</c:v>
                </c:pt>
                <c:pt idx="135">
                  <c:v>126.10871440897326</c:v>
                </c:pt>
                <c:pt idx="136">
                  <c:v>251.40757525621655</c:v>
                </c:pt>
                <c:pt idx="137">
                  <c:v>62.541806020066893</c:v>
                </c:pt>
                <c:pt idx="138">
                  <c:v>62.416107382550337</c:v>
                </c:pt>
                <c:pt idx="139">
                  <c:v>62.289562289562298</c:v>
                </c:pt>
                <c:pt idx="140">
                  <c:v>251.27696621542117</c:v>
                </c:pt>
                <c:pt idx="141">
                  <c:v>189.68985320925188</c:v>
                </c:pt>
                <c:pt idx="142">
                  <c:v>188.54077080377823</c:v>
                </c:pt>
                <c:pt idx="143">
                  <c:v>249.91166621156907</c:v>
                </c:pt>
                <c:pt idx="144">
                  <c:v>252.05200428049622</c:v>
                </c:pt>
                <c:pt idx="145">
                  <c:v>125.76552476430408</c:v>
                </c:pt>
                <c:pt idx="146">
                  <c:v>125.22661396574441</c:v>
                </c:pt>
                <c:pt idx="147">
                  <c:v>251.00935963019649</c:v>
                </c:pt>
                <c:pt idx="148">
                  <c:v>126.1599889852678</c:v>
                </c:pt>
                <c:pt idx="149">
                  <c:v>125.98104980714405</c:v>
                </c:pt>
                <c:pt idx="150">
                  <c:v>62.781954887218049</c:v>
                </c:pt>
                <c:pt idx="151">
                  <c:v>251.23503913494267</c:v>
                </c:pt>
                <c:pt idx="152">
                  <c:v>126.29531388152077</c:v>
                </c:pt>
                <c:pt idx="153">
                  <c:v>188.3709750056687</c:v>
                </c:pt>
                <c:pt idx="154">
                  <c:v>249.11300155429885</c:v>
                </c:pt>
                <c:pt idx="155">
                  <c:v>248.30037128213098</c:v>
                </c:pt>
                <c:pt idx="156">
                  <c:v>61.693548387096776</c:v>
                </c:pt>
                <c:pt idx="157">
                  <c:v>246.84497838750423</c:v>
                </c:pt>
                <c:pt idx="158">
                  <c:v>185.94911491093225</c:v>
                </c:pt>
                <c:pt idx="159">
                  <c:v>248.21820993107798</c:v>
                </c:pt>
                <c:pt idx="160">
                  <c:v>246.90757108499318</c:v>
                </c:pt>
                <c:pt idx="161">
                  <c:v>123.97372742200329</c:v>
                </c:pt>
                <c:pt idx="162">
                  <c:v>246.82729691025992</c:v>
                </c:pt>
                <c:pt idx="163">
                  <c:v>246.76680086826323</c:v>
                </c:pt>
                <c:pt idx="164">
                  <c:v>244.89808508744852</c:v>
                </c:pt>
                <c:pt idx="165">
                  <c:v>183.41060800368288</c:v>
                </c:pt>
                <c:pt idx="166">
                  <c:v>244.02710628270643</c:v>
                </c:pt>
                <c:pt idx="167">
                  <c:v>61.137440758293835</c:v>
                </c:pt>
                <c:pt idx="168">
                  <c:v>245.08293987985064</c:v>
                </c:pt>
                <c:pt idx="169">
                  <c:v>245.96476455476406</c:v>
                </c:pt>
                <c:pt idx="170">
                  <c:v>123.57273040736908</c:v>
                </c:pt>
                <c:pt idx="171">
                  <c:v>184.42269427947818</c:v>
                </c:pt>
                <c:pt idx="172">
                  <c:v>184.69447521296686</c:v>
                </c:pt>
                <c:pt idx="173">
                  <c:v>122.480102558624</c:v>
                </c:pt>
                <c:pt idx="174">
                  <c:v>123.23843804537522</c:v>
                </c:pt>
                <c:pt idx="175">
                  <c:v>124.01002506265664</c:v>
                </c:pt>
                <c:pt idx="176">
                  <c:v>246.64903247365197</c:v>
                </c:pt>
                <c:pt idx="177">
                  <c:v>184.70013889650383</c:v>
                </c:pt>
                <c:pt idx="178">
                  <c:v>244.00509001391401</c:v>
                </c:pt>
                <c:pt idx="179">
                  <c:v>244.44298288892094</c:v>
                </c:pt>
                <c:pt idx="180">
                  <c:v>183.1369013787774</c:v>
                </c:pt>
                <c:pt idx="181">
                  <c:v>183.43273995988926</c:v>
                </c:pt>
                <c:pt idx="182">
                  <c:v>61.077844311377248</c:v>
                </c:pt>
                <c:pt idx="183">
                  <c:v>182.42504385613407</c:v>
                </c:pt>
                <c:pt idx="184">
                  <c:v>182.71687264752083</c:v>
                </c:pt>
                <c:pt idx="185">
                  <c:v>121.00235849056602</c:v>
                </c:pt>
                <c:pt idx="186">
                  <c:v>183.44445202463424</c:v>
                </c:pt>
                <c:pt idx="187">
                  <c:v>61.935483870967744</c:v>
                </c:pt>
                <c:pt idx="188">
                  <c:v>61.688311688311693</c:v>
                </c:pt>
                <c:pt idx="189">
                  <c:v>61.437908496732028</c:v>
                </c:pt>
                <c:pt idx="190">
                  <c:v>61.184210526315788</c:v>
                </c:pt>
                <c:pt idx="191">
                  <c:v>244.80737362100976</c:v>
                </c:pt>
                <c:pt idx="192">
                  <c:v>246.74284648515368</c:v>
                </c:pt>
                <c:pt idx="193">
                  <c:v>185.9117208832522</c:v>
                </c:pt>
                <c:pt idx="194">
                  <c:v>245.48772207695148</c:v>
                </c:pt>
                <c:pt idx="195">
                  <c:v>247.58136195038369</c:v>
                </c:pt>
                <c:pt idx="196">
                  <c:v>185.50338974003097</c:v>
                </c:pt>
                <c:pt idx="197">
                  <c:v>123.73425387596899</c:v>
                </c:pt>
                <c:pt idx="198">
                  <c:v>243.81230491349874</c:v>
                </c:pt>
                <c:pt idx="199">
                  <c:v>181.96192597341229</c:v>
                </c:pt>
                <c:pt idx="200">
                  <c:v>181.50702653942932</c:v>
                </c:pt>
                <c:pt idx="201">
                  <c:v>183.62978767026743</c:v>
                </c:pt>
                <c:pt idx="202">
                  <c:v>123.35041142679708</c:v>
                </c:pt>
                <c:pt idx="203">
                  <c:v>62.5</c:v>
                </c:pt>
                <c:pt idx="204">
                  <c:v>125.7903357903358</c:v>
                </c:pt>
                <c:pt idx="205">
                  <c:v>254.89398644785214</c:v>
                </c:pt>
                <c:pt idx="206">
                  <c:v>64.761904761904759</c:v>
                </c:pt>
                <c:pt idx="207">
                  <c:v>195.13904142687693</c:v>
                </c:pt>
                <c:pt idx="208">
                  <c:v>64.356435643564353</c:v>
                </c:pt>
                <c:pt idx="209">
                  <c:v>191.9220779220779</c:v>
                </c:pt>
                <c:pt idx="210">
                  <c:v>191.66971875565201</c:v>
                </c:pt>
                <c:pt idx="211">
                  <c:v>128.34591626630061</c:v>
                </c:pt>
                <c:pt idx="212">
                  <c:v>65.217391304347828</c:v>
                </c:pt>
                <c:pt idx="213">
                  <c:v>193.32455309983399</c:v>
                </c:pt>
                <c:pt idx="214">
                  <c:v>253.17486388008581</c:v>
                </c:pt>
                <c:pt idx="215">
                  <c:v>195.19961378615511</c:v>
                </c:pt>
                <c:pt idx="216">
                  <c:v>130.4320987654321</c:v>
                </c:pt>
                <c:pt idx="217">
                  <c:v>264.51269139477</c:v>
                </c:pt>
                <c:pt idx="218">
                  <c:v>130.19819819819821</c:v>
                </c:pt>
                <c:pt idx="219">
                  <c:v>128.27245053272452</c:v>
                </c:pt>
                <c:pt idx="220">
                  <c:v>130.50301810865193</c:v>
                </c:pt>
                <c:pt idx="221">
                  <c:v>259.25389328641609</c:v>
                </c:pt>
                <c:pt idx="222">
                  <c:v>66.153846153846146</c:v>
                </c:pt>
                <c:pt idx="223">
                  <c:v>65.625</c:v>
                </c:pt>
                <c:pt idx="224">
                  <c:v>66.666666666666657</c:v>
                </c:pt>
                <c:pt idx="225">
                  <c:v>67.741935483870961</c:v>
                </c:pt>
                <c:pt idx="226">
                  <c:v>68.852459016393439</c:v>
                </c:pt>
                <c:pt idx="227">
                  <c:v>141.18644067796612</c:v>
                </c:pt>
                <c:pt idx="228">
                  <c:v>292.10335792459205</c:v>
                </c:pt>
                <c:pt idx="229">
                  <c:v>74.074074074074076</c:v>
                </c:pt>
                <c:pt idx="230">
                  <c:v>219.21084834514357</c:v>
                </c:pt>
                <c:pt idx="231">
                  <c:v>143.42857142857144</c:v>
                </c:pt>
                <c:pt idx="232">
                  <c:v>210.61131668208449</c:v>
                </c:pt>
                <c:pt idx="233">
                  <c:v>215.93140709419777</c:v>
                </c:pt>
                <c:pt idx="234">
                  <c:v>144.5993031358885</c:v>
                </c:pt>
                <c:pt idx="235">
                  <c:v>217.97908232118758</c:v>
                </c:pt>
                <c:pt idx="236">
                  <c:v>222.25868725868725</c:v>
                </c:pt>
                <c:pt idx="237">
                  <c:v>289.0994264274625</c:v>
                </c:pt>
                <c:pt idx="238">
                  <c:v>138.9655172413793</c:v>
                </c:pt>
                <c:pt idx="239">
                  <c:v>286.87586487586486</c:v>
                </c:pt>
                <c:pt idx="240">
                  <c:v>221.64031620553362</c:v>
                </c:pt>
                <c:pt idx="241">
                  <c:v>224.87468671679198</c:v>
                </c:pt>
                <c:pt idx="242">
                  <c:v>321.38071895424838</c:v>
                </c:pt>
                <c:pt idx="243">
                  <c:v>303.22177822177827</c:v>
                </c:pt>
                <c:pt idx="244">
                  <c:v>232.77777777777777</c:v>
                </c:pt>
                <c:pt idx="245">
                  <c:v>309.76190476190476</c:v>
                </c:pt>
                <c:pt idx="246">
                  <c:v>66.666666666666657</c:v>
                </c:pt>
                <c:pt idx="24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E-4858-809A-E6212F2217D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Sheet22!$A$1:$A$248</c:f>
              <c:numCache>
                <c:formatCode>General</c:formatCode>
                <c:ptCount val="2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42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48</c:v>
                </c:pt>
                <c:pt idx="40">
                  <c:v>49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63</c:v>
                </c:pt>
                <c:pt idx="53">
                  <c:v>64</c:v>
                </c:pt>
                <c:pt idx="54">
                  <c:v>66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89</c:v>
                </c:pt>
                <c:pt idx="75">
                  <c:v>90</c:v>
                </c:pt>
                <c:pt idx="76">
                  <c:v>91</c:v>
                </c:pt>
                <c:pt idx="77">
                  <c:v>92</c:v>
                </c:pt>
                <c:pt idx="78">
                  <c:v>93</c:v>
                </c:pt>
                <c:pt idx="79">
                  <c:v>94</c:v>
                </c:pt>
                <c:pt idx="80">
                  <c:v>95</c:v>
                </c:pt>
                <c:pt idx="81">
                  <c:v>96</c:v>
                </c:pt>
                <c:pt idx="82">
                  <c:v>97</c:v>
                </c:pt>
                <c:pt idx="83">
                  <c:v>98</c:v>
                </c:pt>
                <c:pt idx="84">
                  <c:v>99</c:v>
                </c:pt>
                <c:pt idx="85">
                  <c:v>100</c:v>
                </c:pt>
                <c:pt idx="86">
                  <c:v>101</c:v>
                </c:pt>
                <c:pt idx="87">
                  <c:v>102</c:v>
                </c:pt>
                <c:pt idx="88">
                  <c:v>103</c:v>
                </c:pt>
                <c:pt idx="89">
                  <c:v>104</c:v>
                </c:pt>
                <c:pt idx="90">
                  <c:v>105</c:v>
                </c:pt>
                <c:pt idx="91">
                  <c:v>106</c:v>
                </c:pt>
                <c:pt idx="92">
                  <c:v>107</c:v>
                </c:pt>
                <c:pt idx="93">
                  <c:v>108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115</c:v>
                </c:pt>
                <c:pt idx="99">
                  <c:v>116</c:v>
                </c:pt>
                <c:pt idx="100">
                  <c:v>117</c:v>
                </c:pt>
                <c:pt idx="101">
                  <c:v>119</c:v>
                </c:pt>
                <c:pt idx="102">
                  <c:v>120</c:v>
                </c:pt>
                <c:pt idx="103">
                  <c:v>121</c:v>
                </c:pt>
                <c:pt idx="104">
                  <c:v>122</c:v>
                </c:pt>
                <c:pt idx="105">
                  <c:v>124</c:v>
                </c:pt>
                <c:pt idx="106">
                  <c:v>125</c:v>
                </c:pt>
                <c:pt idx="107">
                  <c:v>126</c:v>
                </c:pt>
                <c:pt idx="108">
                  <c:v>128</c:v>
                </c:pt>
                <c:pt idx="109">
                  <c:v>129</c:v>
                </c:pt>
                <c:pt idx="110">
                  <c:v>131</c:v>
                </c:pt>
                <c:pt idx="111">
                  <c:v>134</c:v>
                </c:pt>
                <c:pt idx="112">
                  <c:v>135</c:v>
                </c:pt>
                <c:pt idx="113">
                  <c:v>136</c:v>
                </c:pt>
                <c:pt idx="114">
                  <c:v>137</c:v>
                </c:pt>
                <c:pt idx="115">
                  <c:v>139</c:v>
                </c:pt>
                <c:pt idx="116">
                  <c:v>140</c:v>
                </c:pt>
                <c:pt idx="117">
                  <c:v>142</c:v>
                </c:pt>
                <c:pt idx="118">
                  <c:v>143</c:v>
                </c:pt>
                <c:pt idx="119">
                  <c:v>144</c:v>
                </c:pt>
                <c:pt idx="120">
                  <c:v>146</c:v>
                </c:pt>
                <c:pt idx="121">
                  <c:v>148</c:v>
                </c:pt>
                <c:pt idx="122">
                  <c:v>149</c:v>
                </c:pt>
                <c:pt idx="123">
                  <c:v>150</c:v>
                </c:pt>
                <c:pt idx="124">
                  <c:v>151</c:v>
                </c:pt>
                <c:pt idx="125">
                  <c:v>152</c:v>
                </c:pt>
                <c:pt idx="126">
                  <c:v>153</c:v>
                </c:pt>
                <c:pt idx="127">
                  <c:v>154</c:v>
                </c:pt>
                <c:pt idx="128">
                  <c:v>155</c:v>
                </c:pt>
                <c:pt idx="129">
                  <c:v>156</c:v>
                </c:pt>
                <c:pt idx="130">
                  <c:v>158</c:v>
                </c:pt>
                <c:pt idx="131">
                  <c:v>160</c:v>
                </c:pt>
                <c:pt idx="132">
                  <c:v>161</c:v>
                </c:pt>
                <c:pt idx="133">
                  <c:v>162</c:v>
                </c:pt>
                <c:pt idx="134">
                  <c:v>163</c:v>
                </c:pt>
                <c:pt idx="135">
                  <c:v>164</c:v>
                </c:pt>
                <c:pt idx="136">
                  <c:v>165</c:v>
                </c:pt>
                <c:pt idx="137">
                  <c:v>166</c:v>
                </c:pt>
                <c:pt idx="138">
                  <c:v>167</c:v>
                </c:pt>
                <c:pt idx="139">
                  <c:v>168</c:v>
                </c:pt>
                <c:pt idx="140">
                  <c:v>169</c:v>
                </c:pt>
                <c:pt idx="141">
                  <c:v>170</c:v>
                </c:pt>
                <c:pt idx="142">
                  <c:v>171</c:v>
                </c:pt>
                <c:pt idx="143">
                  <c:v>172</c:v>
                </c:pt>
                <c:pt idx="144">
                  <c:v>173</c:v>
                </c:pt>
                <c:pt idx="145">
                  <c:v>174</c:v>
                </c:pt>
                <c:pt idx="146">
                  <c:v>175</c:v>
                </c:pt>
                <c:pt idx="147">
                  <c:v>176</c:v>
                </c:pt>
                <c:pt idx="148">
                  <c:v>177</c:v>
                </c:pt>
                <c:pt idx="149">
                  <c:v>178</c:v>
                </c:pt>
                <c:pt idx="150">
                  <c:v>179</c:v>
                </c:pt>
                <c:pt idx="151">
                  <c:v>180</c:v>
                </c:pt>
                <c:pt idx="152">
                  <c:v>182</c:v>
                </c:pt>
                <c:pt idx="153">
                  <c:v>183</c:v>
                </c:pt>
                <c:pt idx="154">
                  <c:v>184</c:v>
                </c:pt>
                <c:pt idx="155">
                  <c:v>185</c:v>
                </c:pt>
                <c:pt idx="156">
                  <c:v>186</c:v>
                </c:pt>
                <c:pt idx="157">
                  <c:v>187</c:v>
                </c:pt>
                <c:pt idx="158">
                  <c:v>188</c:v>
                </c:pt>
                <c:pt idx="159">
                  <c:v>189</c:v>
                </c:pt>
                <c:pt idx="160">
                  <c:v>190</c:v>
                </c:pt>
                <c:pt idx="161">
                  <c:v>191</c:v>
                </c:pt>
                <c:pt idx="162">
                  <c:v>192</c:v>
                </c:pt>
                <c:pt idx="163">
                  <c:v>193</c:v>
                </c:pt>
                <c:pt idx="164">
                  <c:v>194</c:v>
                </c:pt>
                <c:pt idx="165">
                  <c:v>196</c:v>
                </c:pt>
                <c:pt idx="166">
                  <c:v>198</c:v>
                </c:pt>
                <c:pt idx="167">
                  <c:v>199</c:v>
                </c:pt>
                <c:pt idx="168">
                  <c:v>200</c:v>
                </c:pt>
                <c:pt idx="169">
                  <c:v>201</c:v>
                </c:pt>
                <c:pt idx="170">
                  <c:v>202</c:v>
                </c:pt>
                <c:pt idx="171">
                  <c:v>203</c:v>
                </c:pt>
                <c:pt idx="172">
                  <c:v>204</c:v>
                </c:pt>
                <c:pt idx="173">
                  <c:v>205</c:v>
                </c:pt>
                <c:pt idx="174">
                  <c:v>206</c:v>
                </c:pt>
                <c:pt idx="175">
                  <c:v>207</c:v>
                </c:pt>
                <c:pt idx="176">
                  <c:v>208</c:v>
                </c:pt>
                <c:pt idx="177">
                  <c:v>209</c:v>
                </c:pt>
                <c:pt idx="178">
                  <c:v>210</c:v>
                </c:pt>
                <c:pt idx="179">
                  <c:v>211</c:v>
                </c:pt>
                <c:pt idx="180">
                  <c:v>212</c:v>
                </c:pt>
                <c:pt idx="181">
                  <c:v>214</c:v>
                </c:pt>
                <c:pt idx="182">
                  <c:v>215</c:v>
                </c:pt>
                <c:pt idx="183">
                  <c:v>216</c:v>
                </c:pt>
                <c:pt idx="184">
                  <c:v>217</c:v>
                </c:pt>
                <c:pt idx="185">
                  <c:v>218</c:v>
                </c:pt>
                <c:pt idx="186">
                  <c:v>219</c:v>
                </c:pt>
                <c:pt idx="187">
                  <c:v>223</c:v>
                </c:pt>
                <c:pt idx="188">
                  <c:v>224</c:v>
                </c:pt>
                <c:pt idx="189">
                  <c:v>226</c:v>
                </c:pt>
                <c:pt idx="190">
                  <c:v>229</c:v>
                </c:pt>
                <c:pt idx="191">
                  <c:v>230</c:v>
                </c:pt>
                <c:pt idx="192">
                  <c:v>231</c:v>
                </c:pt>
                <c:pt idx="193">
                  <c:v>232</c:v>
                </c:pt>
                <c:pt idx="194">
                  <c:v>234</c:v>
                </c:pt>
                <c:pt idx="195">
                  <c:v>235</c:v>
                </c:pt>
                <c:pt idx="196">
                  <c:v>236</c:v>
                </c:pt>
                <c:pt idx="197">
                  <c:v>237</c:v>
                </c:pt>
                <c:pt idx="198">
                  <c:v>238</c:v>
                </c:pt>
                <c:pt idx="199">
                  <c:v>239</c:v>
                </c:pt>
                <c:pt idx="200">
                  <c:v>240</c:v>
                </c:pt>
                <c:pt idx="201">
                  <c:v>241</c:v>
                </c:pt>
                <c:pt idx="202">
                  <c:v>242</c:v>
                </c:pt>
                <c:pt idx="203">
                  <c:v>243</c:v>
                </c:pt>
                <c:pt idx="204">
                  <c:v>245</c:v>
                </c:pt>
                <c:pt idx="205">
                  <c:v>246</c:v>
                </c:pt>
                <c:pt idx="206">
                  <c:v>249</c:v>
                </c:pt>
                <c:pt idx="207">
                  <c:v>250</c:v>
                </c:pt>
                <c:pt idx="208">
                  <c:v>253</c:v>
                </c:pt>
                <c:pt idx="209">
                  <c:v>254</c:v>
                </c:pt>
                <c:pt idx="210">
                  <c:v>255</c:v>
                </c:pt>
                <c:pt idx="211">
                  <c:v>256</c:v>
                </c:pt>
                <c:pt idx="212">
                  <c:v>257</c:v>
                </c:pt>
                <c:pt idx="213">
                  <c:v>258</c:v>
                </c:pt>
                <c:pt idx="214">
                  <c:v>259</c:v>
                </c:pt>
                <c:pt idx="215">
                  <c:v>260</c:v>
                </c:pt>
                <c:pt idx="216">
                  <c:v>263</c:v>
                </c:pt>
                <c:pt idx="217">
                  <c:v>265</c:v>
                </c:pt>
                <c:pt idx="218">
                  <c:v>267</c:v>
                </c:pt>
                <c:pt idx="219">
                  <c:v>269</c:v>
                </c:pt>
                <c:pt idx="220">
                  <c:v>271</c:v>
                </c:pt>
                <c:pt idx="221">
                  <c:v>272</c:v>
                </c:pt>
                <c:pt idx="222">
                  <c:v>273</c:v>
                </c:pt>
                <c:pt idx="223">
                  <c:v>274</c:v>
                </c:pt>
                <c:pt idx="224">
                  <c:v>275</c:v>
                </c:pt>
                <c:pt idx="225">
                  <c:v>276</c:v>
                </c:pt>
                <c:pt idx="226">
                  <c:v>277</c:v>
                </c:pt>
                <c:pt idx="227">
                  <c:v>278</c:v>
                </c:pt>
                <c:pt idx="228">
                  <c:v>279</c:v>
                </c:pt>
                <c:pt idx="229">
                  <c:v>280</c:v>
                </c:pt>
                <c:pt idx="230">
                  <c:v>283</c:v>
                </c:pt>
                <c:pt idx="231">
                  <c:v>284</c:v>
                </c:pt>
                <c:pt idx="232">
                  <c:v>285</c:v>
                </c:pt>
                <c:pt idx="233">
                  <c:v>286</c:v>
                </c:pt>
                <c:pt idx="234">
                  <c:v>287</c:v>
                </c:pt>
                <c:pt idx="235">
                  <c:v>288</c:v>
                </c:pt>
                <c:pt idx="236">
                  <c:v>289</c:v>
                </c:pt>
                <c:pt idx="237">
                  <c:v>290</c:v>
                </c:pt>
                <c:pt idx="238">
                  <c:v>291</c:v>
                </c:pt>
                <c:pt idx="239">
                  <c:v>292</c:v>
                </c:pt>
                <c:pt idx="240">
                  <c:v>293</c:v>
                </c:pt>
                <c:pt idx="241">
                  <c:v>294</c:v>
                </c:pt>
                <c:pt idx="242">
                  <c:v>295</c:v>
                </c:pt>
                <c:pt idx="243">
                  <c:v>296</c:v>
                </c:pt>
                <c:pt idx="244">
                  <c:v>297</c:v>
                </c:pt>
                <c:pt idx="245">
                  <c:v>298</c:v>
                </c:pt>
                <c:pt idx="246">
                  <c:v>299</c:v>
                </c:pt>
                <c:pt idx="247">
                  <c:v>300</c:v>
                </c:pt>
              </c:numCache>
            </c:numRef>
          </c:xVal>
          <c:yVal>
            <c:numRef>
              <c:f>Sheet22!$C$1:$C$248</c:f>
              <c:numCache>
                <c:formatCode>General</c:formatCode>
                <c:ptCount val="24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4</c:v>
                </c:pt>
                <c:pt idx="55">
                  <c:v>1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4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3</c:v>
                </c:pt>
                <c:pt idx="88">
                  <c:v>3</c:v>
                </c:pt>
                <c:pt idx="89">
                  <c:v>1</c:v>
                </c:pt>
                <c:pt idx="90">
                  <c:v>4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2</c:v>
                </c:pt>
                <c:pt idx="109">
                  <c:v>3</c:v>
                </c:pt>
                <c:pt idx="110">
                  <c:v>4</c:v>
                </c:pt>
                <c:pt idx="111">
                  <c:v>2</c:v>
                </c:pt>
                <c:pt idx="112">
                  <c:v>1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1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4</c:v>
                </c:pt>
                <c:pt idx="121">
                  <c:v>1</c:v>
                </c:pt>
                <c:pt idx="122">
                  <c:v>3</c:v>
                </c:pt>
                <c:pt idx="123">
                  <c:v>4</c:v>
                </c:pt>
                <c:pt idx="124">
                  <c:v>4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4</c:v>
                </c:pt>
                <c:pt idx="134">
                  <c:v>1</c:v>
                </c:pt>
                <c:pt idx="135">
                  <c:v>2</c:v>
                </c:pt>
                <c:pt idx="136">
                  <c:v>4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4</c:v>
                </c:pt>
                <c:pt idx="141">
                  <c:v>3</c:v>
                </c:pt>
                <c:pt idx="142">
                  <c:v>3</c:v>
                </c:pt>
                <c:pt idx="143">
                  <c:v>4</c:v>
                </c:pt>
                <c:pt idx="144">
                  <c:v>4</c:v>
                </c:pt>
                <c:pt idx="145">
                  <c:v>2</c:v>
                </c:pt>
                <c:pt idx="146">
                  <c:v>2</c:v>
                </c:pt>
                <c:pt idx="147">
                  <c:v>4</c:v>
                </c:pt>
                <c:pt idx="148">
                  <c:v>2</c:v>
                </c:pt>
                <c:pt idx="149">
                  <c:v>2</c:v>
                </c:pt>
                <c:pt idx="150">
                  <c:v>1</c:v>
                </c:pt>
                <c:pt idx="151">
                  <c:v>4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1</c:v>
                </c:pt>
                <c:pt idx="157">
                  <c:v>4</c:v>
                </c:pt>
                <c:pt idx="158">
                  <c:v>3</c:v>
                </c:pt>
                <c:pt idx="159">
                  <c:v>4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3</c:v>
                </c:pt>
                <c:pt idx="166">
                  <c:v>4</c:v>
                </c:pt>
                <c:pt idx="167">
                  <c:v>1</c:v>
                </c:pt>
                <c:pt idx="168">
                  <c:v>4</c:v>
                </c:pt>
                <c:pt idx="169">
                  <c:v>4</c:v>
                </c:pt>
                <c:pt idx="170">
                  <c:v>2</c:v>
                </c:pt>
                <c:pt idx="171">
                  <c:v>3</c:v>
                </c:pt>
                <c:pt idx="172">
                  <c:v>3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4</c:v>
                </c:pt>
                <c:pt idx="180">
                  <c:v>3</c:v>
                </c:pt>
                <c:pt idx="181">
                  <c:v>3</c:v>
                </c:pt>
                <c:pt idx="182">
                  <c:v>1</c:v>
                </c:pt>
                <c:pt idx="183">
                  <c:v>3</c:v>
                </c:pt>
                <c:pt idx="184">
                  <c:v>3</c:v>
                </c:pt>
                <c:pt idx="185">
                  <c:v>2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4</c:v>
                </c:pt>
                <c:pt idx="192">
                  <c:v>4</c:v>
                </c:pt>
                <c:pt idx="193">
                  <c:v>3</c:v>
                </c:pt>
                <c:pt idx="194">
                  <c:v>4</c:v>
                </c:pt>
                <c:pt idx="195">
                  <c:v>4</c:v>
                </c:pt>
                <c:pt idx="196">
                  <c:v>3</c:v>
                </c:pt>
                <c:pt idx="197">
                  <c:v>2</c:v>
                </c:pt>
                <c:pt idx="198">
                  <c:v>4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4</c:v>
                </c:pt>
                <c:pt idx="206">
                  <c:v>1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3</c:v>
                </c:pt>
                <c:pt idx="211">
                  <c:v>2</c:v>
                </c:pt>
                <c:pt idx="212">
                  <c:v>1</c:v>
                </c:pt>
                <c:pt idx="213">
                  <c:v>3</c:v>
                </c:pt>
                <c:pt idx="214">
                  <c:v>4</c:v>
                </c:pt>
                <c:pt idx="215">
                  <c:v>3</c:v>
                </c:pt>
                <c:pt idx="216">
                  <c:v>2</c:v>
                </c:pt>
                <c:pt idx="217">
                  <c:v>4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4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3</c:v>
                </c:pt>
                <c:pt idx="231">
                  <c:v>2</c:v>
                </c:pt>
                <c:pt idx="232">
                  <c:v>3</c:v>
                </c:pt>
                <c:pt idx="233">
                  <c:v>3</c:v>
                </c:pt>
                <c:pt idx="234">
                  <c:v>2</c:v>
                </c:pt>
                <c:pt idx="235">
                  <c:v>3</c:v>
                </c:pt>
                <c:pt idx="236">
                  <c:v>3</c:v>
                </c:pt>
                <c:pt idx="237">
                  <c:v>4</c:v>
                </c:pt>
                <c:pt idx="238">
                  <c:v>2</c:v>
                </c:pt>
                <c:pt idx="239">
                  <c:v>4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  <c:pt idx="243">
                  <c:v>4</c:v>
                </c:pt>
                <c:pt idx="244">
                  <c:v>3</c:v>
                </c:pt>
                <c:pt idx="245">
                  <c:v>4</c:v>
                </c:pt>
                <c:pt idx="246">
                  <c:v>1</c:v>
                </c:pt>
                <c:pt idx="24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1E-4858-809A-E6212F221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656192"/>
        <c:axId val="2024309456"/>
      </c:scatterChart>
      <c:valAx>
        <c:axId val="211165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309456"/>
        <c:crosses val="autoZero"/>
        <c:crossBetween val="midCat"/>
      </c:valAx>
      <c:valAx>
        <c:axId val="202430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65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anylatic.xlsx]Leave Status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>
                <a:solidFill>
                  <a:schemeClr val="tx1"/>
                </a:solidFill>
              </a:rPr>
              <a:t>Leave Status Analysis</a:t>
            </a:r>
            <a:endParaRPr lang="en-IN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'Leave Status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'Leave Status Analysis'!$A$4:$A$7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'Leave Status Analysis'!$B$4:$B$7</c:f>
              <c:numCache>
                <c:formatCode>General</c:formatCode>
                <c:ptCount val="3"/>
                <c:pt idx="0">
                  <c:v>391</c:v>
                </c:pt>
                <c:pt idx="1">
                  <c:v>119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0-47AF-986A-446D19152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6366287"/>
        <c:axId val="917359311"/>
      </c:barChart>
      <c:catAx>
        <c:axId val="1516366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59311"/>
        <c:crosses val="autoZero"/>
        <c:auto val="1"/>
        <c:lblAlgn val="ctr"/>
        <c:lblOffset val="100"/>
        <c:noMultiLvlLbl val="0"/>
      </c:catAx>
      <c:valAx>
        <c:axId val="91735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6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Recruitment_Summary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Recruitment_Summary!$B$1</c:f>
              <c:strCache>
                <c:ptCount val="1"/>
                <c:pt idx="0">
                  <c:v>Total_Hires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Recruitment_Summary!$A$2:$A$7</c:f>
              <c:strCache>
                <c:ptCount val="6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</c:strCache>
            </c:strRef>
          </c:cat>
          <c:val>
            <c:numRef>
              <c:f>Recruitment_Summary!$B$2:$B$7</c:f>
              <c:numCache>
                <c:formatCode>General</c:formatCode>
                <c:ptCount val="6"/>
                <c:pt idx="0">
                  <c:v>59</c:v>
                </c:pt>
                <c:pt idx="1">
                  <c:v>47</c:v>
                </c:pt>
                <c:pt idx="2">
                  <c:v>50</c:v>
                </c:pt>
                <c:pt idx="3">
                  <c:v>49</c:v>
                </c:pt>
                <c:pt idx="4">
                  <c:v>45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F-4E4E-8BD0-2AA30A810085}"/>
            </c:ext>
          </c:extLst>
        </c:ser>
        <c:ser>
          <c:idx val="1"/>
          <c:order val="1"/>
          <c:tx>
            <c:strRef>
              <c:f>Recruitment_Summary!$C$1</c:f>
              <c:strCache>
                <c:ptCount val="1"/>
                <c:pt idx="0">
                  <c:v>Average_Performance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Recruitment_Summary!$A$2:$A$7</c:f>
              <c:strCache>
                <c:ptCount val="6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</c:strCache>
            </c:strRef>
          </c:cat>
          <c:val>
            <c:numRef>
              <c:f>Recruitment_Summary!$C$2:$C$7</c:f>
              <c:numCache>
                <c:formatCode>General</c:formatCode>
                <c:ptCount val="6"/>
                <c:pt idx="0">
                  <c:v>75.42</c:v>
                </c:pt>
                <c:pt idx="1">
                  <c:v>75.930000000000007</c:v>
                </c:pt>
                <c:pt idx="2">
                  <c:v>74.25</c:v>
                </c:pt>
                <c:pt idx="3">
                  <c:v>74.55</c:v>
                </c:pt>
                <c:pt idx="4">
                  <c:v>78.790000000000006</c:v>
                </c:pt>
                <c:pt idx="5">
                  <c:v>75.69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F-4E4E-8BD0-2AA30A810085}"/>
            </c:ext>
          </c:extLst>
        </c:ser>
        <c:ser>
          <c:idx val="2"/>
          <c:order val="2"/>
          <c:tx>
            <c:strRef>
              <c:f>Recruitment_Summary!$D$1</c:f>
              <c:strCache>
                <c:ptCount val="1"/>
                <c:pt idx="0">
                  <c:v>Average_Salary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Recruitment_Summary!$A$2:$A$7</c:f>
              <c:strCache>
                <c:ptCount val="6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</c:strCache>
            </c:strRef>
          </c:cat>
          <c:val>
            <c:numRef>
              <c:f>Recruitment_Summary!$D$2:$D$7</c:f>
              <c:numCache>
                <c:formatCode>General</c:formatCode>
                <c:ptCount val="6"/>
                <c:pt idx="0">
                  <c:v>45136</c:v>
                </c:pt>
                <c:pt idx="1">
                  <c:v>47043</c:v>
                </c:pt>
                <c:pt idx="2">
                  <c:v>46460</c:v>
                </c:pt>
                <c:pt idx="3">
                  <c:v>46469</c:v>
                </c:pt>
                <c:pt idx="4">
                  <c:v>43178</c:v>
                </c:pt>
                <c:pt idx="5">
                  <c:v>43800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FF-4E4E-8BD0-2AA30A81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468863"/>
        <c:axId val="2024209136"/>
      </c:barChart>
      <c:catAx>
        <c:axId val="26646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09136"/>
        <c:crosses val="autoZero"/>
        <c:auto val="1"/>
        <c:lblAlgn val="ctr"/>
        <c:lblOffset val="100"/>
        <c:noMultiLvlLbl val="0"/>
      </c:catAx>
      <c:valAx>
        <c:axId val="20242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6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Salary</a:t>
            </a:r>
            <a:r>
              <a:rPr lang="en-US" sz="2400" b="1" baseline="0">
                <a:solidFill>
                  <a:schemeClr val="tx1"/>
                </a:solidFill>
              </a:rPr>
              <a:t> vs </a:t>
            </a:r>
            <a:r>
              <a:rPr lang="en-US" sz="2400" b="1">
                <a:solidFill>
                  <a:schemeClr val="tx1"/>
                </a:solidFill>
              </a:rPr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Employee_Master!$K$1</c:f>
              <c:strCache>
                <c:ptCount val="1"/>
                <c:pt idx="0">
                  <c:v>Performance_Score</c:v>
                </c:pt>
              </c:strCache>
            </c:strRef>
          </c:tx>
          <c:spPr>
            <a:ln w="15875" cap="rnd" cmpd="sng">
              <a:solidFill>
                <a:schemeClr val="accent2">
                  <a:alpha val="99000"/>
                </a:schemeClr>
              </a:solidFill>
              <a:round/>
              <a:headEnd type="none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multiLvlStrRef>
              <c:f>Employee_Master!$G$2:$J$301</c:f>
              <c:multiLvlStrCache>
                <c:ptCount val="300"/>
                <c:lvl>
                  <c:pt idx="0">
                    <c:v>Campus Recruitment</c:v>
                  </c:pt>
                  <c:pt idx="1">
                    <c:v>Indeed</c:v>
                  </c:pt>
                  <c:pt idx="2">
                    <c:v>LinkedIn</c:v>
                  </c:pt>
                  <c:pt idx="3">
                    <c:v>Naukri</c:v>
                  </c:pt>
                  <c:pt idx="4">
                    <c:v>Company Website</c:v>
                  </c:pt>
                  <c:pt idx="5">
                    <c:v>Campus Recruitment</c:v>
                  </c:pt>
                  <c:pt idx="6">
                    <c:v>LinkedIn</c:v>
                  </c:pt>
                  <c:pt idx="7">
                    <c:v>Company Website</c:v>
                  </c:pt>
                  <c:pt idx="8">
                    <c:v>Indeed</c:v>
                  </c:pt>
                  <c:pt idx="9">
                    <c:v>Company Website</c:v>
                  </c:pt>
                  <c:pt idx="10">
                    <c:v>Company Website</c:v>
                  </c:pt>
                  <c:pt idx="11">
                    <c:v>Naukri</c:v>
                  </c:pt>
                  <c:pt idx="12">
                    <c:v>Indeed</c:v>
                  </c:pt>
                  <c:pt idx="13">
                    <c:v>Campus Recruitment</c:v>
                  </c:pt>
                  <c:pt idx="14">
                    <c:v>Company Website</c:v>
                  </c:pt>
                  <c:pt idx="15">
                    <c:v>LinkedIn</c:v>
                  </c:pt>
                  <c:pt idx="16">
                    <c:v>Company Website</c:v>
                  </c:pt>
                  <c:pt idx="17">
                    <c:v>Naukri</c:v>
                  </c:pt>
                  <c:pt idx="18">
                    <c:v>Indeed</c:v>
                  </c:pt>
                  <c:pt idx="19">
                    <c:v>Company Website</c:v>
                  </c:pt>
                  <c:pt idx="20">
                    <c:v>Indeed</c:v>
                  </c:pt>
                  <c:pt idx="21">
                    <c:v>LinkedIn</c:v>
                  </c:pt>
                  <c:pt idx="22">
                    <c:v>Company Website</c:v>
                  </c:pt>
                  <c:pt idx="23">
                    <c:v>Indeed</c:v>
                  </c:pt>
                  <c:pt idx="24">
                    <c:v>Indeed</c:v>
                  </c:pt>
                  <c:pt idx="25">
                    <c:v>Naukri</c:v>
                  </c:pt>
                  <c:pt idx="26">
                    <c:v>Campus Recruitment</c:v>
                  </c:pt>
                  <c:pt idx="27">
                    <c:v>Indeed</c:v>
                  </c:pt>
                  <c:pt idx="28">
                    <c:v>Campus Recruitment</c:v>
                  </c:pt>
                  <c:pt idx="29">
                    <c:v>Naukri</c:v>
                  </c:pt>
                  <c:pt idx="30">
                    <c:v>Company Website</c:v>
                  </c:pt>
                  <c:pt idx="31">
                    <c:v>Employee Referral</c:v>
                  </c:pt>
                  <c:pt idx="32">
                    <c:v>Naukri</c:v>
                  </c:pt>
                  <c:pt idx="33">
                    <c:v>Naukri</c:v>
                  </c:pt>
                  <c:pt idx="34">
                    <c:v>Indeed</c:v>
                  </c:pt>
                  <c:pt idx="35">
                    <c:v>Company Website</c:v>
                  </c:pt>
                  <c:pt idx="36">
                    <c:v>Employee Referral</c:v>
                  </c:pt>
                  <c:pt idx="37">
                    <c:v>Naukri</c:v>
                  </c:pt>
                  <c:pt idx="38">
                    <c:v>Company Website</c:v>
                  </c:pt>
                  <c:pt idx="39">
                    <c:v>LinkedIn</c:v>
                  </c:pt>
                  <c:pt idx="40">
                    <c:v>Campus Recruitment</c:v>
                  </c:pt>
                  <c:pt idx="41">
                    <c:v>Company Website</c:v>
                  </c:pt>
                  <c:pt idx="42">
                    <c:v>Indeed</c:v>
                  </c:pt>
                  <c:pt idx="43">
                    <c:v>LinkedIn</c:v>
                  </c:pt>
                  <c:pt idx="44">
                    <c:v>Campus Recruitment</c:v>
                  </c:pt>
                  <c:pt idx="45">
                    <c:v>Naukri</c:v>
                  </c:pt>
                  <c:pt idx="46">
                    <c:v>Indeed</c:v>
                  </c:pt>
                  <c:pt idx="47">
                    <c:v>Employee Referral</c:v>
                  </c:pt>
                  <c:pt idx="48">
                    <c:v>Indeed</c:v>
                  </c:pt>
                  <c:pt idx="49">
                    <c:v>Indeed</c:v>
                  </c:pt>
                  <c:pt idx="50">
                    <c:v>Campus Recruitment</c:v>
                  </c:pt>
                  <c:pt idx="51">
                    <c:v>LinkedIn</c:v>
                  </c:pt>
                  <c:pt idx="52">
                    <c:v>Indeed</c:v>
                  </c:pt>
                  <c:pt idx="53">
                    <c:v>Indeed</c:v>
                  </c:pt>
                  <c:pt idx="54">
                    <c:v>Employee Referral</c:v>
                  </c:pt>
                  <c:pt idx="55">
                    <c:v>Naukri</c:v>
                  </c:pt>
                  <c:pt idx="56">
                    <c:v>Employee Referral</c:v>
                  </c:pt>
                  <c:pt idx="57">
                    <c:v>Employee Referral</c:v>
                  </c:pt>
                  <c:pt idx="58">
                    <c:v>Employee Referral</c:v>
                  </c:pt>
                  <c:pt idx="59">
                    <c:v>Naukri</c:v>
                  </c:pt>
                  <c:pt idx="60">
                    <c:v>LinkedIn</c:v>
                  </c:pt>
                  <c:pt idx="61">
                    <c:v>LinkedIn</c:v>
                  </c:pt>
                  <c:pt idx="62">
                    <c:v>Campus Recruitment</c:v>
                  </c:pt>
                  <c:pt idx="63">
                    <c:v>Campus Recruitment</c:v>
                  </c:pt>
                  <c:pt idx="64">
                    <c:v>Employee Referral</c:v>
                  </c:pt>
                  <c:pt idx="65">
                    <c:v>Employee Referral</c:v>
                  </c:pt>
                  <c:pt idx="66">
                    <c:v>Company Website</c:v>
                  </c:pt>
                  <c:pt idx="67">
                    <c:v>Naukri</c:v>
                  </c:pt>
                  <c:pt idx="68">
                    <c:v>LinkedIn</c:v>
                  </c:pt>
                  <c:pt idx="69">
                    <c:v>Campus Recruitment</c:v>
                  </c:pt>
                  <c:pt idx="70">
                    <c:v>Company Website</c:v>
                  </c:pt>
                  <c:pt idx="71">
                    <c:v>Company Website</c:v>
                  </c:pt>
                  <c:pt idx="72">
                    <c:v>Company Website</c:v>
                  </c:pt>
                  <c:pt idx="73">
                    <c:v>Company Website</c:v>
                  </c:pt>
                  <c:pt idx="74">
                    <c:v>Campus Recruitment</c:v>
                  </c:pt>
                  <c:pt idx="75">
                    <c:v>Employee Referral</c:v>
                  </c:pt>
                  <c:pt idx="76">
                    <c:v>Company Website</c:v>
                  </c:pt>
                  <c:pt idx="77">
                    <c:v>Company Website</c:v>
                  </c:pt>
                  <c:pt idx="78">
                    <c:v>Naukri</c:v>
                  </c:pt>
                  <c:pt idx="79">
                    <c:v>Naukri</c:v>
                  </c:pt>
                  <c:pt idx="80">
                    <c:v>Campus Recruitment</c:v>
                  </c:pt>
                  <c:pt idx="81">
                    <c:v>Indeed</c:v>
                  </c:pt>
                  <c:pt idx="82">
                    <c:v>Naukri</c:v>
                  </c:pt>
                  <c:pt idx="83">
                    <c:v>Campus Recruitment</c:v>
                  </c:pt>
                  <c:pt idx="84">
                    <c:v>Employee Referral</c:v>
                  </c:pt>
                  <c:pt idx="85">
                    <c:v>Naukri</c:v>
                  </c:pt>
                  <c:pt idx="86">
                    <c:v>Indeed</c:v>
                  </c:pt>
                  <c:pt idx="87">
                    <c:v>Naukri</c:v>
                  </c:pt>
                  <c:pt idx="88">
                    <c:v>Employee Referral</c:v>
                  </c:pt>
                  <c:pt idx="89">
                    <c:v>Employee Referral</c:v>
                  </c:pt>
                  <c:pt idx="90">
                    <c:v>Indeed</c:v>
                  </c:pt>
                  <c:pt idx="91">
                    <c:v>Campus Recruitment</c:v>
                  </c:pt>
                  <c:pt idx="92">
                    <c:v>Employee Referral</c:v>
                  </c:pt>
                  <c:pt idx="93">
                    <c:v>LinkedIn</c:v>
                  </c:pt>
                  <c:pt idx="94">
                    <c:v>Campus Recruitment</c:v>
                  </c:pt>
                  <c:pt idx="95">
                    <c:v>Employee Referral</c:v>
                  </c:pt>
                  <c:pt idx="96">
                    <c:v>Campus Recruitment</c:v>
                  </c:pt>
                  <c:pt idx="97">
                    <c:v>Company Website</c:v>
                  </c:pt>
                  <c:pt idx="98">
                    <c:v>Naukri</c:v>
                  </c:pt>
                  <c:pt idx="99">
                    <c:v>Naukri</c:v>
                  </c:pt>
                  <c:pt idx="100">
                    <c:v>Naukri</c:v>
                  </c:pt>
                  <c:pt idx="101">
                    <c:v>Indeed</c:v>
                  </c:pt>
                  <c:pt idx="102">
                    <c:v>Employee Referral</c:v>
                  </c:pt>
                  <c:pt idx="103">
                    <c:v>LinkedIn</c:v>
                  </c:pt>
                  <c:pt idx="104">
                    <c:v>Indeed</c:v>
                  </c:pt>
                  <c:pt idx="105">
                    <c:v>Indeed</c:v>
                  </c:pt>
                  <c:pt idx="106">
                    <c:v>Company Website</c:v>
                  </c:pt>
                  <c:pt idx="107">
                    <c:v>Campus Recruitment</c:v>
                  </c:pt>
                  <c:pt idx="108">
                    <c:v>LinkedIn</c:v>
                  </c:pt>
                  <c:pt idx="109">
                    <c:v>LinkedIn</c:v>
                  </c:pt>
                  <c:pt idx="110">
                    <c:v>LinkedIn</c:v>
                  </c:pt>
                  <c:pt idx="111">
                    <c:v>Campus Recruitment</c:v>
                  </c:pt>
                  <c:pt idx="112">
                    <c:v>Employee Referral</c:v>
                  </c:pt>
                  <c:pt idx="113">
                    <c:v>Indeed</c:v>
                  </c:pt>
                  <c:pt idx="114">
                    <c:v>Company Website</c:v>
                  </c:pt>
                  <c:pt idx="115">
                    <c:v>Company Website</c:v>
                  </c:pt>
                  <c:pt idx="116">
                    <c:v>Company Website</c:v>
                  </c:pt>
                  <c:pt idx="117">
                    <c:v>Naukri</c:v>
                  </c:pt>
                  <c:pt idx="118">
                    <c:v>Employee Referral</c:v>
                  </c:pt>
                  <c:pt idx="119">
                    <c:v>Indeed</c:v>
                  </c:pt>
                  <c:pt idx="120">
                    <c:v>Campus Recruitment</c:v>
                  </c:pt>
                  <c:pt idx="121">
                    <c:v>Indeed</c:v>
                  </c:pt>
                  <c:pt idx="122">
                    <c:v>Naukri</c:v>
                  </c:pt>
                  <c:pt idx="123">
                    <c:v>LinkedIn</c:v>
                  </c:pt>
                  <c:pt idx="124">
                    <c:v>Employee Referral</c:v>
                  </c:pt>
                  <c:pt idx="125">
                    <c:v>Campus Recruitment</c:v>
                  </c:pt>
                  <c:pt idx="126">
                    <c:v>Employee Referral</c:v>
                  </c:pt>
                  <c:pt idx="127">
                    <c:v>LinkedIn</c:v>
                  </c:pt>
                  <c:pt idx="128">
                    <c:v>Indeed</c:v>
                  </c:pt>
                  <c:pt idx="129">
                    <c:v>Indeed</c:v>
                  </c:pt>
                  <c:pt idx="130">
                    <c:v>LinkedIn</c:v>
                  </c:pt>
                  <c:pt idx="131">
                    <c:v>Campus Recruitment</c:v>
                  </c:pt>
                  <c:pt idx="132">
                    <c:v>LinkedIn</c:v>
                  </c:pt>
                  <c:pt idx="133">
                    <c:v>Campus Recruitment</c:v>
                  </c:pt>
                  <c:pt idx="134">
                    <c:v>Naukri</c:v>
                  </c:pt>
                  <c:pt idx="135">
                    <c:v>Campus Recruitment</c:v>
                  </c:pt>
                  <c:pt idx="136">
                    <c:v>Company Website</c:v>
                  </c:pt>
                  <c:pt idx="137">
                    <c:v>Naukri</c:v>
                  </c:pt>
                  <c:pt idx="138">
                    <c:v>Indeed</c:v>
                  </c:pt>
                  <c:pt idx="139">
                    <c:v>LinkedIn</c:v>
                  </c:pt>
                  <c:pt idx="140">
                    <c:v>Naukri</c:v>
                  </c:pt>
                  <c:pt idx="141">
                    <c:v>Campus Recruitment</c:v>
                  </c:pt>
                  <c:pt idx="142">
                    <c:v>Employee Referral</c:v>
                  </c:pt>
                  <c:pt idx="143">
                    <c:v>Naukri</c:v>
                  </c:pt>
                  <c:pt idx="144">
                    <c:v>Employee Referral</c:v>
                  </c:pt>
                  <c:pt idx="145">
                    <c:v>Campus Recruitment</c:v>
                  </c:pt>
                  <c:pt idx="146">
                    <c:v>Company Website</c:v>
                  </c:pt>
                  <c:pt idx="147">
                    <c:v>Campus Recruitment</c:v>
                  </c:pt>
                  <c:pt idx="148">
                    <c:v>Indeed</c:v>
                  </c:pt>
                  <c:pt idx="149">
                    <c:v>Campus Recruitment</c:v>
                  </c:pt>
                  <c:pt idx="150">
                    <c:v>Company Website</c:v>
                  </c:pt>
                  <c:pt idx="151">
                    <c:v>Campus Recruitment</c:v>
                  </c:pt>
                  <c:pt idx="152">
                    <c:v>Indeed</c:v>
                  </c:pt>
                  <c:pt idx="153">
                    <c:v>Indeed</c:v>
                  </c:pt>
                  <c:pt idx="154">
                    <c:v>Campus Recruitment</c:v>
                  </c:pt>
                  <c:pt idx="155">
                    <c:v>Employee Referral</c:v>
                  </c:pt>
                  <c:pt idx="156">
                    <c:v>Campus Recruitment</c:v>
                  </c:pt>
                  <c:pt idx="157">
                    <c:v>Campus Recruitment</c:v>
                  </c:pt>
                  <c:pt idx="158">
                    <c:v>Employee Referral</c:v>
                  </c:pt>
                  <c:pt idx="159">
                    <c:v>Naukri</c:v>
                  </c:pt>
                  <c:pt idx="160">
                    <c:v>Campus Recruitment</c:v>
                  </c:pt>
                  <c:pt idx="161">
                    <c:v>Indeed</c:v>
                  </c:pt>
                  <c:pt idx="162">
                    <c:v>Company Website</c:v>
                  </c:pt>
                  <c:pt idx="163">
                    <c:v>Campus Recruitment</c:v>
                  </c:pt>
                  <c:pt idx="164">
                    <c:v>Employee Referral</c:v>
                  </c:pt>
                  <c:pt idx="165">
                    <c:v>Company Website</c:v>
                  </c:pt>
                  <c:pt idx="166">
                    <c:v>Campus Recruitment</c:v>
                  </c:pt>
                  <c:pt idx="167">
                    <c:v>LinkedIn</c:v>
                  </c:pt>
                  <c:pt idx="168">
                    <c:v>Company Website</c:v>
                  </c:pt>
                  <c:pt idx="169">
                    <c:v>Indeed</c:v>
                  </c:pt>
                  <c:pt idx="170">
                    <c:v>Employee Referral</c:v>
                  </c:pt>
                  <c:pt idx="171">
                    <c:v>Naukri</c:v>
                  </c:pt>
                  <c:pt idx="172">
                    <c:v>Campus Recruitment</c:v>
                  </c:pt>
                  <c:pt idx="173">
                    <c:v>Company Website</c:v>
                  </c:pt>
                  <c:pt idx="174">
                    <c:v>Company Website</c:v>
                  </c:pt>
                  <c:pt idx="175">
                    <c:v>Indeed</c:v>
                  </c:pt>
                  <c:pt idx="176">
                    <c:v>Campus Recruitment</c:v>
                  </c:pt>
                  <c:pt idx="177">
                    <c:v>Employee Referral</c:v>
                  </c:pt>
                  <c:pt idx="178">
                    <c:v>Campus Recruitment</c:v>
                  </c:pt>
                  <c:pt idx="179">
                    <c:v>Campus Recruitment</c:v>
                  </c:pt>
                  <c:pt idx="180">
                    <c:v>Company Website</c:v>
                  </c:pt>
                  <c:pt idx="181">
                    <c:v>Naukri</c:v>
                  </c:pt>
                  <c:pt idx="182">
                    <c:v>LinkedIn</c:v>
                  </c:pt>
                  <c:pt idx="183">
                    <c:v>Naukri</c:v>
                  </c:pt>
                  <c:pt idx="184">
                    <c:v>Naukri</c:v>
                  </c:pt>
                  <c:pt idx="185">
                    <c:v>Company Website</c:v>
                  </c:pt>
                  <c:pt idx="186">
                    <c:v>Naukri</c:v>
                  </c:pt>
                  <c:pt idx="187">
                    <c:v>Company Website</c:v>
                  </c:pt>
                  <c:pt idx="188">
                    <c:v>LinkedIn</c:v>
                  </c:pt>
                  <c:pt idx="189">
                    <c:v>Company Website</c:v>
                  </c:pt>
                  <c:pt idx="190">
                    <c:v>Campus Recruitment</c:v>
                  </c:pt>
                  <c:pt idx="191">
                    <c:v>LinkedIn</c:v>
                  </c:pt>
                  <c:pt idx="192">
                    <c:v>Naukri</c:v>
                  </c:pt>
                  <c:pt idx="193">
                    <c:v>Employee Referral</c:v>
                  </c:pt>
                  <c:pt idx="194">
                    <c:v>Campus Recruitment</c:v>
                  </c:pt>
                  <c:pt idx="195">
                    <c:v>Indeed</c:v>
                  </c:pt>
                  <c:pt idx="196">
                    <c:v>LinkedIn</c:v>
                  </c:pt>
                  <c:pt idx="197">
                    <c:v>Employee Referral</c:v>
                  </c:pt>
                  <c:pt idx="198">
                    <c:v>LinkedIn</c:v>
                  </c:pt>
                  <c:pt idx="199">
                    <c:v>Campus Recruitment</c:v>
                  </c:pt>
                  <c:pt idx="200">
                    <c:v>Indeed</c:v>
                  </c:pt>
                  <c:pt idx="201">
                    <c:v>Naukri</c:v>
                  </c:pt>
                  <c:pt idx="202">
                    <c:v>Employee Referral</c:v>
                  </c:pt>
                  <c:pt idx="203">
                    <c:v>Indeed</c:v>
                  </c:pt>
                  <c:pt idx="204">
                    <c:v>Employee Referral</c:v>
                  </c:pt>
                  <c:pt idx="205">
                    <c:v>Company Website</c:v>
                  </c:pt>
                  <c:pt idx="206">
                    <c:v>Employee Referral</c:v>
                  </c:pt>
                  <c:pt idx="207">
                    <c:v>Employee Referral</c:v>
                  </c:pt>
                  <c:pt idx="208">
                    <c:v>Naukri</c:v>
                  </c:pt>
                  <c:pt idx="209">
                    <c:v>Campus Recruitment</c:v>
                  </c:pt>
                  <c:pt idx="210">
                    <c:v>Employee Referral</c:v>
                  </c:pt>
                  <c:pt idx="211">
                    <c:v>Campus Recruitment</c:v>
                  </c:pt>
                  <c:pt idx="212">
                    <c:v>Naukri</c:v>
                  </c:pt>
                  <c:pt idx="213">
                    <c:v>Campus Recruitment</c:v>
                  </c:pt>
                  <c:pt idx="214">
                    <c:v>LinkedIn</c:v>
                  </c:pt>
                  <c:pt idx="215">
                    <c:v>Company Website</c:v>
                  </c:pt>
                  <c:pt idx="216">
                    <c:v>LinkedIn</c:v>
                  </c:pt>
                  <c:pt idx="217">
                    <c:v>Campus Recruitment</c:v>
                  </c:pt>
                  <c:pt idx="218">
                    <c:v>Naukri</c:v>
                  </c:pt>
                  <c:pt idx="219">
                    <c:v>Naukri</c:v>
                  </c:pt>
                  <c:pt idx="220">
                    <c:v>Campus Recruitment</c:v>
                  </c:pt>
                  <c:pt idx="221">
                    <c:v>Employee Referral</c:v>
                  </c:pt>
                  <c:pt idx="222">
                    <c:v>Campus Recruitment</c:v>
                  </c:pt>
                  <c:pt idx="223">
                    <c:v>Company Website</c:v>
                  </c:pt>
                  <c:pt idx="224">
                    <c:v>Company Website</c:v>
                  </c:pt>
                  <c:pt idx="225">
                    <c:v>Campus Recruitment</c:v>
                  </c:pt>
                  <c:pt idx="226">
                    <c:v>Employee Referral</c:v>
                  </c:pt>
                  <c:pt idx="227">
                    <c:v>Campus Recruitment</c:v>
                  </c:pt>
                  <c:pt idx="228">
                    <c:v>LinkedIn</c:v>
                  </c:pt>
                  <c:pt idx="229">
                    <c:v>LinkedIn</c:v>
                  </c:pt>
                  <c:pt idx="230">
                    <c:v>Indeed</c:v>
                  </c:pt>
                  <c:pt idx="231">
                    <c:v>Naukri</c:v>
                  </c:pt>
                  <c:pt idx="232">
                    <c:v>Naukri</c:v>
                  </c:pt>
                  <c:pt idx="233">
                    <c:v>Campus Recruitment</c:v>
                  </c:pt>
                  <c:pt idx="234">
                    <c:v>Employee Referral</c:v>
                  </c:pt>
                  <c:pt idx="235">
                    <c:v>Indeed</c:v>
                  </c:pt>
                  <c:pt idx="236">
                    <c:v>Naukri</c:v>
                  </c:pt>
                  <c:pt idx="237">
                    <c:v>Campus Recruitment</c:v>
                  </c:pt>
                  <c:pt idx="238">
                    <c:v>Employee Referral</c:v>
                  </c:pt>
                  <c:pt idx="239">
                    <c:v>Company Website</c:v>
                  </c:pt>
                  <c:pt idx="240">
                    <c:v>Company Website</c:v>
                  </c:pt>
                  <c:pt idx="241">
                    <c:v>Naukri</c:v>
                  </c:pt>
                  <c:pt idx="242">
                    <c:v>LinkedIn</c:v>
                  </c:pt>
                  <c:pt idx="243">
                    <c:v>Employee Referral</c:v>
                  </c:pt>
                  <c:pt idx="244">
                    <c:v>Campus Recruitment</c:v>
                  </c:pt>
                  <c:pt idx="245">
                    <c:v>LinkedIn</c:v>
                  </c:pt>
                  <c:pt idx="246">
                    <c:v>Naukri</c:v>
                  </c:pt>
                  <c:pt idx="247">
                    <c:v>LinkedIn</c:v>
                  </c:pt>
                  <c:pt idx="248">
                    <c:v>Naukri</c:v>
                  </c:pt>
                  <c:pt idx="249">
                    <c:v>Company Website</c:v>
                  </c:pt>
                  <c:pt idx="250">
                    <c:v>Naukri</c:v>
                  </c:pt>
                  <c:pt idx="251">
                    <c:v>LinkedIn</c:v>
                  </c:pt>
                  <c:pt idx="252">
                    <c:v>Indeed</c:v>
                  </c:pt>
                  <c:pt idx="253">
                    <c:v>Employee Referral</c:v>
                  </c:pt>
                  <c:pt idx="254">
                    <c:v>Indeed</c:v>
                  </c:pt>
                  <c:pt idx="255">
                    <c:v>LinkedIn</c:v>
                  </c:pt>
                  <c:pt idx="256">
                    <c:v>Company Website</c:v>
                  </c:pt>
                  <c:pt idx="257">
                    <c:v>Indeed</c:v>
                  </c:pt>
                  <c:pt idx="258">
                    <c:v>Indeed</c:v>
                  </c:pt>
                  <c:pt idx="259">
                    <c:v>Employee Referral</c:v>
                  </c:pt>
                  <c:pt idx="260">
                    <c:v>Company Website</c:v>
                  </c:pt>
                  <c:pt idx="261">
                    <c:v>Company Website</c:v>
                  </c:pt>
                  <c:pt idx="262">
                    <c:v>Employee Referral</c:v>
                  </c:pt>
                  <c:pt idx="263">
                    <c:v>LinkedIn</c:v>
                  </c:pt>
                  <c:pt idx="264">
                    <c:v>Employee Referral</c:v>
                  </c:pt>
                  <c:pt idx="265">
                    <c:v>Employee Referral</c:v>
                  </c:pt>
                  <c:pt idx="266">
                    <c:v>Employee Referral</c:v>
                  </c:pt>
                  <c:pt idx="267">
                    <c:v>LinkedIn</c:v>
                  </c:pt>
                  <c:pt idx="268">
                    <c:v>Indeed</c:v>
                  </c:pt>
                  <c:pt idx="269">
                    <c:v>Campus Recruitment</c:v>
                  </c:pt>
                  <c:pt idx="270">
                    <c:v>LinkedIn</c:v>
                  </c:pt>
                  <c:pt idx="271">
                    <c:v>LinkedIn</c:v>
                  </c:pt>
                  <c:pt idx="272">
                    <c:v>Employee Referral</c:v>
                  </c:pt>
                  <c:pt idx="273">
                    <c:v>Naukri</c:v>
                  </c:pt>
                  <c:pt idx="274">
                    <c:v>Campus Recruitment</c:v>
                  </c:pt>
                  <c:pt idx="275">
                    <c:v>Indeed</c:v>
                  </c:pt>
                  <c:pt idx="276">
                    <c:v>Naukri</c:v>
                  </c:pt>
                  <c:pt idx="277">
                    <c:v>LinkedIn</c:v>
                  </c:pt>
                  <c:pt idx="278">
                    <c:v>Indeed</c:v>
                  </c:pt>
                  <c:pt idx="279">
                    <c:v>Indeed</c:v>
                  </c:pt>
                  <c:pt idx="280">
                    <c:v>Company Website</c:v>
                  </c:pt>
                  <c:pt idx="281">
                    <c:v>LinkedIn</c:v>
                  </c:pt>
                  <c:pt idx="282">
                    <c:v>Indeed</c:v>
                  </c:pt>
                  <c:pt idx="283">
                    <c:v>Campus Recruitment</c:v>
                  </c:pt>
                  <c:pt idx="284">
                    <c:v>Campus Recruitment</c:v>
                  </c:pt>
                  <c:pt idx="285">
                    <c:v>LinkedIn</c:v>
                  </c:pt>
                  <c:pt idx="286">
                    <c:v>Campus Recruitment</c:v>
                  </c:pt>
                  <c:pt idx="287">
                    <c:v>Naukri</c:v>
                  </c:pt>
                  <c:pt idx="288">
                    <c:v>Campus Recruitment</c:v>
                  </c:pt>
                  <c:pt idx="289">
                    <c:v>LinkedIn</c:v>
                  </c:pt>
                  <c:pt idx="290">
                    <c:v>Employee Referral</c:v>
                  </c:pt>
                  <c:pt idx="291">
                    <c:v>Employee Referral</c:v>
                  </c:pt>
                  <c:pt idx="292">
                    <c:v>LinkedIn</c:v>
                  </c:pt>
                  <c:pt idx="293">
                    <c:v>Indeed</c:v>
                  </c:pt>
                  <c:pt idx="294">
                    <c:v>Indeed</c:v>
                  </c:pt>
                  <c:pt idx="295">
                    <c:v>Naukri</c:v>
                  </c:pt>
                  <c:pt idx="296">
                    <c:v>Employee Referral</c:v>
                  </c:pt>
                  <c:pt idx="297">
                    <c:v>Employee Referral</c:v>
                  </c:pt>
                  <c:pt idx="298">
                    <c:v>LinkedIn</c:v>
                  </c:pt>
                  <c:pt idx="299">
                    <c:v>Naukri</c:v>
                  </c:pt>
                </c:lvl>
                <c:lvl>
                  <c:pt idx="0">
                    <c:v>5</c:v>
                  </c:pt>
                  <c:pt idx="1">
                    <c:v>1</c:v>
                  </c:pt>
                  <c:pt idx="2">
                    <c:v>4</c:v>
                  </c:pt>
                  <c:pt idx="3">
                    <c:v>6.4</c:v>
                  </c:pt>
                  <c:pt idx="4">
                    <c:v>0.4</c:v>
                  </c:pt>
                  <c:pt idx="5">
                    <c:v>0.2</c:v>
                  </c:pt>
                  <c:pt idx="6">
                    <c:v>3.5</c:v>
                  </c:pt>
                  <c:pt idx="7">
                    <c:v>1.4</c:v>
                  </c:pt>
                  <c:pt idx="8">
                    <c:v>1.7</c:v>
                  </c:pt>
                  <c:pt idx="9">
                    <c:v>0.7</c:v>
                  </c:pt>
                  <c:pt idx="10">
                    <c:v>0.1</c:v>
                  </c:pt>
                  <c:pt idx="11">
                    <c:v>5.8</c:v>
                  </c:pt>
                  <c:pt idx="12">
                    <c:v>2.3</c:v>
                  </c:pt>
                  <c:pt idx="13">
                    <c:v>1.8</c:v>
                  </c:pt>
                  <c:pt idx="14">
                    <c:v>1.7</c:v>
                  </c:pt>
                  <c:pt idx="15">
                    <c:v>7.5</c:v>
                  </c:pt>
                  <c:pt idx="16">
                    <c:v>2</c:v>
                  </c:pt>
                  <c:pt idx="17">
                    <c:v>3.8</c:v>
                  </c:pt>
                  <c:pt idx="18">
                    <c:v>5</c:v>
                  </c:pt>
                  <c:pt idx="19">
                    <c:v>5.1</c:v>
                  </c:pt>
                  <c:pt idx="20">
                    <c:v>4.6</c:v>
                  </c:pt>
                  <c:pt idx="21">
                    <c:v>7.2</c:v>
                  </c:pt>
                  <c:pt idx="22">
                    <c:v>6.4</c:v>
                  </c:pt>
                  <c:pt idx="23">
                    <c:v>0.3</c:v>
                  </c:pt>
                  <c:pt idx="24">
                    <c:v>0.8</c:v>
                  </c:pt>
                  <c:pt idx="25">
                    <c:v>1.7</c:v>
                  </c:pt>
                  <c:pt idx="26">
                    <c:v>1.6</c:v>
                  </c:pt>
                  <c:pt idx="27">
                    <c:v>7.7</c:v>
                  </c:pt>
                  <c:pt idx="28">
                    <c:v>6.9</c:v>
                  </c:pt>
                  <c:pt idx="29">
                    <c:v>7.3</c:v>
                  </c:pt>
                  <c:pt idx="30">
                    <c:v>5.9</c:v>
                  </c:pt>
                  <c:pt idx="31">
                    <c:v>7.3</c:v>
                  </c:pt>
                  <c:pt idx="32">
                    <c:v>4.6</c:v>
                  </c:pt>
                  <c:pt idx="33">
                    <c:v>4.8</c:v>
                  </c:pt>
                  <c:pt idx="34">
                    <c:v>5.6</c:v>
                  </c:pt>
                  <c:pt idx="35">
                    <c:v>4.4</c:v>
                  </c:pt>
                  <c:pt idx="36">
                    <c:v>0.2</c:v>
                  </c:pt>
                  <c:pt idx="37">
                    <c:v>2.8</c:v>
                  </c:pt>
                  <c:pt idx="38">
                    <c:v>5.1</c:v>
                  </c:pt>
                  <c:pt idx="39">
                    <c:v>2.2</c:v>
                  </c:pt>
                  <c:pt idx="40">
                    <c:v>1.5</c:v>
                  </c:pt>
                  <c:pt idx="41">
                    <c:v>2.8</c:v>
                  </c:pt>
                  <c:pt idx="42">
                    <c:v>4.7</c:v>
                  </c:pt>
                  <c:pt idx="43">
                    <c:v>3.1</c:v>
                  </c:pt>
                  <c:pt idx="44">
                    <c:v>3.5</c:v>
                  </c:pt>
                  <c:pt idx="45">
                    <c:v>2.9</c:v>
                  </c:pt>
                  <c:pt idx="46">
                    <c:v>1.1</c:v>
                  </c:pt>
                  <c:pt idx="47">
                    <c:v>4</c:v>
                  </c:pt>
                  <c:pt idx="48">
                    <c:v>5.3</c:v>
                  </c:pt>
                  <c:pt idx="49">
                    <c:v>5.3</c:v>
                  </c:pt>
                  <c:pt idx="50">
                    <c:v>1.3</c:v>
                  </c:pt>
                  <c:pt idx="51">
                    <c:v>7.3</c:v>
                  </c:pt>
                  <c:pt idx="52">
                    <c:v>2.9</c:v>
                  </c:pt>
                  <c:pt idx="53">
                    <c:v>2.9</c:v>
                  </c:pt>
                  <c:pt idx="54">
                    <c:v>7.4</c:v>
                  </c:pt>
                  <c:pt idx="55">
                    <c:v>3.2</c:v>
                  </c:pt>
                  <c:pt idx="56">
                    <c:v>5.3</c:v>
                  </c:pt>
                  <c:pt idx="57">
                    <c:v>4.3</c:v>
                  </c:pt>
                  <c:pt idx="58">
                    <c:v>1.2</c:v>
                  </c:pt>
                  <c:pt idx="59">
                    <c:v>7.3</c:v>
                  </c:pt>
                  <c:pt idx="60">
                    <c:v>2.4</c:v>
                  </c:pt>
                  <c:pt idx="61">
                    <c:v>1.5</c:v>
                  </c:pt>
                  <c:pt idx="62">
                    <c:v>3.5</c:v>
                  </c:pt>
                  <c:pt idx="63">
                    <c:v>4.8</c:v>
                  </c:pt>
                  <c:pt idx="64">
                    <c:v>7.4</c:v>
                  </c:pt>
                  <c:pt idx="65">
                    <c:v>4.8</c:v>
                  </c:pt>
                  <c:pt idx="66">
                    <c:v>3.3</c:v>
                  </c:pt>
                  <c:pt idx="67">
                    <c:v>0.2</c:v>
                  </c:pt>
                  <c:pt idx="68">
                    <c:v>0.5</c:v>
                  </c:pt>
                  <c:pt idx="69">
                    <c:v>4.1</c:v>
                  </c:pt>
                  <c:pt idx="70">
                    <c:v>3.2</c:v>
                  </c:pt>
                  <c:pt idx="71">
                    <c:v>7.2</c:v>
                  </c:pt>
                  <c:pt idx="72">
                    <c:v>1.6</c:v>
                  </c:pt>
                  <c:pt idx="73">
                    <c:v>2.4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4.2</c:v>
                  </c:pt>
                  <c:pt idx="77">
                    <c:v>6.6</c:v>
                  </c:pt>
                  <c:pt idx="78">
                    <c:v>0.5</c:v>
                  </c:pt>
                  <c:pt idx="79">
                    <c:v>5.2</c:v>
                  </c:pt>
                  <c:pt idx="80">
                    <c:v>7.2</c:v>
                  </c:pt>
                  <c:pt idx="81">
                    <c:v>0.8</c:v>
                  </c:pt>
                  <c:pt idx="82">
                    <c:v>4.5</c:v>
                  </c:pt>
                  <c:pt idx="83">
                    <c:v>2.3</c:v>
                  </c:pt>
                  <c:pt idx="84">
                    <c:v>7.7</c:v>
                  </c:pt>
                  <c:pt idx="85">
                    <c:v>0.8</c:v>
                  </c:pt>
                  <c:pt idx="86">
                    <c:v>3.7</c:v>
                  </c:pt>
                  <c:pt idx="87">
                    <c:v>4.9</c:v>
                  </c:pt>
                  <c:pt idx="88">
                    <c:v>1.5</c:v>
                  </c:pt>
                  <c:pt idx="89">
                    <c:v>0.2</c:v>
                  </c:pt>
                  <c:pt idx="90">
                    <c:v>6.5</c:v>
                  </c:pt>
                  <c:pt idx="91">
                    <c:v>6</c:v>
                  </c:pt>
                  <c:pt idx="92">
                    <c:v>2.8</c:v>
                  </c:pt>
                  <c:pt idx="93">
                    <c:v>0.3</c:v>
                  </c:pt>
                  <c:pt idx="94">
                    <c:v>1.5</c:v>
                  </c:pt>
                  <c:pt idx="95">
                    <c:v>6.5</c:v>
                  </c:pt>
                  <c:pt idx="96">
                    <c:v>6.3</c:v>
                  </c:pt>
                  <c:pt idx="97">
                    <c:v>4.4</c:v>
                  </c:pt>
                  <c:pt idx="98">
                    <c:v>6.9</c:v>
                  </c:pt>
                  <c:pt idx="99">
                    <c:v>1</c:v>
                  </c:pt>
                  <c:pt idx="100">
                    <c:v>4</c:v>
                  </c:pt>
                  <c:pt idx="101">
                    <c:v>6.8</c:v>
                  </c:pt>
                  <c:pt idx="102">
                    <c:v>3.2</c:v>
                  </c:pt>
                  <c:pt idx="103">
                    <c:v>5.3</c:v>
                  </c:pt>
                  <c:pt idx="104">
                    <c:v>7.4</c:v>
                  </c:pt>
                  <c:pt idx="105">
                    <c:v>1.8</c:v>
                  </c:pt>
                  <c:pt idx="106">
                    <c:v>6</c:v>
                  </c:pt>
                  <c:pt idx="107">
                    <c:v>2.9</c:v>
                  </c:pt>
                  <c:pt idx="108">
                    <c:v>5.5</c:v>
                  </c:pt>
                  <c:pt idx="109">
                    <c:v>5.2</c:v>
                  </c:pt>
                  <c:pt idx="110">
                    <c:v>1.3</c:v>
                  </c:pt>
                  <c:pt idx="111">
                    <c:v>2.9</c:v>
                  </c:pt>
                  <c:pt idx="112">
                    <c:v>5.9</c:v>
                  </c:pt>
                  <c:pt idx="113">
                    <c:v>5.8</c:v>
                  </c:pt>
                  <c:pt idx="114">
                    <c:v>0.6</c:v>
                  </c:pt>
                  <c:pt idx="115">
                    <c:v>7.1</c:v>
                  </c:pt>
                  <c:pt idx="116">
                    <c:v>0.9</c:v>
                  </c:pt>
                  <c:pt idx="117">
                    <c:v>2.7</c:v>
                  </c:pt>
                  <c:pt idx="118">
                    <c:v>1.9</c:v>
                  </c:pt>
                  <c:pt idx="119">
                    <c:v>0.2</c:v>
                  </c:pt>
                  <c:pt idx="120">
                    <c:v>0.4</c:v>
                  </c:pt>
                  <c:pt idx="121">
                    <c:v>2.1</c:v>
                  </c:pt>
                  <c:pt idx="122">
                    <c:v>4.4</c:v>
                  </c:pt>
                  <c:pt idx="123">
                    <c:v>0.8</c:v>
                  </c:pt>
                  <c:pt idx="124">
                    <c:v>5.1</c:v>
                  </c:pt>
                  <c:pt idx="125">
                    <c:v>1.9</c:v>
                  </c:pt>
                  <c:pt idx="126">
                    <c:v>6.6</c:v>
                  </c:pt>
                  <c:pt idx="127">
                    <c:v>2.7</c:v>
                  </c:pt>
                  <c:pt idx="128">
                    <c:v>5.2</c:v>
                  </c:pt>
                  <c:pt idx="129">
                    <c:v>0.9</c:v>
                  </c:pt>
                  <c:pt idx="130">
                    <c:v>5.1</c:v>
                  </c:pt>
                  <c:pt idx="131">
                    <c:v>4.5</c:v>
                  </c:pt>
                  <c:pt idx="132">
                    <c:v>1.7</c:v>
                  </c:pt>
                  <c:pt idx="133">
                    <c:v>7</c:v>
                  </c:pt>
                  <c:pt idx="134">
                    <c:v>0.1</c:v>
                  </c:pt>
                  <c:pt idx="135">
                    <c:v>7.3</c:v>
                  </c:pt>
                  <c:pt idx="136">
                    <c:v>3.8</c:v>
                  </c:pt>
                  <c:pt idx="137">
                    <c:v>3.6</c:v>
                  </c:pt>
                  <c:pt idx="138">
                    <c:v>6.6</c:v>
                  </c:pt>
                  <c:pt idx="139">
                    <c:v>4.7</c:v>
                  </c:pt>
                  <c:pt idx="140">
                    <c:v>6.2</c:v>
                  </c:pt>
                  <c:pt idx="141">
                    <c:v>3.6</c:v>
                  </c:pt>
                  <c:pt idx="142">
                    <c:v>7.5</c:v>
                  </c:pt>
                  <c:pt idx="143">
                    <c:v>6.4</c:v>
                  </c:pt>
                  <c:pt idx="144">
                    <c:v>1.7</c:v>
                  </c:pt>
                  <c:pt idx="145">
                    <c:v>7.5</c:v>
                  </c:pt>
                  <c:pt idx="146">
                    <c:v>3.2</c:v>
                  </c:pt>
                  <c:pt idx="147">
                    <c:v>2.9</c:v>
                  </c:pt>
                  <c:pt idx="148">
                    <c:v>1.9</c:v>
                  </c:pt>
                  <c:pt idx="149">
                    <c:v>1.3</c:v>
                  </c:pt>
                  <c:pt idx="150">
                    <c:v>3.1</c:v>
                  </c:pt>
                  <c:pt idx="151">
                    <c:v>2.8</c:v>
                  </c:pt>
                  <c:pt idx="152">
                    <c:v>3.6</c:v>
                  </c:pt>
                  <c:pt idx="153">
                    <c:v>6</c:v>
                  </c:pt>
                  <c:pt idx="154">
                    <c:v>2.2</c:v>
                  </c:pt>
                  <c:pt idx="155">
                    <c:v>1.7</c:v>
                  </c:pt>
                  <c:pt idx="156">
                    <c:v>1.4</c:v>
                  </c:pt>
                  <c:pt idx="157">
                    <c:v>1.5</c:v>
                  </c:pt>
                  <c:pt idx="158">
                    <c:v>4</c:v>
                  </c:pt>
                  <c:pt idx="159">
                    <c:v>4</c:v>
                  </c:pt>
                  <c:pt idx="160">
                    <c:v>0.2</c:v>
                  </c:pt>
                  <c:pt idx="161">
                    <c:v>2.4</c:v>
                  </c:pt>
                  <c:pt idx="162">
                    <c:v>7.6</c:v>
                  </c:pt>
                  <c:pt idx="163">
                    <c:v>1.9</c:v>
                  </c:pt>
                  <c:pt idx="164">
                    <c:v>5.6</c:v>
                  </c:pt>
                  <c:pt idx="165">
                    <c:v>4.7</c:v>
                  </c:pt>
                  <c:pt idx="166">
                    <c:v>2.8</c:v>
                  </c:pt>
                  <c:pt idx="167">
                    <c:v>0.3</c:v>
                  </c:pt>
                  <c:pt idx="168">
                    <c:v>7.7</c:v>
                  </c:pt>
                  <c:pt idx="169">
                    <c:v>0.5</c:v>
                  </c:pt>
                  <c:pt idx="170">
                    <c:v>4.5</c:v>
                  </c:pt>
                  <c:pt idx="171">
                    <c:v>5.6</c:v>
                  </c:pt>
                  <c:pt idx="172">
                    <c:v>0.2</c:v>
                  </c:pt>
                  <c:pt idx="173">
                    <c:v>2.4</c:v>
                  </c:pt>
                  <c:pt idx="174">
                    <c:v>0.4</c:v>
                  </c:pt>
                  <c:pt idx="175">
                    <c:v>0.9</c:v>
                  </c:pt>
                  <c:pt idx="176">
                    <c:v>0.3</c:v>
                  </c:pt>
                  <c:pt idx="177">
                    <c:v>2.1</c:v>
                  </c:pt>
                  <c:pt idx="178">
                    <c:v>2</c:v>
                  </c:pt>
                  <c:pt idx="179">
                    <c:v>1.3</c:v>
                  </c:pt>
                  <c:pt idx="180">
                    <c:v>6.2</c:v>
                  </c:pt>
                  <c:pt idx="181">
                    <c:v>6.4</c:v>
                  </c:pt>
                  <c:pt idx="182">
                    <c:v>3.5</c:v>
                  </c:pt>
                  <c:pt idx="183">
                    <c:v>7</c:v>
                  </c:pt>
                  <c:pt idx="184">
                    <c:v>5.3</c:v>
                  </c:pt>
                  <c:pt idx="185">
                    <c:v>4.4</c:v>
                  </c:pt>
                  <c:pt idx="186">
                    <c:v>1.5</c:v>
                  </c:pt>
                  <c:pt idx="187">
                    <c:v>2.5</c:v>
                  </c:pt>
                  <c:pt idx="188">
                    <c:v>5</c:v>
                  </c:pt>
                  <c:pt idx="189">
                    <c:v>5.7</c:v>
                  </c:pt>
                  <c:pt idx="190">
                    <c:v>2.4</c:v>
                  </c:pt>
                  <c:pt idx="191">
                    <c:v>4.8</c:v>
                  </c:pt>
                  <c:pt idx="192">
                    <c:v>7.3</c:v>
                  </c:pt>
                  <c:pt idx="193">
                    <c:v>1.4</c:v>
                  </c:pt>
                  <c:pt idx="194">
                    <c:v>6.2</c:v>
                  </c:pt>
                  <c:pt idx="195">
                    <c:v>0.7</c:v>
                  </c:pt>
                  <c:pt idx="196">
                    <c:v>7.7</c:v>
                  </c:pt>
                  <c:pt idx="197">
                    <c:v>5.6</c:v>
                  </c:pt>
                  <c:pt idx="198">
                    <c:v>4.4</c:v>
                  </c:pt>
                  <c:pt idx="199">
                    <c:v>5.8</c:v>
                  </c:pt>
                  <c:pt idx="200">
                    <c:v>7.2</c:v>
                  </c:pt>
                  <c:pt idx="201">
                    <c:v>4.4</c:v>
                  </c:pt>
                  <c:pt idx="202">
                    <c:v>2.1</c:v>
                  </c:pt>
                  <c:pt idx="203">
                    <c:v>5.2</c:v>
                  </c:pt>
                  <c:pt idx="204">
                    <c:v>6.8</c:v>
                  </c:pt>
                  <c:pt idx="205">
                    <c:v>4.7</c:v>
                  </c:pt>
                  <c:pt idx="206">
                    <c:v>3.8</c:v>
                  </c:pt>
                  <c:pt idx="207">
                    <c:v>1.9</c:v>
                  </c:pt>
                  <c:pt idx="208">
                    <c:v>4.7</c:v>
                  </c:pt>
                  <c:pt idx="209">
                    <c:v>6.2</c:v>
                  </c:pt>
                  <c:pt idx="210">
                    <c:v>4.2</c:v>
                  </c:pt>
                  <c:pt idx="211">
                    <c:v>4.6</c:v>
                  </c:pt>
                  <c:pt idx="212">
                    <c:v>5.4</c:v>
                  </c:pt>
                  <c:pt idx="213">
                    <c:v>3.5</c:v>
                  </c:pt>
                  <c:pt idx="214">
                    <c:v>7.4</c:v>
                  </c:pt>
                  <c:pt idx="215">
                    <c:v>0.5</c:v>
                  </c:pt>
                  <c:pt idx="216">
                    <c:v>3.6</c:v>
                  </c:pt>
                  <c:pt idx="217">
                    <c:v>3.9</c:v>
                  </c:pt>
                  <c:pt idx="218">
                    <c:v>7</c:v>
                  </c:pt>
                  <c:pt idx="219">
                    <c:v>1.5</c:v>
                  </c:pt>
                  <c:pt idx="220">
                    <c:v>1.1</c:v>
                  </c:pt>
                  <c:pt idx="221">
                    <c:v>6.5</c:v>
                  </c:pt>
                  <c:pt idx="222">
                    <c:v>3.8</c:v>
                  </c:pt>
                  <c:pt idx="223">
                    <c:v>6.5</c:v>
                  </c:pt>
                  <c:pt idx="224">
                    <c:v>0.6</c:v>
                  </c:pt>
                  <c:pt idx="225">
                    <c:v>7.7</c:v>
                  </c:pt>
                  <c:pt idx="226">
                    <c:v>2.3</c:v>
                  </c:pt>
                  <c:pt idx="227">
                    <c:v>2</c:v>
                  </c:pt>
                  <c:pt idx="228">
                    <c:v>0.4</c:v>
                  </c:pt>
                  <c:pt idx="229">
                    <c:v>5.9</c:v>
                  </c:pt>
                  <c:pt idx="230">
                    <c:v>4.5</c:v>
                  </c:pt>
                  <c:pt idx="231">
                    <c:v>5</c:v>
                  </c:pt>
                  <c:pt idx="232">
                    <c:v>3.6</c:v>
                  </c:pt>
                  <c:pt idx="233">
                    <c:v>2.6</c:v>
                  </c:pt>
                  <c:pt idx="234">
                    <c:v>4.1</c:v>
                  </c:pt>
                  <c:pt idx="235">
                    <c:v>6</c:v>
                  </c:pt>
                  <c:pt idx="236">
                    <c:v>5</c:v>
                  </c:pt>
                  <c:pt idx="237">
                    <c:v>5.4</c:v>
                  </c:pt>
                  <c:pt idx="238">
                    <c:v>6.3</c:v>
                  </c:pt>
                  <c:pt idx="239">
                    <c:v>1.8</c:v>
                  </c:pt>
                  <c:pt idx="240">
                    <c:v>6.8</c:v>
                  </c:pt>
                  <c:pt idx="241">
                    <c:v>1.6</c:v>
                  </c:pt>
                  <c:pt idx="242">
                    <c:v>4.5</c:v>
                  </c:pt>
                  <c:pt idx="243">
                    <c:v>6.3</c:v>
                  </c:pt>
                  <c:pt idx="244">
                    <c:v>7</c:v>
                  </c:pt>
                  <c:pt idx="245">
                    <c:v>0.6</c:v>
                  </c:pt>
                  <c:pt idx="246">
                    <c:v>1.2</c:v>
                  </c:pt>
                  <c:pt idx="247">
                    <c:v>0.9</c:v>
                  </c:pt>
                  <c:pt idx="248">
                    <c:v>2</c:v>
                  </c:pt>
                  <c:pt idx="249">
                    <c:v>7</c:v>
                  </c:pt>
                  <c:pt idx="250">
                    <c:v>6</c:v>
                  </c:pt>
                  <c:pt idx="251">
                    <c:v>2.5</c:v>
                  </c:pt>
                  <c:pt idx="252">
                    <c:v>4.7</c:v>
                  </c:pt>
                  <c:pt idx="253">
                    <c:v>4.3</c:v>
                  </c:pt>
                  <c:pt idx="254">
                    <c:v>3.6</c:v>
                  </c:pt>
                  <c:pt idx="255">
                    <c:v>4</c:v>
                  </c:pt>
                  <c:pt idx="256">
                    <c:v>4.6</c:v>
                  </c:pt>
                  <c:pt idx="257">
                    <c:v>1.1</c:v>
                  </c:pt>
                  <c:pt idx="258">
                    <c:v>2.7</c:v>
                  </c:pt>
                  <c:pt idx="259">
                    <c:v>1.8</c:v>
                  </c:pt>
                  <c:pt idx="260">
                    <c:v>5.4</c:v>
                  </c:pt>
                  <c:pt idx="261">
                    <c:v>2.7</c:v>
                  </c:pt>
                  <c:pt idx="262">
                    <c:v>5.5</c:v>
                  </c:pt>
                  <c:pt idx="263">
                    <c:v>6.7</c:v>
                  </c:pt>
                  <c:pt idx="264">
                    <c:v>2.2</c:v>
                  </c:pt>
                  <c:pt idx="265">
                    <c:v>3.1</c:v>
                  </c:pt>
                  <c:pt idx="266">
                    <c:v>7.5</c:v>
                  </c:pt>
                  <c:pt idx="267">
                    <c:v>4.2</c:v>
                  </c:pt>
                  <c:pt idx="268">
                    <c:v>6.6</c:v>
                  </c:pt>
                  <c:pt idx="269">
                    <c:v>1.1</c:v>
                  </c:pt>
                  <c:pt idx="270">
                    <c:v>1.7</c:v>
                  </c:pt>
                  <c:pt idx="271">
                    <c:v>3.9</c:v>
                  </c:pt>
                  <c:pt idx="272">
                    <c:v>3.7</c:v>
                  </c:pt>
                  <c:pt idx="273">
                    <c:v>0.5</c:v>
                  </c:pt>
                  <c:pt idx="274">
                    <c:v>4.3</c:v>
                  </c:pt>
                  <c:pt idx="275">
                    <c:v>6.6</c:v>
                  </c:pt>
                  <c:pt idx="276">
                    <c:v>7.6</c:v>
                  </c:pt>
                  <c:pt idx="277">
                    <c:v>3.1</c:v>
                  </c:pt>
                  <c:pt idx="278">
                    <c:v>4.5</c:v>
                  </c:pt>
                  <c:pt idx="279">
                    <c:v>2.9</c:v>
                  </c:pt>
                  <c:pt idx="280">
                    <c:v>1.7</c:v>
                  </c:pt>
                  <c:pt idx="281">
                    <c:v>0.3</c:v>
                  </c:pt>
                  <c:pt idx="282">
                    <c:v>3.3</c:v>
                  </c:pt>
                  <c:pt idx="283">
                    <c:v>2.8</c:v>
                  </c:pt>
                  <c:pt idx="284">
                    <c:v>5.2</c:v>
                  </c:pt>
                  <c:pt idx="285">
                    <c:v>1.4</c:v>
                  </c:pt>
                  <c:pt idx="286">
                    <c:v>7.3</c:v>
                  </c:pt>
                  <c:pt idx="287">
                    <c:v>4.1</c:v>
                  </c:pt>
                  <c:pt idx="288">
                    <c:v>6.1</c:v>
                  </c:pt>
                  <c:pt idx="289">
                    <c:v>4.8</c:v>
                  </c:pt>
                  <c:pt idx="290">
                    <c:v>3.3</c:v>
                  </c:pt>
                  <c:pt idx="291">
                    <c:v>5.2</c:v>
                  </c:pt>
                  <c:pt idx="292">
                    <c:v>5.4</c:v>
                  </c:pt>
                  <c:pt idx="293">
                    <c:v>1.9</c:v>
                  </c:pt>
                  <c:pt idx="294">
                    <c:v>4.7</c:v>
                  </c:pt>
                  <c:pt idx="295">
                    <c:v>1.6</c:v>
                  </c:pt>
                  <c:pt idx="296">
                    <c:v>1.3</c:v>
                  </c:pt>
                  <c:pt idx="297">
                    <c:v>0.5</c:v>
                  </c:pt>
                  <c:pt idx="298">
                    <c:v>4.9</c:v>
                  </c:pt>
                  <c:pt idx="299">
                    <c:v>0.1</c:v>
                  </c:pt>
                </c:lvl>
                <c:lvl>
                  <c:pt idx="0">
                    <c:v>2021-09-30</c:v>
                  </c:pt>
                  <c:pt idx="1">
                    <c:v>2025-10-01</c:v>
                  </c:pt>
                  <c:pt idx="2">
                    <c:v>2022-10-25</c:v>
                  </c:pt>
                  <c:pt idx="3">
                    <c:v>2020-05-26</c:v>
                  </c:pt>
                  <c:pt idx="4">
                    <c:v>2026-06-01</c:v>
                  </c:pt>
                  <c:pt idx="5">
                    <c:v>2026-07-08</c:v>
                  </c:pt>
                  <c:pt idx="6">
                    <c:v>2023-04-04</c:v>
                  </c:pt>
                  <c:pt idx="7">
                    <c:v>2025-05-12</c:v>
                  </c:pt>
                  <c:pt idx="8">
                    <c:v>2025-01-16</c:v>
                  </c:pt>
                  <c:pt idx="9">
                    <c:v>2026-01-14</c:v>
                  </c:pt>
                  <c:pt idx="10">
                    <c:v>2026-08-24</c:v>
                  </c:pt>
                  <c:pt idx="11">
                    <c:v>2021-01-01</c:v>
                  </c:pt>
                  <c:pt idx="12">
                    <c:v>2024-06-24</c:v>
                  </c:pt>
                  <c:pt idx="13">
                    <c:v>2024-12-21</c:v>
                  </c:pt>
                  <c:pt idx="14">
                    <c:v>2025-01-17</c:v>
                  </c:pt>
                  <c:pt idx="15">
                    <c:v>2019-03-28</c:v>
                  </c:pt>
                  <c:pt idx="16">
                    <c:v>2024-10-06</c:v>
                  </c:pt>
                  <c:pt idx="17">
                    <c:v>2022-12-22</c:v>
                  </c:pt>
                  <c:pt idx="18">
                    <c:v>2021-10-15</c:v>
                  </c:pt>
                  <c:pt idx="19">
                    <c:v>2021-08-26</c:v>
                  </c:pt>
                  <c:pt idx="20">
                    <c:v>2022-03-14</c:v>
                  </c:pt>
                  <c:pt idx="21">
                    <c:v>2019-07-25</c:v>
                  </c:pt>
                  <c:pt idx="22">
                    <c:v>2020-05-06</c:v>
                  </c:pt>
                  <c:pt idx="23">
                    <c:v>2026-07-06</c:v>
                  </c:pt>
                  <c:pt idx="24">
                    <c:v>2025-12-19</c:v>
                  </c:pt>
                  <c:pt idx="25">
                    <c:v>2025-02-03</c:v>
                  </c:pt>
                  <c:pt idx="26">
                    <c:v>2025-03-16</c:v>
                  </c:pt>
                  <c:pt idx="27">
                    <c:v>2019-01-15</c:v>
                  </c:pt>
                  <c:pt idx="28">
                    <c:v>2019-11-05</c:v>
                  </c:pt>
                  <c:pt idx="29">
                    <c:v>2019-06-13</c:v>
                  </c:pt>
                  <c:pt idx="30">
                    <c:v>2020-10-27</c:v>
                  </c:pt>
                  <c:pt idx="31">
                    <c:v>2019-06-08</c:v>
                  </c:pt>
                  <c:pt idx="32">
                    <c:v>2022-02-15</c:v>
                  </c:pt>
                  <c:pt idx="33">
                    <c:v>2021-12-23</c:v>
                  </c:pt>
                  <c:pt idx="34">
                    <c:v>2021-02-17</c:v>
                  </c:pt>
                  <c:pt idx="35">
                    <c:v>2022-05-15</c:v>
                  </c:pt>
                  <c:pt idx="36">
                    <c:v>2026-08-06</c:v>
                  </c:pt>
                  <c:pt idx="37">
                    <c:v>2023-12-15</c:v>
                  </c:pt>
                  <c:pt idx="38">
                    <c:v>2021-08-20</c:v>
                  </c:pt>
                  <c:pt idx="39">
                    <c:v>2024-07-17</c:v>
                  </c:pt>
                  <c:pt idx="40">
                    <c:v>2025-04-02</c:v>
                  </c:pt>
                  <c:pt idx="41">
                    <c:v>2024-01-01</c:v>
                  </c:pt>
                  <c:pt idx="42">
                    <c:v>2022-01-29</c:v>
                  </c:pt>
                  <c:pt idx="43">
                    <c:v>2023-08-27</c:v>
                  </c:pt>
                  <c:pt idx="44">
                    <c:v>2023-04-08</c:v>
                  </c:pt>
                  <c:pt idx="45">
                    <c:v>2023-11-21</c:v>
                  </c:pt>
                  <c:pt idx="46">
                    <c:v>2025-08-21</c:v>
                  </c:pt>
                  <c:pt idx="47">
                    <c:v>2022-10-14</c:v>
                  </c:pt>
                  <c:pt idx="48">
                    <c:v>2021-07-07</c:v>
                  </c:pt>
                  <c:pt idx="49">
                    <c:v>2021-06-11</c:v>
                  </c:pt>
                  <c:pt idx="50">
                    <c:v>2025-06-16</c:v>
                  </c:pt>
                  <c:pt idx="51">
                    <c:v>2019-06-18</c:v>
                  </c:pt>
                  <c:pt idx="52">
                    <c:v>2023-11-11</c:v>
                  </c:pt>
                  <c:pt idx="53">
                    <c:v>2023-11-20</c:v>
                  </c:pt>
                  <c:pt idx="54">
                    <c:v>2019-04-28</c:v>
                  </c:pt>
                  <c:pt idx="55">
                    <c:v>2023-07-23</c:v>
                  </c:pt>
                  <c:pt idx="56">
                    <c:v>2021-06-26</c:v>
                  </c:pt>
                  <c:pt idx="57">
                    <c:v>2022-06-09</c:v>
                  </c:pt>
                  <c:pt idx="58">
                    <c:v>2025-08-11</c:v>
                  </c:pt>
                  <c:pt idx="59">
                    <c:v>2019-07-06</c:v>
                  </c:pt>
                  <c:pt idx="60">
                    <c:v>2024-05-14</c:v>
                  </c:pt>
                  <c:pt idx="61">
                    <c:v>2025-04-24</c:v>
                  </c:pt>
                  <c:pt idx="62">
                    <c:v>2023-04-08</c:v>
                  </c:pt>
                  <c:pt idx="63">
                    <c:v>2021-12-19</c:v>
                  </c:pt>
                  <c:pt idx="64">
                    <c:v>2019-05-14</c:v>
                  </c:pt>
                  <c:pt idx="65">
                    <c:v>2021-12-24</c:v>
                  </c:pt>
                  <c:pt idx="66">
                    <c:v>2023-07-07</c:v>
                  </c:pt>
                  <c:pt idx="67">
                    <c:v>2026-07-24</c:v>
                  </c:pt>
                  <c:pt idx="68">
                    <c:v>2026-04-22</c:v>
                  </c:pt>
                  <c:pt idx="69">
                    <c:v>2022-09-12</c:v>
                  </c:pt>
                  <c:pt idx="70">
                    <c:v>2023-07-14</c:v>
                  </c:pt>
                  <c:pt idx="71">
                    <c:v>2019-07-31</c:v>
                  </c:pt>
                  <c:pt idx="72">
                    <c:v>2025-03-06</c:v>
                  </c:pt>
                  <c:pt idx="73">
                    <c:v>2024-05-30</c:v>
                  </c:pt>
                  <c:pt idx="74">
                    <c:v>2022-10-24</c:v>
                  </c:pt>
                  <c:pt idx="75">
                    <c:v>2022-09-23</c:v>
                  </c:pt>
                  <c:pt idx="76">
                    <c:v>2022-07-27</c:v>
                  </c:pt>
                  <c:pt idx="77">
                    <c:v>2020-02-13</c:v>
                  </c:pt>
                  <c:pt idx="78">
                    <c:v>2026-04-15</c:v>
                  </c:pt>
                  <c:pt idx="79">
                    <c:v>2021-07-20</c:v>
                  </c:pt>
                  <c:pt idx="80">
                    <c:v>2019-07-08</c:v>
                  </c:pt>
                  <c:pt idx="81">
                    <c:v>2025-12-13</c:v>
                  </c:pt>
                  <c:pt idx="82">
                    <c:v>2022-03-24</c:v>
                  </c:pt>
                  <c:pt idx="83">
                    <c:v>2024-06-02</c:v>
                  </c:pt>
                  <c:pt idx="84">
                    <c:v>2019-02-03</c:v>
                  </c:pt>
                  <c:pt idx="85">
                    <c:v>2025-12-18</c:v>
                  </c:pt>
                  <c:pt idx="86">
                    <c:v>2023-02-03</c:v>
                  </c:pt>
                  <c:pt idx="87">
                    <c:v>2021-11-18</c:v>
                  </c:pt>
                  <c:pt idx="88">
                    <c:v>2025-04-01</c:v>
                  </c:pt>
                  <c:pt idx="89">
                    <c:v>2026-07-27</c:v>
                  </c:pt>
                  <c:pt idx="90">
                    <c:v>2020-04-22</c:v>
                  </c:pt>
                  <c:pt idx="91">
                    <c:v>2020-09-24</c:v>
                  </c:pt>
                  <c:pt idx="92">
                    <c:v>2023-12-27</c:v>
                  </c:pt>
                  <c:pt idx="93">
                    <c:v>2026-06-07</c:v>
                  </c:pt>
                  <c:pt idx="94">
                    <c:v>2025-03-20</c:v>
                  </c:pt>
                  <c:pt idx="95">
                    <c:v>2020-03-26</c:v>
                  </c:pt>
                  <c:pt idx="96">
                    <c:v>2020-06-03</c:v>
                  </c:pt>
                  <c:pt idx="97">
                    <c:v>2022-05-20</c:v>
                  </c:pt>
                  <c:pt idx="98">
                    <c:v>2019-11-27</c:v>
                  </c:pt>
                  <c:pt idx="99">
                    <c:v>2025-10-15</c:v>
                  </c:pt>
                  <c:pt idx="100">
                    <c:v>2022-10-20</c:v>
                  </c:pt>
                  <c:pt idx="101">
                    <c:v>2019-12-16</c:v>
                  </c:pt>
                  <c:pt idx="102">
                    <c:v>2023-08-10</c:v>
                  </c:pt>
                  <c:pt idx="103">
                    <c:v>2021-07-07</c:v>
                  </c:pt>
                  <c:pt idx="104">
                    <c:v>2019-04-29</c:v>
                  </c:pt>
                  <c:pt idx="105">
                    <c:v>2024-12-12</c:v>
                  </c:pt>
                  <c:pt idx="106">
                    <c:v>2020-09-29</c:v>
                  </c:pt>
                  <c:pt idx="107">
                    <c:v>2023-10-27</c:v>
                  </c:pt>
                  <c:pt idx="108">
                    <c:v>2021-04-17</c:v>
                  </c:pt>
                  <c:pt idx="109">
                    <c:v>2021-07-31</c:v>
                  </c:pt>
                  <c:pt idx="110">
                    <c:v>2025-06-16</c:v>
                  </c:pt>
                  <c:pt idx="111">
                    <c:v>2023-11-24</c:v>
                  </c:pt>
                  <c:pt idx="112">
                    <c:v>2020-11-19</c:v>
                  </c:pt>
                  <c:pt idx="113">
                    <c:v>2020-12-11</c:v>
                  </c:pt>
                  <c:pt idx="114">
                    <c:v>2026-03-18</c:v>
                  </c:pt>
                  <c:pt idx="115">
                    <c:v>2019-08-19</c:v>
                  </c:pt>
                  <c:pt idx="116">
                    <c:v>2025-11-24</c:v>
                  </c:pt>
                  <c:pt idx="117">
                    <c:v>2024-01-20</c:v>
                  </c:pt>
                  <c:pt idx="118">
                    <c:v>2024-11-16</c:v>
                  </c:pt>
                  <c:pt idx="119">
                    <c:v>2026-08-10</c:v>
                  </c:pt>
                  <c:pt idx="120">
                    <c:v>2026-05-11</c:v>
                  </c:pt>
                  <c:pt idx="121">
                    <c:v>2024-09-13</c:v>
                  </c:pt>
                  <c:pt idx="122">
                    <c:v>2022-04-26</c:v>
                  </c:pt>
                  <c:pt idx="123">
                    <c:v>2026-01-02</c:v>
                  </c:pt>
                  <c:pt idx="124">
                    <c:v>2021-08-16</c:v>
                  </c:pt>
                  <c:pt idx="125">
                    <c:v>2024-11-30</c:v>
                  </c:pt>
                  <c:pt idx="126">
                    <c:v>2020-02-25</c:v>
                  </c:pt>
                  <c:pt idx="127">
                    <c:v>2024-01-22</c:v>
                  </c:pt>
                  <c:pt idx="128">
                    <c:v>2021-07-08</c:v>
                  </c:pt>
                  <c:pt idx="129">
                    <c:v>2025-11-25</c:v>
                  </c:pt>
                  <c:pt idx="130">
                    <c:v>2021-08-31</c:v>
                  </c:pt>
                  <c:pt idx="131">
                    <c:v>2022-04-08</c:v>
                  </c:pt>
                  <c:pt idx="132">
                    <c:v>2025-02-06</c:v>
                  </c:pt>
                  <c:pt idx="133">
                    <c:v>2019-10-04</c:v>
                  </c:pt>
                  <c:pt idx="134">
                    <c:v>2026-09-05</c:v>
                  </c:pt>
                  <c:pt idx="135">
                    <c:v>2019-06-21</c:v>
                  </c:pt>
                  <c:pt idx="136">
                    <c:v>2023-01-02</c:v>
                  </c:pt>
                  <c:pt idx="137">
                    <c:v>2023-02-13</c:v>
                  </c:pt>
                  <c:pt idx="138">
                    <c:v>2020-02-25</c:v>
                  </c:pt>
                  <c:pt idx="139">
                    <c:v>2022-01-29</c:v>
                  </c:pt>
                  <c:pt idx="140">
                    <c:v>2020-08-07</c:v>
                  </c:pt>
                  <c:pt idx="141">
                    <c:v>2023-02-28</c:v>
                  </c:pt>
                  <c:pt idx="142">
                    <c:v>2019-04-17</c:v>
                  </c:pt>
                  <c:pt idx="143">
                    <c:v>2020-05-17</c:v>
                  </c:pt>
                  <c:pt idx="144">
                    <c:v>2025-01-29</c:v>
                  </c:pt>
                  <c:pt idx="145">
                    <c:v>2019-04-18</c:v>
                  </c:pt>
                  <c:pt idx="146">
                    <c:v>2023-08-10</c:v>
                  </c:pt>
                  <c:pt idx="147">
                    <c:v>2023-11-08</c:v>
                  </c:pt>
                  <c:pt idx="148">
                    <c:v>2024-10-26</c:v>
                  </c:pt>
                  <c:pt idx="149">
                    <c:v>2025-07-06</c:v>
                  </c:pt>
                  <c:pt idx="150">
                    <c:v>2023-09-03</c:v>
                  </c:pt>
                  <c:pt idx="151">
                    <c:v>2023-12-06</c:v>
                  </c:pt>
                  <c:pt idx="152">
                    <c:v>2023-02-26</c:v>
                  </c:pt>
                  <c:pt idx="153">
                    <c:v>2020-10-16</c:v>
                  </c:pt>
                  <c:pt idx="154">
                    <c:v>2024-07-30</c:v>
                  </c:pt>
                  <c:pt idx="155">
                    <c:v>2025-01-07</c:v>
                  </c:pt>
                  <c:pt idx="156">
                    <c:v>2025-05-24</c:v>
                  </c:pt>
                  <c:pt idx="157">
                    <c:v>2025-04-03</c:v>
                  </c:pt>
                  <c:pt idx="158">
                    <c:v>2022-09-26</c:v>
                  </c:pt>
                  <c:pt idx="159">
                    <c:v>2022-10-09</c:v>
                  </c:pt>
                  <c:pt idx="160">
                    <c:v>2026-07-22</c:v>
                  </c:pt>
                  <c:pt idx="161">
                    <c:v>2024-05-21</c:v>
                  </c:pt>
                  <c:pt idx="162">
                    <c:v>2019-03-19</c:v>
                  </c:pt>
                  <c:pt idx="163">
                    <c:v>2024-11-22</c:v>
                  </c:pt>
                  <c:pt idx="164">
                    <c:v>2021-02-26</c:v>
                  </c:pt>
                  <c:pt idx="165">
                    <c:v>2022-01-25</c:v>
                  </c:pt>
                  <c:pt idx="166">
                    <c:v>2023-12-17</c:v>
                  </c:pt>
                  <c:pt idx="167">
                    <c:v>2026-07-06</c:v>
                  </c:pt>
                  <c:pt idx="168">
                    <c:v>2019-01-22</c:v>
                  </c:pt>
                  <c:pt idx="169">
                    <c:v>2026-04-25</c:v>
                  </c:pt>
                  <c:pt idx="170">
                    <c:v>2022-03-31</c:v>
                  </c:pt>
                  <c:pt idx="171">
                    <c:v>2021-02-28</c:v>
                  </c:pt>
                  <c:pt idx="172">
                    <c:v>2026-07-25</c:v>
                  </c:pt>
                  <c:pt idx="173">
                    <c:v>2024-05-09</c:v>
                  </c:pt>
                  <c:pt idx="174">
                    <c:v>2026-05-01</c:v>
                  </c:pt>
                  <c:pt idx="175">
                    <c:v>2025-11-22</c:v>
                  </c:pt>
                  <c:pt idx="176">
                    <c:v>2026-06-13</c:v>
                  </c:pt>
                  <c:pt idx="177">
                    <c:v>2024-09-01</c:v>
                  </c:pt>
                  <c:pt idx="178">
                    <c:v>2024-09-21</c:v>
                  </c:pt>
                  <c:pt idx="179">
                    <c:v>2025-06-26</c:v>
                  </c:pt>
                  <c:pt idx="180">
                    <c:v>2020-07-08</c:v>
                  </c:pt>
                  <c:pt idx="181">
                    <c:v>2020-04-30</c:v>
                  </c:pt>
                  <c:pt idx="182">
                    <c:v>2023-04-03</c:v>
                  </c:pt>
                  <c:pt idx="183">
                    <c:v>2019-10-03</c:v>
                  </c:pt>
                  <c:pt idx="184">
                    <c:v>2021-06-08</c:v>
                  </c:pt>
                  <c:pt idx="185">
                    <c:v>2022-05-21</c:v>
                  </c:pt>
                  <c:pt idx="186">
                    <c:v>2025-03-26</c:v>
                  </c:pt>
                  <c:pt idx="187">
                    <c:v>2024-04-23</c:v>
                  </c:pt>
                  <c:pt idx="188">
                    <c:v>2021-09-21</c:v>
                  </c:pt>
                  <c:pt idx="189">
                    <c:v>2021-02-09</c:v>
                  </c:pt>
                  <c:pt idx="190">
                    <c:v>2024-05-15</c:v>
                  </c:pt>
                  <c:pt idx="191">
                    <c:v>2021-12-07</c:v>
                  </c:pt>
                  <c:pt idx="192">
                    <c:v>2019-07-07</c:v>
                  </c:pt>
                  <c:pt idx="193">
                    <c:v>2025-05-22</c:v>
                  </c:pt>
                  <c:pt idx="194">
                    <c:v>2020-07-27</c:v>
                  </c:pt>
                  <c:pt idx="195">
                    <c:v>2026-01-27</c:v>
                  </c:pt>
                  <c:pt idx="196">
                    <c:v>2019-01-28</c:v>
                  </c:pt>
                  <c:pt idx="197">
                    <c:v>2021-02-25</c:v>
                  </c:pt>
                  <c:pt idx="198">
                    <c:v>2022-05-13</c:v>
                  </c:pt>
                  <c:pt idx="199">
                    <c:v>2020-12-02</c:v>
                  </c:pt>
                  <c:pt idx="200">
                    <c:v>2019-07-10</c:v>
                  </c:pt>
                  <c:pt idx="201">
                    <c:v>2022-05-10</c:v>
                  </c:pt>
                  <c:pt idx="202">
                    <c:v>2024-08-13</c:v>
                  </c:pt>
                  <c:pt idx="203">
                    <c:v>2021-07-23</c:v>
                  </c:pt>
                  <c:pt idx="204">
                    <c:v>2019-12-03</c:v>
                  </c:pt>
                  <c:pt idx="205">
                    <c:v>2022-01-09</c:v>
                  </c:pt>
                  <c:pt idx="206">
                    <c:v>2022-12-20</c:v>
                  </c:pt>
                  <c:pt idx="207">
                    <c:v>2024-11-04</c:v>
                  </c:pt>
                  <c:pt idx="208">
                    <c:v>2022-02-04</c:v>
                  </c:pt>
                  <c:pt idx="209">
                    <c:v>2020-07-08</c:v>
                  </c:pt>
                  <c:pt idx="210">
                    <c:v>2022-08-06</c:v>
                  </c:pt>
                  <c:pt idx="211">
                    <c:v>2022-02-22</c:v>
                  </c:pt>
                  <c:pt idx="212">
                    <c:v>2021-05-08</c:v>
                  </c:pt>
                  <c:pt idx="213">
                    <c:v>2023-03-25</c:v>
                  </c:pt>
                  <c:pt idx="214">
                    <c:v>2019-05-31</c:v>
                  </c:pt>
                  <c:pt idx="215">
                    <c:v>2026-03-27</c:v>
                  </c:pt>
                  <c:pt idx="216">
                    <c:v>2023-03-13</c:v>
                  </c:pt>
                  <c:pt idx="217">
                    <c:v>2022-11-27</c:v>
                  </c:pt>
                  <c:pt idx="218">
                    <c:v>2019-10-03</c:v>
                  </c:pt>
                  <c:pt idx="219">
                    <c:v>2025-04-12</c:v>
                  </c:pt>
                  <c:pt idx="220">
                    <c:v>2025-08-22</c:v>
                  </c:pt>
                  <c:pt idx="221">
                    <c:v>2020-04-11</c:v>
                  </c:pt>
                  <c:pt idx="222">
                    <c:v>2022-12-12</c:v>
                  </c:pt>
                  <c:pt idx="223">
                    <c:v>2020-04-24</c:v>
                  </c:pt>
                  <c:pt idx="224">
                    <c:v>2026-02-16</c:v>
                  </c:pt>
                  <c:pt idx="225">
                    <c:v>2019-02-09</c:v>
                  </c:pt>
                  <c:pt idx="226">
                    <c:v>2024-06-24</c:v>
                  </c:pt>
                  <c:pt idx="227">
                    <c:v>2024-09-23</c:v>
                  </c:pt>
                  <c:pt idx="228">
                    <c:v>2026-05-01</c:v>
                  </c:pt>
                  <c:pt idx="229">
                    <c:v>2020-11-10</c:v>
                  </c:pt>
                  <c:pt idx="230">
                    <c:v>2022-04-13</c:v>
                  </c:pt>
                  <c:pt idx="231">
                    <c:v>2021-10-19</c:v>
                  </c:pt>
                  <c:pt idx="232">
                    <c:v>2023-03-17</c:v>
                  </c:pt>
                  <c:pt idx="233">
                    <c:v>2024-02-21</c:v>
                  </c:pt>
                  <c:pt idx="234">
                    <c:v>2022-08-15</c:v>
                  </c:pt>
                  <c:pt idx="235">
                    <c:v>2020-10-09</c:v>
                  </c:pt>
                  <c:pt idx="236">
                    <c:v>2021-10-22</c:v>
                  </c:pt>
                  <c:pt idx="237">
                    <c:v>2021-05-24</c:v>
                  </c:pt>
                  <c:pt idx="238">
                    <c:v>2020-06-25</c:v>
                  </c:pt>
                  <c:pt idx="239">
                    <c:v>2024-12-12</c:v>
                  </c:pt>
                  <c:pt idx="240">
                    <c:v>2019-12-22</c:v>
                  </c:pt>
                  <c:pt idx="241">
                    <c:v>2025-03-16</c:v>
                  </c:pt>
                  <c:pt idx="242">
                    <c:v>2022-04-25</c:v>
                  </c:pt>
                  <c:pt idx="243">
                    <c:v>2020-06-24</c:v>
                  </c:pt>
                  <c:pt idx="244">
                    <c:v>2019-10-04</c:v>
                  </c:pt>
                  <c:pt idx="245">
                    <c:v>2026-03-08</c:v>
                  </c:pt>
                  <c:pt idx="246">
                    <c:v>2025-07-30</c:v>
                  </c:pt>
                  <c:pt idx="247">
                    <c:v>2025-11-12</c:v>
                  </c:pt>
                  <c:pt idx="248">
                    <c:v>2024-10-19</c:v>
                  </c:pt>
                  <c:pt idx="249">
                    <c:v>2019-09-19</c:v>
                  </c:pt>
                  <c:pt idx="250">
                    <c:v>2020-10-06</c:v>
                  </c:pt>
                  <c:pt idx="251">
                    <c:v>2024-04-16</c:v>
                  </c:pt>
                  <c:pt idx="252">
                    <c:v>2022-01-16</c:v>
                  </c:pt>
                  <c:pt idx="253">
                    <c:v>2022-06-26</c:v>
                  </c:pt>
                  <c:pt idx="254">
                    <c:v>2023-02-17</c:v>
                  </c:pt>
                  <c:pt idx="255">
                    <c:v>2022-10-04</c:v>
                  </c:pt>
                  <c:pt idx="256">
                    <c:v>2022-02-20</c:v>
                  </c:pt>
                  <c:pt idx="257">
                    <c:v>2025-08-21</c:v>
                  </c:pt>
                  <c:pt idx="258">
                    <c:v>2024-01-29</c:v>
                  </c:pt>
                  <c:pt idx="259">
                    <c:v>2025-01-04</c:v>
                  </c:pt>
                  <c:pt idx="260">
                    <c:v>2021-05-30</c:v>
                  </c:pt>
                  <c:pt idx="261">
                    <c:v>2024-01-27</c:v>
                  </c:pt>
                  <c:pt idx="262">
                    <c:v>2021-03-22</c:v>
                  </c:pt>
                  <c:pt idx="263">
                    <c:v>2020-01-12</c:v>
                  </c:pt>
                  <c:pt idx="264">
                    <c:v>2024-07-25</c:v>
                  </c:pt>
                  <c:pt idx="265">
                    <c:v>2023-08-15</c:v>
                  </c:pt>
                  <c:pt idx="266">
                    <c:v>2019-03-21</c:v>
                  </c:pt>
                  <c:pt idx="267">
                    <c:v>2022-07-30</c:v>
                  </c:pt>
                  <c:pt idx="268">
                    <c:v>2020-02-15</c:v>
                  </c:pt>
                  <c:pt idx="269">
                    <c:v>2025-08-23</c:v>
                  </c:pt>
                  <c:pt idx="270">
                    <c:v>2025-01-29</c:v>
                  </c:pt>
                  <c:pt idx="271">
                    <c:v>2022-10-27</c:v>
                  </c:pt>
                  <c:pt idx="272">
                    <c:v>2023-02-03</c:v>
                  </c:pt>
                  <c:pt idx="273">
                    <c:v>2026-04-13</c:v>
                  </c:pt>
                  <c:pt idx="274">
                    <c:v>2022-06-10</c:v>
                  </c:pt>
                  <c:pt idx="275">
                    <c:v>2020-03-02</c:v>
                  </c:pt>
                  <c:pt idx="276">
                    <c:v>2019-02-16</c:v>
                  </c:pt>
                  <c:pt idx="277">
                    <c:v>2023-08-23</c:v>
                  </c:pt>
                  <c:pt idx="278">
                    <c:v>2022-04-22</c:v>
                  </c:pt>
                  <c:pt idx="279">
                    <c:v>2023-11-02</c:v>
                  </c:pt>
                  <c:pt idx="280">
                    <c:v>2025-01-21</c:v>
                  </c:pt>
                  <c:pt idx="281">
                    <c:v>2026-06-04</c:v>
                  </c:pt>
                  <c:pt idx="282">
                    <c:v>2023-06-17</c:v>
                  </c:pt>
                  <c:pt idx="283">
                    <c:v>2023-12-07</c:v>
                  </c:pt>
                  <c:pt idx="284">
                    <c:v>2021-07-20</c:v>
                  </c:pt>
                  <c:pt idx="285">
                    <c:v>2025-05-28</c:v>
                  </c:pt>
                  <c:pt idx="286">
                    <c:v>2019-06-24</c:v>
                  </c:pt>
                  <c:pt idx="287">
                    <c:v>2022-08-28</c:v>
                  </c:pt>
                  <c:pt idx="288">
                    <c:v>2020-09-04</c:v>
                  </c:pt>
                  <c:pt idx="289">
                    <c:v>2021-12-17</c:v>
                  </c:pt>
                  <c:pt idx="290">
                    <c:v>2023-06-10</c:v>
                  </c:pt>
                  <c:pt idx="291">
                    <c:v>2021-07-22</c:v>
                  </c:pt>
                  <c:pt idx="292">
                    <c:v>2021-05-15</c:v>
                  </c:pt>
                  <c:pt idx="293">
                    <c:v>2024-11-17</c:v>
                  </c:pt>
                  <c:pt idx="294">
                    <c:v>2022-01-27</c:v>
                  </c:pt>
                  <c:pt idx="295">
                    <c:v>2025-03-08</c:v>
                  </c:pt>
                  <c:pt idx="296">
                    <c:v>2025-06-01</c:v>
                  </c:pt>
                  <c:pt idx="297">
                    <c:v>2026-04-05</c:v>
                  </c:pt>
                  <c:pt idx="298">
                    <c:v>2021-10-29</c:v>
                  </c:pt>
                  <c:pt idx="299">
                    <c:v>2026-09-04</c:v>
                  </c:pt>
                </c:lvl>
                <c:lvl>
                  <c:pt idx="0">
                    <c:v>48000</c:v>
                  </c:pt>
                  <c:pt idx="1">
                    <c:v>74000</c:v>
                  </c:pt>
                  <c:pt idx="2">
                    <c:v>35000</c:v>
                  </c:pt>
                  <c:pt idx="3">
                    <c:v>51000</c:v>
                  </c:pt>
                  <c:pt idx="4">
                    <c:v>43000</c:v>
                  </c:pt>
                  <c:pt idx="5">
                    <c:v>49000</c:v>
                  </c:pt>
                  <c:pt idx="6">
                    <c:v>43000</c:v>
                  </c:pt>
                  <c:pt idx="7">
                    <c:v>77000</c:v>
                  </c:pt>
                  <c:pt idx="8">
                    <c:v>43000</c:v>
                  </c:pt>
                  <c:pt idx="9">
                    <c:v>46000</c:v>
                  </c:pt>
                  <c:pt idx="10">
                    <c:v>57000</c:v>
                  </c:pt>
                  <c:pt idx="11">
                    <c:v>34000</c:v>
                  </c:pt>
                  <c:pt idx="12">
                    <c:v>67000</c:v>
                  </c:pt>
                  <c:pt idx="13">
                    <c:v>58000</c:v>
                  </c:pt>
                  <c:pt idx="14">
                    <c:v>36000</c:v>
                  </c:pt>
                  <c:pt idx="15">
                    <c:v>27000</c:v>
                  </c:pt>
                  <c:pt idx="16">
                    <c:v>56000</c:v>
                  </c:pt>
                  <c:pt idx="17">
                    <c:v>55000</c:v>
                  </c:pt>
                  <c:pt idx="18">
                    <c:v>57000</c:v>
                  </c:pt>
                  <c:pt idx="19">
                    <c:v>69000</c:v>
                  </c:pt>
                  <c:pt idx="20">
                    <c:v>28000</c:v>
                  </c:pt>
                  <c:pt idx="21">
                    <c:v>69000</c:v>
                  </c:pt>
                  <c:pt idx="22">
                    <c:v>69000</c:v>
                  </c:pt>
                  <c:pt idx="23">
                    <c:v>38000</c:v>
                  </c:pt>
                  <c:pt idx="24">
                    <c:v>77000</c:v>
                  </c:pt>
                  <c:pt idx="25">
                    <c:v>44000</c:v>
                  </c:pt>
                  <c:pt idx="26">
                    <c:v>46000</c:v>
                  </c:pt>
                  <c:pt idx="27">
                    <c:v>63000</c:v>
                  </c:pt>
                  <c:pt idx="28">
                    <c:v>60000</c:v>
                  </c:pt>
                  <c:pt idx="29">
                    <c:v>37000</c:v>
                  </c:pt>
                  <c:pt idx="30">
                    <c:v>50000</c:v>
                  </c:pt>
                  <c:pt idx="31">
                    <c:v>39000</c:v>
                  </c:pt>
                  <c:pt idx="32">
                    <c:v>75000</c:v>
                  </c:pt>
                  <c:pt idx="33">
                    <c:v>31000</c:v>
                  </c:pt>
                  <c:pt idx="34">
                    <c:v>42000</c:v>
                  </c:pt>
                  <c:pt idx="35">
                    <c:v>61000</c:v>
                  </c:pt>
                  <c:pt idx="36">
                    <c:v>41000</c:v>
                  </c:pt>
                  <c:pt idx="37">
                    <c:v>31000</c:v>
                  </c:pt>
                  <c:pt idx="38">
                    <c:v>39000</c:v>
                  </c:pt>
                  <c:pt idx="39">
                    <c:v>44000</c:v>
                  </c:pt>
                  <c:pt idx="40">
                    <c:v>42000</c:v>
                  </c:pt>
                  <c:pt idx="41">
                    <c:v>51000</c:v>
                  </c:pt>
                  <c:pt idx="42">
                    <c:v>24000</c:v>
                  </c:pt>
                  <c:pt idx="43">
                    <c:v>51000</c:v>
                  </c:pt>
                  <c:pt idx="44">
                    <c:v>18000</c:v>
                  </c:pt>
                  <c:pt idx="45">
                    <c:v>45000</c:v>
                  </c:pt>
                  <c:pt idx="46">
                    <c:v>40000</c:v>
                  </c:pt>
                  <c:pt idx="47">
                    <c:v>44000</c:v>
                  </c:pt>
                  <c:pt idx="48">
                    <c:v>35000</c:v>
                  </c:pt>
                  <c:pt idx="49">
                    <c:v>28000</c:v>
                  </c:pt>
                  <c:pt idx="50">
                    <c:v>34000</c:v>
                  </c:pt>
                  <c:pt idx="51">
                    <c:v>23000</c:v>
                  </c:pt>
                  <c:pt idx="52">
                    <c:v>46000</c:v>
                  </c:pt>
                  <c:pt idx="53">
                    <c:v>39000</c:v>
                  </c:pt>
                  <c:pt idx="54">
                    <c:v>33000</c:v>
                  </c:pt>
                  <c:pt idx="55">
                    <c:v>55000</c:v>
                  </c:pt>
                  <c:pt idx="56">
                    <c:v>31000</c:v>
                  </c:pt>
                  <c:pt idx="57">
                    <c:v>49000</c:v>
                  </c:pt>
                  <c:pt idx="58">
                    <c:v>53000</c:v>
                  </c:pt>
                  <c:pt idx="59">
                    <c:v>43000</c:v>
                  </c:pt>
                  <c:pt idx="60">
                    <c:v>31000</c:v>
                  </c:pt>
                  <c:pt idx="61">
                    <c:v>57000</c:v>
                  </c:pt>
                  <c:pt idx="62">
                    <c:v>33000</c:v>
                  </c:pt>
                  <c:pt idx="63">
                    <c:v>49000</c:v>
                  </c:pt>
                  <c:pt idx="64">
                    <c:v>54000</c:v>
                  </c:pt>
                  <c:pt idx="65">
                    <c:v>69000</c:v>
                  </c:pt>
                  <c:pt idx="66">
                    <c:v>64000</c:v>
                  </c:pt>
                  <c:pt idx="67">
                    <c:v>40000</c:v>
                  </c:pt>
                  <c:pt idx="68">
                    <c:v>30000</c:v>
                  </c:pt>
                  <c:pt idx="69">
                    <c:v>47000</c:v>
                  </c:pt>
                  <c:pt idx="70">
                    <c:v>57000</c:v>
                  </c:pt>
                  <c:pt idx="71">
                    <c:v>31000</c:v>
                  </c:pt>
                  <c:pt idx="72">
                    <c:v>67000</c:v>
                  </c:pt>
                  <c:pt idx="73">
                    <c:v>46000</c:v>
                  </c:pt>
                  <c:pt idx="74">
                    <c:v>44000</c:v>
                  </c:pt>
                  <c:pt idx="75">
                    <c:v>46000</c:v>
                  </c:pt>
                  <c:pt idx="76">
                    <c:v>51000</c:v>
                  </c:pt>
                  <c:pt idx="77">
                    <c:v>28000</c:v>
                  </c:pt>
                  <c:pt idx="78">
                    <c:v>60000</c:v>
                  </c:pt>
                  <c:pt idx="79">
                    <c:v>60000</c:v>
                  </c:pt>
                  <c:pt idx="80">
                    <c:v>40000</c:v>
                  </c:pt>
                  <c:pt idx="81">
                    <c:v>44000</c:v>
                  </c:pt>
                  <c:pt idx="82">
                    <c:v>42000</c:v>
                  </c:pt>
                  <c:pt idx="83">
                    <c:v>31000</c:v>
                  </c:pt>
                  <c:pt idx="84">
                    <c:v>24000</c:v>
                  </c:pt>
                  <c:pt idx="85">
                    <c:v>31000</c:v>
                  </c:pt>
                  <c:pt idx="86">
                    <c:v>35000</c:v>
                  </c:pt>
                  <c:pt idx="87">
                    <c:v>38000</c:v>
                  </c:pt>
                  <c:pt idx="88">
                    <c:v>40000</c:v>
                  </c:pt>
                  <c:pt idx="89">
                    <c:v>67000</c:v>
                  </c:pt>
                  <c:pt idx="90">
                    <c:v>61000</c:v>
                  </c:pt>
                  <c:pt idx="91">
                    <c:v>73000</c:v>
                  </c:pt>
                  <c:pt idx="92">
                    <c:v>64000</c:v>
                  </c:pt>
                  <c:pt idx="93">
                    <c:v>36000</c:v>
                  </c:pt>
                  <c:pt idx="94">
                    <c:v>37000</c:v>
                  </c:pt>
                  <c:pt idx="95">
                    <c:v>48000</c:v>
                  </c:pt>
                  <c:pt idx="96">
                    <c:v>54000</c:v>
                  </c:pt>
                  <c:pt idx="97">
                    <c:v>31000</c:v>
                  </c:pt>
                  <c:pt idx="98">
                    <c:v>49000</c:v>
                  </c:pt>
                  <c:pt idx="99">
                    <c:v>47000</c:v>
                  </c:pt>
                  <c:pt idx="100">
                    <c:v>57000</c:v>
                  </c:pt>
                  <c:pt idx="101">
                    <c:v>36000</c:v>
                  </c:pt>
                  <c:pt idx="102">
                    <c:v>34000</c:v>
                  </c:pt>
                  <c:pt idx="103">
                    <c:v>69000</c:v>
                  </c:pt>
                  <c:pt idx="104">
                    <c:v>48000</c:v>
                  </c:pt>
                  <c:pt idx="105">
                    <c:v>72000</c:v>
                  </c:pt>
                  <c:pt idx="106">
                    <c:v>42000</c:v>
                  </c:pt>
                  <c:pt idx="107">
                    <c:v>56000</c:v>
                  </c:pt>
                  <c:pt idx="108">
                    <c:v>39000</c:v>
                  </c:pt>
                  <c:pt idx="109">
                    <c:v>48000</c:v>
                  </c:pt>
                  <c:pt idx="110">
                    <c:v>43000</c:v>
                  </c:pt>
                  <c:pt idx="111">
                    <c:v>57000</c:v>
                  </c:pt>
                  <c:pt idx="112">
                    <c:v>58000</c:v>
                  </c:pt>
                  <c:pt idx="113">
                    <c:v>62000</c:v>
                  </c:pt>
                  <c:pt idx="114">
                    <c:v>28000</c:v>
                  </c:pt>
                  <c:pt idx="115">
                    <c:v>35000</c:v>
                  </c:pt>
                  <c:pt idx="116">
                    <c:v>29000</c:v>
                  </c:pt>
                  <c:pt idx="117">
                    <c:v>37000</c:v>
                  </c:pt>
                  <c:pt idx="118">
                    <c:v>47000</c:v>
                  </c:pt>
                  <c:pt idx="119">
                    <c:v>53000</c:v>
                  </c:pt>
                  <c:pt idx="120">
                    <c:v>42000</c:v>
                  </c:pt>
                  <c:pt idx="121">
                    <c:v>36000</c:v>
                  </c:pt>
                  <c:pt idx="122">
                    <c:v>44000</c:v>
                  </c:pt>
                  <c:pt idx="123">
                    <c:v>47000</c:v>
                  </c:pt>
                  <c:pt idx="124">
                    <c:v>42000</c:v>
                  </c:pt>
                  <c:pt idx="125">
                    <c:v>49000</c:v>
                  </c:pt>
                  <c:pt idx="126">
                    <c:v>43000</c:v>
                  </c:pt>
                  <c:pt idx="127">
                    <c:v>26000</c:v>
                  </c:pt>
                  <c:pt idx="128">
                    <c:v>63000</c:v>
                  </c:pt>
                  <c:pt idx="129">
                    <c:v>50000</c:v>
                  </c:pt>
                  <c:pt idx="130">
                    <c:v>42000</c:v>
                  </c:pt>
                  <c:pt idx="131">
                    <c:v>45000</c:v>
                  </c:pt>
                  <c:pt idx="132">
                    <c:v>18000</c:v>
                  </c:pt>
                  <c:pt idx="133">
                    <c:v>43000</c:v>
                  </c:pt>
                  <c:pt idx="134">
                    <c:v>36000</c:v>
                  </c:pt>
                  <c:pt idx="135">
                    <c:v>48000</c:v>
                  </c:pt>
                  <c:pt idx="136">
                    <c:v>37000</c:v>
                  </c:pt>
                  <c:pt idx="137">
                    <c:v>42000</c:v>
                  </c:pt>
                  <c:pt idx="138">
                    <c:v>55000</c:v>
                  </c:pt>
                  <c:pt idx="139">
                    <c:v>60000</c:v>
                  </c:pt>
                  <c:pt idx="140">
                    <c:v>51000</c:v>
                  </c:pt>
                  <c:pt idx="141">
                    <c:v>31000</c:v>
                  </c:pt>
                  <c:pt idx="142">
                    <c:v>44000</c:v>
                  </c:pt>
                  <c:pt idx="143">
                    <c:v>31000</c:v>
                  </c:pt>
                  <c:pt idx="144">
                    <c:v>43000</c:v>
                  </c:pt>
                  <c:pt idx="145">
                    <c:v>49000</c:v>
                  </c:pt>
                  <c:pt idx="146">
                    <c:v>47000</c:v>
                  </c:pt>
                  <c:pt idx="147">
                    <c:v>24000</c:v>
                  </c:pt>
                  <c:pt idx="148">
                    <c:v>56000</c:v>
                  </c:pt>
                  <c:pt idx="149">
                    <c:v>31000</c:v>
                  </c:pt>
                  <c:pt idx="150">
                    <c:v>52000</c:v>
                  </c:pt>
                  <c:pt idx="151">
                    <c:v>50000</c:v>
                  </c:pt>
                  <c:pt idx="152">
                    <c:v>41000</c:v>
                  </c:pt>
                  <c:pt idx="153">
                    <c:v>44000</c:v>
                  </c:pt>
                  <c:pt idx="154">
                    <c:v>65000</c:v>
                  </c:pt>
                  <c:pt idx="155">
                    <c:v>48000</c:v>
                  </c:pt>
                  <c:pt idx="156">
                    <c:v>36000</c:v>
                  </c:pt>
                  <c:pt idx="157">
                    <c:v>50000</c:v>
                  </c:pt>
                  <c:pt idx="158">
                    <c:v>59000</c:v>
                  </c:pt>
                  <c:pt idx="159">
                    <c:v>38000</c:v>
                  </c:pt>
                  <c:pt idx="160">
                    <c:v>42000</c:v>
                  </c:pt>
                  <c:pt idx="161">
                    <c:v>49000</c:v>
                  </c:pt>
                  <c:pt idx="162">
                    <c:v>33000</c:v>
                  </c:pt>
                  <c:pt idx="163">
                    <c:v>46000</c:v>
                  </c:pt>
                  <c:pt idx="164">
                    <c:v>53000</c:v>
                  </c:pt>
                  <c:pt idx="165">
                    <c:v>42000</c:v>
                  </c:pt>
                  <c:pt idx="166">
                    <c:v>43000</c:v>
                  </c:pt>
                  <c:pt idx="167">
                    <c:v>38000</c:v>
                  </c:pt>
                  <c:pt idx="168">
                    <c:v>73000</c:v>
                  </c:pt>
                  <c:pt idx="169">
                    <c:v>38000</c:v>
                  </c:pt>
                  <c:pt idx="170">
                    <c:v>36000</c:v>
                  </c:pt>
                  <c:pt idx="171">
                    <c:v>50000</c:v>
                  </c:pt>
                  <c:pt idx="172">
                    <c:v>46000</c:v>
                  </c:pt>
                  <c:pt idx="173">
                    <c:v>39000</c:v>
                  </c:pt>
                  <c:pt idx="174">
                    <c:v>40000</c:v>
                  </c:pt>
                  <c:pt idx="175">
                    <c:v>51000</c:v>
                  </c:pt>
                  <c:pt idx="176">
                    <c:v>53000</c:v>
                  </c:pt>
                  <c:pt idx="177">
                    <c:v>36000</c:v>
                  </c:pt>
                  <c:pt idx="178">
                    <c:v>42000</c:v>
                  </c:pt>
                  <c:pt idx="179">
                    <c:v>53000</c:v>
                  </c:pt>
                  <c:pt idx="180">
                    <c:v>58000</c:v>
                  </c:pt>
                  <c:pt idx="181">
                    <c:v>18000</c:v>
                  </c:pt>
                  <c:pt idx="182">
                    <c:v>48000</c:v>
                  </c:pt>
                  <c:pt idx="183">
                    <c:v>30000</c:v>
                  </c:pt>
                  <c:pt idx="184">
                    <c:v>52000</c:v>
                  </c:pt>
                  <c:pt idx="185">
                    <c:v>26000</c:v>
                  </c:pt>
                  <c:pt idx="186">
                    <c:v>18000</c:v>
                  </c:pt>
                  <c:pt idx="187">
                    <c:v>45000</c:v>
                  </c:pt>
                  <c:pt idx="188">
                    <c:v>51000</c:v>
                  </c:pt>
                  <c:pt idx="189">
                    <c:v>53000</c:v>
                  </c:pt>
                  <c:pt idx="190">
                    <c:v>71000</c:v>
                  </c:pt>
                  <c:pt idx="191">
                    <c:v>42000</c:v>
                  </c:pt>
                  <c:pt idx="192">
                    <c:v>35000</c:v>
                  </c:pt>
                  <c:pt idx="193">
                    <c:v>39000</c:v>
                  </c:pt>
                  <c:pt idx="194">
                    <c:v>49000</c:v>
                  </c:pt>
                  <c:pt idx="195">
                    <c:v>26000</c:v>
                  </c:pt>
                  <c:pt idx="196">
                    <c:v>42000</c:v>
                  </c:pt>
                  <c:pt idx="197">
                    <c:v>52000</c:v>
                  </c:pt>
                  <c:pt idx="198">
                    <c:v>43000</c:v>
                  </c:pt>
                  <c:pt idx="199">
                    <c:v>26000</c:v>
                  </c:pt>
                  <c:pt idx="200">
                    <c:v>54000</c:v>
                  </c:pt>
                  <c:pt idx="201">
                    <c:v>36000</c:v>
                  </c:pt>
                  <c:pt idx="202">
                    <c:v>35000</c:v>
                  </c:pt>
                  <c:pt idx="203">
                    <c:v>43000</c:v>
                  </c:pt>
                  <c:pt idx="204">
                    <c:v>53000</c:v>
                  </c:pt>
                  <c:pt idx="205">
                    <c:v>66000</c:v>
                  </c:pt>
                  <c:pt idx="206">
                    <c:v>37000</c:v>
                  </c:pt>
                  <c:pt idx="207">
                    <c:v>41000</c:v>
                  </c:pt>
                  <c:pt idx="208">
                    <c:v>32000</c:v>
                  </c:pt>
                  <c:pt idx="209">
                    <c:v>48000</c:v>
                  </c:pt>
                  <c:pt idx="210">
                    <c:v>32000</c:v>
                  </c:pt>
                  <c:pt idx="211">
                    <c:v>28000</c:v>
                  </c:pt>
                  <c:pt idx="212">
                    <c:v>34000</c:v>
                  </c:pt>
                  <c:pt idx="213">
                    <c:v>44000</c:v>
                  </c:pt>
                  <c:pt idx="214">
                    <c:v>37000</c:v>
                  </c:pt>
                  <c:pt idx="215">
                    <c:v>33000</c:v>
                  </c:pt>
                  <c:pt idx="216">
                    <c:v>31000</c:v>
                  </c:pt>
                  <c:pt idx="217">
                    <c:v>64000</c:v>
                  </c:pt>
                  <c:pt idx="218">
                    <c:v>48000</c:v>
                  </c:pt>
                  <c:pt idx="219">
                    <c:v>58000</c:v>
                  </c:pt>
                  <c:pt idx="220">
                    <c:v>51000</c:v>
                  </c:pt>
                  <c:pt idx="221">
                    <c:v>45000</c:v>
                  </c:pt>
                  <c:pt idx="222">
                    <c:v>60000</c:v>
                  </c:pt>
                  <c:pt idx="223">
                    <c:v>33000</c:v>
                  </c:pt>
                  <c:pt idx="224">
                    <c:v>27000</c:v>
                  </c:pt>
                  <c:pt idx="225">
                    <c:v>39000</c:v>
                  </c:pt>
                  <c:pt idx="226">
                    <c:v>52000</c:v>
                  </c:pt>
                  <c:pt idx="227">
                    <c:v>52000</c:v>
                  </c:pt>
                  <c:pt idx="228">
                    <c:v>43000</c:v>
                  </c:pt>
                  <c:pt idx="229">
                    <c:v>34000</c:v>
                  </c:pt>
                  <c:pt idx="230">
                    <c:v>43000</c:v>
                  </c:pt>
                  <c:pt idx="231">
                    <c:v>52000</c:v>
                  </c:pt>
                  <c:pt idx="232">
                    <c:v>30000</c:v>
                  </c:pt>
                  <c:pt idx="233">
                    <c:v>49000</c:v>
                  </c:pt>
                  <c:pt idx="234">
                    <c:v>39000</c:v>
                  </c:pt>
                  <c:pt idx="235">
                    <c:v>45000</c:v>
                  </c:pt>
                  <c:pt idx="236">
                    <c:v>53000</c:v>
                  </c:pt>
                  <c:pt idx="237">
                    <c:v>53000</c:v>
                  </c:pt>
                  <c:pt idx="238">
                    <c:v>46000</c:v>
                  </c:pt>
                  <c:pt idx="239">
                    <c:v>53000</c:v>
                  </c:pt>
                  <c:pt idx="240">
                    <c:v>57000</c:v>
                  </c:pt>
                  <c:pt idx="241">
                    <c:v>41000</c:v>
                  </c:pt>
                  <c:pt idx="242">
                    <c:v>32000</c:v>
                  </c:pt>
                  <c:pt idx="243">
                    <c:v>38000</c:v>
                  </c:pt>
                  <c:pt idx="244">
                    <c:v>41000</c:v>
                  </c:pt>
                  <c:pt idx="245">
                    <c:v>52000</c:v>
                  </c:pt>
                  <c:pt idx="246">
                    <c:v>30000</c:v>
                  </c:pt>
                  <c:pt idx="247">
                    <c:v>37000</c:v>
                  </c:pt>
                  <c:pt idx="248">
                    <c:v>45000</c:v>
                  </c:pt>
                  <c:pt idx="249">
                    <c:v>23000</c:v>
                  </c:pt>
                  <c:pt idx="250">
                    <c:v>54000</c:v>
                  </c:pt>
                  <c:pt idx="251">
                    <c:v>39000</c:v>
                  </c:pt>
                  <c:pt idx="252">
                    <c:v>50000</c:v>
                  </c:pt>
                  <c:pt idx="253">
                    <c:v>38000</c:v>
                  </c:pt>
                  <c:pt idx="254">
                    <c:v>28000</c:v>
                  </c:pt>
                  <c:pt idx="255">
                    <c:v>36000</c:v>
                  </c:pt>
                  <c:pt idx="256">
                    <c:v>73000</c:v>
                  </c:pt>
                  <c:pt idx="257">
                    <c:v>70000</c:v>
                  </c:pt>
                  <c:pt idx="258">
                    <c:v>35000</c:v>
                  </c:pt>
                  <c:pt idx="259">
                    <c:v>56000</c:v>
                  </c:pt>
                  <c:pt idx="260">
                    <c:v>60000</c:v>
                  </c:pt>
                  <c:pt idx="261">
                    <c:v>37000</c:v>
                  </c:pt>
                  <c:pt idx="262">
                    <c:v>60000</c:v>
                  </c:pt>
                  <c:pt idx="263">
                    <c:v>34000</c:v>
                  </c:pt>
                  <c:pt idx="264">
                    <c:v>55000</c:v>
                  </c:pt>
                  <c:pt idx="265">
                    <c:v>58000</c:v>
                  </c:pt>
                  <c:pt idx="266">
                    <c:v>58000</c:v>
                  </c:pt>
                  <c:pt idx="267">
                    <c:v>50000</c:v>
                  </c:pt>
                  <c:pt idx="268">
                    <c:v>36000</c:v>
                  </c:pt>
                  <c:pt idx="269">
                    <c:v>41000</c:v>
                  </c:pt>
                  <c:pt idx="270">
                    <c:v>39000</c:v>
                  </c:pt>
                  <c:pt idx="271">
                    <c:v>55000</c:v>
                  </c:pt>
                  <c:pt idx="272">
                    <c:v>55000</c:v>
                  </c:pt>
                  <c:pt idx="273">
                    <c:v>39000</c:v>
                  </c:pt>
                  <c:pt idx="274">
                    <c:v>45000</c:v>
                  </c:pt>
                  <c:pt idx="275">
                    <c:v>36000</c:v>
                  </c:pt>
                  <c:pt idx="276">
                    <c:v>45000</c:v>
                  </c:pt>
                  <c:pt idx="277">
                    <c:v>60000</c:v>
                  </c:pt>
                  <c:pt idx="278">
                    <c:v>49000</c:v>
                  </c:pt>
                  <c:pt idx="279">
                    <c:v>56000</c:v>
                  </c:pt>
                  <c:pt idx="280">
                    <c:v>41000</c:v>
                  </c:pt>
                  <c:pt idx="281">
                    <c:v>64000</c:v>
                  </c:pt>
                  <c:pt idx="282">
                    <c:v>29000</c:v>
                  </c:pt>
                  <c:pt idx="283">
                    <c:v>45000</c:v>
                  </c:pt>
                  <c:pt idx="284">
                    <c:v>33000</c:v>
                  </c:pt>
                  <c:pt idx="285">
                    <c:v>47000</c:v>
                  </c:pt>
                  <c:pt idx="286">
                    <c:v>18000</c:v>
                  </c:pt>
                  <c:pt idx="287">
                    <c:v>71000</c:v>
                  </c:pt>
                  <c:pt idx="288">
                    <c:v>42000</c:v>
                  </c:pt>
                  <c:pt idx="289">
                    <c:v>44000</c:v>
                  </c:pt>
                  <c:pt idx="290">
                    <c:v>48000</c:v>
                  </c:pt>
                  <c:pt idx="291">
                    <c:v>39000</c:v>
                  </c:pt>
                  <c:pt idx="292">
                    <c:v>54000</c:v>
                  </c:pt>
                  <c:pt idx="293">
                    <c:v>39000</c:v>
                  </c:pt>
                  <c:pt idx="294">
                    <c:v>43000</c:v>
                  </c:pt>
                  <c:pt idx="295">
                    <c:v>61000</c:v>
                  </c:pt>
                  <c:pt idx="296">
                    <c:v>56000</c:v>
                  </c:pt>
                  <c:pt idx="297">
                    <c:v>46000</c:v>
                  </c:pt>
                  <c:pt idx="298">
                    <c:v>53000</c:v>
                  </c:pt>
                  <c:pt idx="299">
                    <c:v>54000</c:v>
                  </c:pt>
                </c:lvl>
              </c:multiLvlStrCache>
            </c:multiLvlStrRef>
          </c:xVal>
          <c:yVal>
            <c:numRef>
              <c:f>Employee_Master!$K$2:$K$301</c:f>
              <c:numCache>
                <c:formatCode>General</c:formatCode>
                <c:ptCount val="300"/>
                <c:pt idx="0">
                  <c:v>84.1</c:v>
                </c:pt>
                <c:pt idx="1">
                  <c:v>56.1</c:v>
                </c:pt>
                <c:pt idx="2">
                  <c:v>87.8</c:v>
                </c:pt>
                <c:pt idx="3">
                  <c:v>96.8</c:v>
                </c:pt>
                <c:pt idx="4">
                  <c:v>58.4</c:v>
                </c:pt>
                <c:pt idx="5">
                  <c:v>66.5</c:v>
                </c:pt>
                <c:pt idx="6">
                  <c:v>84.6</c:v>
                </c:pt>
                <c:pt idx="7">
                  <c:v>92.7</c:v>
                </c:pt>
                <c:pt idx="8">
                  <c:v>93.6</c:v>
                </c:pt>
                <c:pt idx="9">
                  <c:v>61.9</c:v>
                </c:pt>
                <c:pt idx="10">
                  <c:v>88</c:v>
                </c:pt>
                <c:pt idx="11">
                  <c:v>76.8</c:v>
                </c:pt>
                <c:pt idx="12">
                  <c:v>92.8</c:v>
                </c:pt>
                <c:pt idx="13">
                  <c:v>87.9</c:v>
                </c:pt>
                <c:pt idx="14">
                  <c:v>85.7</c:v>
                </c:pt>
                <c:pt idx="15">
                  <c:v>80.3</c:v>
                </c:pt>
                <c:pt idx="16">
                  <c:v>64.2</c:v>
                </c:pt>
                <c:pt idx="17">
                  <c:v>73.2</c:v>
                </c:pt>
                <c:pt idx="18">
                  <c:v>61</c:v>
                </c:pt>
                <c:pt idx="19">
                  <c:v>62.2</c:v>
                </c:pt>
                <c:pt idx="20">
                  <c:v>97.8</c:v>
                </c:pt>
                <c:pt idx="21">
                  <c:v>80.099999999999994</c:v>
                </c:pt>
                <c:pt idx="22">
                  <c:v>79.900000000000006</c:v>
                </c:pt>
                <c:pt idx="23">
                  <c:v>85.8</c:v>
                </c:pt>
                <c:pt idx="24">
                  <c:v>58.2</c:v>
                </c:pt>
                <c:pt idx="25">
                  <c:v>85.3</c:v>
                </c:pt>
                <c:pt idx="26">
                  <c:v>64.099999999999994</c:v>
                </c:pt>
                <c:pt idx="27">
                  <c:v>69.3</c:v>
                </c:pt>
                <c:pt idx="28">
                  <c:v>61.4</c:v>
                </c:pt>
                <c:pt idx="29">
                  <c:v>93.7</c:v>
                </c:pt>
                <c:pt idx="30">
                  <c:v>92.9</c:v>
                </c:pt>
                <c:pt idx="31">
                  <c:v>91.9</c:v>
                </c:pt>
                <c:pt idx="32">
                  <c:v>67</c:v>
                </c:pt>
                <c:pt idx="33">
                  <c:v>56.6</c:v>
                </c:pt>
                <c:pt idx="34">
                  <c:v>55.1</c:v>
                </c:pt>
                <c:pt idx="35">
                  <c:v>76.8</c:v>
                </c:pt>
                <c:pt idx="36">
                  <c:v>79.5</c:v>
                </c:pt>
                <c:pt idx="37">
                  <c:v>74</c:v>
                </c:pt>
                <c:pt idx="38">
                  <c:v>63.6</c:v>
                </c:pt>
                <c:pt idx="39">
                  <c:v>72.2</c:v>
                </c:pt>
                <c:pt idx="40">
                  <c:v>74.599999999999994</c:v>
                </c:pt>
                <c:pt idx="41">
                  <c:v>93.6</c:v>
                </c:pt>
                <c:pt idx="42">
                  <c:v>65.099999999999994</c:v>
                </c:pt>
                <c:pt idx="43">
                  <c:v>72.5</c:v>
                </c:pt>
                <c:pt idx="44">
                  <c:v>67.8</c:v>
                </c:pt>
                <c:pt idx="45">
                  <c:v>75.900000000000006</c:v>
                </c:pt>
                <c:pt idx="46">
                  <c:v>82.6</c:v>
                </c:pt>
                <c:pt idx="47">
                  <c:v>87.7</c:v>
                </c:pt>
                <c:pt idx="48">
                  <c:v>83</c:v>
                </c:pt>
                <c:pt idx="49">
                  <c:v>75</c:v>
                </c:pt>
                <c:pt idx="50">
                  <c:v>72.099999999999994</c:v>
                </c:pt>
                <c:pt idx="51">
                  <c:v>69.900000000000006</c:v>
                </c:pt>
                <c:pt idx="52">
                  <c:v>90.6</c:v>
                </c:pt>
                <c:pt idx="53">
                  <c:v>90.5</c:v>
                </c:pt>
                <c:pt idx="54">
                  <c:v>76</c:v>
                </c:pt>
                <c:pt idx="55">
                  <c:v>76</c:v>
                </c:pt>
                <c:pt idx="56">
                  <c:v>83.6</c:v>
                </c:pt>
                <c:pt idx="57">
                  <c:v>65.8</c:v>
                </c:pt>
                <c:pt idx="58">
                  <c:v>67.2</c:v>
                </c:pt>
                <c:pt idx="59">
                  <c:v>96.9</c:v>
                </c:pt>
                <c:pt idx="60">
                  <c:v>57.2</c:v>
                </c:pt>
                <c:pt idx="61">
                  <c:v>95.8</c:v>
                </c:pt>
                <c:pt idx="62">
                  <c:v>92</c:v>
                </c:pt>
                <c:pt idx="63">
                  <c:v>83.4</c:v>
                </c:pt>
                <c:pt idx="64">
                  <c:v>85.2</c:v>
                </c:pt>
                <c:pt idx="65">
                  <c:v>90.5</c:v>
                </c:pt>
                <c:pt idx="66">
                  <c:v>76.2</c:v>
                </c:pt>
                <c:pt idx="67">
                  <c:v>90.9</c:v>
                </c:pt>
                <c:pt idx="68">
                  <c:v>97.9</c:v>
                </c:pt>
                <c:pt idx="69">
                  <c:v>72.7</c:v>
                </c:pt>
                <c:pt idx="70">
                  <c:v>55</c:v>
                </c:pt>
                <c:pt idx="71">
                  <c:v>63.8</c:v>
                </c:pt>
                <c:pt idx="72">
                  <c:v>64.7</c:v>
                </c:pt>
                <c:pt idx="73">
                  <c:v>97.2</c:v>
                </c:pt>
                <c:pt idx="74">
                  <c:v>90.3</c:v>
                </c:pt>
                <c:pt idx="75">
                  <c:v>78.7</c:v>
                </c:pt>
                <c:pt idx="76">
                  <c:v>89.9</c:v>
                </c:pt>
                <c:pt idx="77">
                  <c:v>77.599999999999994</c:v>
                </c:pt>
                <c:pt idx="78">
                  <c:v>84</c:v>
                </c:pt>
                <c:pt idx="79">
                  <c:v>87.1</c:v>
                </c:pt>
                <c:pt idx="80">
                  <c:v>70.400000000000006</c:v>
                </c:pt>
                <c:pt idx="81">
                  <c:v>84.4</c:v>
                </c:pt>
                <c:pt idx="82">
                  <c:v>74</c:v>
                </c:pt>
                <c:pt idx="83">
                  <c:v>59.6</c:v>
                </c:pt>
                <c:pt idx="84">
                  <c:v>87</c:v>
                </c:pt>
                <c:pt idx="85">
                  <c:v>65.8</c:v>
                </c:pt>
                <c:pt idx="86">
                  <c:v>67.7</c:v>
                </c:pt>
                <c:pt idx="87">
                  <c:v>94.3</c:v>
                </c:pt>
                <c:pt idx="88">
                  <c:v>55.6</c:v>
                </c:pt>
                <c:pt idx="89">
                  <c:v>65.099999999999994</c:v>
                </c:pt>
                <c:pt idx="90">
                  <c:v>68.099999999999994</c:v>
                </c:pt>
                <c:pt idx="91">
                  <c:v>93.1</c:v>
                </c:pt>
                <c:pt idx="92">
                  <c:v>59.3</c:v>
                </c:pt>
                <c:pt idx="93">
                  <c:v>64.099999999999994</c:v>
                </c:pt>
                <c:pt idx="94">
                  <c:v>92.4</c:v>
                </c:pt>
                <c:pt idx="95">
                  <c:v>83.4</c:v>
                </c:pt>
                <c:pt idx="96">
                  <c:v>87.1</c:v>
                </c:pt>
                <c:pt idx="97">
                  <c:v>74.7</c:v>
                </c:pt>
                <c:pt idx="98">
                  <c:v>60.4</c:v>
                </c:pt>
                <c:pt idx="99">
                  <c:v>73.5</c:v>
                </c:pt>
                <c:pt idx="100">
                  <c:v>86.4</c:v>
                </c:pt>
                <c:pt idx="101">
                  <c:v>59</c:v>
                </c:pt>
                <c:pt idx="102">
                  <c:v>87.3</c:v>
                </c:pt>
                <c:pt idx="103">
                  <c:v>91.4</c:v>
                </c:pt>
                <c:pt idx="104">
                  <c:v>68.3</c:v>
                </c:pt>
                <c:pt idx="105">
                  <c:v>64.3</c:v>
                </c:pt>
                <c:pt idx="106">
                  <c:v>84</c:v>
                </c:pt>
                <c:pt idx="107">
                  <c:v>59.8</c:v>
                </c:pt>
                <c:pt idx="108">
                  <c:v>60.9</c:v>
                </c:pt>
                <c:pt idx="109">
                  <c:v>76.5</c:v>
                </c:pt>
                <c:pt idx="110">
                  <c:v>82.5</c:v>
                </c:pt>
                <c:pt idx="111">
                  <c:v>91.3</c:v>
                </c:pt>
                <c:pt idx="112">
                  <c:v>77.8</c:v>
                </c:pt>
                <c:pt idx="113">
                  <c:v>80.900000000000006</c:v>
                </c:pt>
                <c:pt idx="114">
                  <c:v>92.2</c:v>
                </c:pt>
                <c:pt idx="115">
                  <c:v>70.099999999999994</c:v>
                </c:pt>
                <c:pt idx="116">
                  <c:v>80</c:v>
                </c:pt>
                <c:pt idx="117">
                  <c:v>59.5</c:v>
                </c:pt>
                <c:pt idx="118">
                  <c:v>71</c:v>
                </c:pt>
                <c:pt idx="119">
                  <c:v>71.599999999999994</c:v>
                </c:pt>
                <c:pt idx="120">
                  <c:v>80.599999999999994</c:v>
                </c:pt>
                <c:pt idx="121">
                  <c:v>70.599999999999994</c:v>
                </c:pt>
                <c:pt idx="122">
                  <c:v>88.1</c:v>
                </c:pt>
                <c:pt idx="123">
                  <c:v>89.8</c:v>
                </c:pt>
                <c:pt idx="124">
                  <c:v>89.8</c:v>
                </c:pt>
                <c:pt idx="125">
                  <c:v>73</c:v>
                </c:pt>
                <c:pt idx="126">
                  <c:v>60.4</c:v>
                </c:pt>
                <c:pt idx="127">
                  <c:v>93</c:v>
                </c:pt>
                <c:pt idx="128">
                  <c:v>91.1</c:v>
                </c:pt>
                <c:pt idx="129">
                  <c:v>55.2</c:v>
                </c:pt>
                <c:pt idx="130">
                  <c:v>73.099999999999994</c:v>
                </c:pt>
                <c:pt idx="131">
                  <c:v>73.5</c:v>
                </c:pt>
                <c:pt idx="132">
                  <c:v>78.8</c:v>
                </c:pt>
                <c:pt idx="133">
                  <c:v>69.8</c:v>
                </c:pt>
                <c:pt idx="134">
                  <c:v>82.2</c:v>
                </c:pt>
                <c:pt idx="135">
                  <c:v>68.599999999999994</c:v>
                </c:pt>
                <c:pt idx="136">
                  <c:v>83.2</c:v>
                </c:pt>
                <c:pt idx="137">
                  <c:v>94.7</c:v>
                </c:pt>
                <c:pt idx="138">
                  <c:v>68.2</c:v>
                </c:pt>
                <c:pt idx="139">
                  <c:v>82.5</c:v>
                </c:pt>
                <c:pt idx="140">
                  <c:v>73.8</c:v>
                </c:pt>
                <c:pt idx="141">
                  <c:v>71</c:v>
                </c:pt>
                <c:pt idx="142">
                  <c:v>71.599999999999994</c:v>
                </c:pt>
                <c:pt idx="143">
                  <c:v>60.8</c:v>
                </c:pt>
                <c:pt idx="144">
                  <c:v>61.8</c:v>
                </c:pt>
                <c:pt idx="145">
                  <c:v>70.5</c:v>
                </c:pt>
                <c:pt idx="146">
                  <c:v>58.2</c:v>
                </c:pt>
                <c:pt idx="147">
                  <c:v>76.599999999999994</c:v>
                </c:pt>
                <c:pt idx="148">
                  <c:v>65.8</c:v>
                </c:pt>
                <c:pt idx="149">
                  <c:v>61.6</c:v>
                </c:pt>
                <c:pt idx="150">
                  <c:v>93.2</c:v>
                </c:pt>
                <c:pt idx="151">
                  <c:v>72.900000000000006</c:v>
                </c:pt>
                <c:pt idx="152">
                  <c:v>65.400000000000006</c:v>
                </c:pt>
                <c:pt idx="153">
                  <c:v>90</c:v>
                </c:pt>
                <c:pt idx="154">
                  <c:v>76.7</c:v>
                </c:pt>
                <c:pt idx="155">
                  <c:v>55.4</c:v>
                </c:pt>
                <c:pt idx="156">
                  <c:v>67.400000000000006</c:v>
                </c:pt>
                <c:pt idx="157">
                  <c:v>95.4</c:v>
                </c:pt>
                <c:pt idx="158">
                  <c:v>61.4</c:v>
                </c:pt>
                <c:pt idx="159">
                  <c:v>76.8</c:v>
                </c:pt>
                <c:pt idx="160">
                  <c:v>68.2</c:v>
                </c:pt>
                <c:pt idx="161">
                  <c:v>62.3</c:v>
                </c:pt>
                <c:pt idx="162">
                  <c:v>72.8</c:v>
                </c:pt>
                <c:pt idx="163">
                  <c:v>71.2</c:v>
                </c:pt>
                <c:pt idx="164">
                  <c:v>67.8</c:v>
                </c:pt>
                <c:pt idx="165">
                  <c:v>67.400000000000006</c:v>
                </c:pt>
                <c:pt idx="166">
                  <c:v>64.2</c:v>
                </c:pt>
                <c:pt idx="167">
                  <c:v>93.9</c:v>
                </c:pt>
                <c:pt idx="168">
                  <c:v>61.8</c:v>
                </c:pt>
                <c:pt idx="169">
                  <c:v>79.7</c:v>
                </c:pt>
                <c:pt idx="170">
                  <c:v>79.400000000000006</c:v>
                </c:pt>
                <c:pt idx="171">
                  <c:v>89.8</c:v>
                </c:pt>
                <c:pt idx="172">
                  <c:v>91.8</c:v>
                </c:pt>
                <c:pt idx="173">
                  <c:v>68.900000000000006</c:v>
                </c:pt>
                <c:pt idx="174">
                  <c:v>83.7</c:v>
                </c:pt>
                <c:pt idx="175">
                  <c:v>64.5</c:v>
                </c:pt>
                <c:pt idx="176">
                  <c:v>84.3</c:v>
                </c:pt>
                <c:pt idx="177">
                  <c:v>63.7</c:v>
                </c:pt>
                <c:pt idx="178">
                  <c:v>60.7</c:v>
                </c:pt>
                <c:pt idx="179">
                  <c:v>58.1</c:v>
                </c:pt>
                <c:pt idx="180">
                  <c:v>82.8</c:v>
                </c:pt>
                <c:pt idx="181">
                  <c:v>62.7</c:v>
                </c:pt>
                <c:pt idx="182">
                  <c:v>69.900000000000006</c:v>
                </c:pt>
                <c:pt idx="183">
                  <c:v>59.3</c:v>
                </c:pt>
                <c:pt idx="184">
                  <c:v>61</c:v>
                </c:pt>
                <c:pt idx="185">
                  <c:v>92.7</c:v>
                </c:pt>
                <c:pt idx="186">
                  <c:v>95.5</c:v>
                </c:pt>
                <c:pt idx="187">
                  <c:v>65.400000000000006</c:v>
                </c:pt>
                <c:pt idx="188">
                  <c:v>58.4</c:v>
                </c:pt>
                <c:pt idx="189">
                  <c:v>89.6</c:v>
                </c:pt>
                <c:pt idx="190">
                  <c:v>85.3</c:v>
                </c:pt>
                <c:pt idx="191">
                  <c:v>70.5</c:v>
                </c:pt>
                <c:pt idx="192">
                  <c:v>61.3</c:v>
                </c:pt>
                <c:pt idx="193">
                  <c:v>90.8</c:v>
                </c:pt>
                <c:pt idx="194">
                  <c:v>94.4</c:v>
                </c:pt>
                <c:pt idx="195">
                  <c:v>65</c:v>
                </c:pt>
                <c:pt idx="196">
                  <c:v>55.7</c:v>
                </c:pt>
                <c:pt idx="197">
                  <c:v>81.7</c:v>
                </c:pt>
                <c:pt idx="198">
                  <c:v>83.1</c:v>
                </c:pt>
                <c:pt idx="199">
                  <c:v>58.6</c:v>
                </c:pt>
                <c:pt idx="200">
                  <c:v>67.099999999999994</c:v>
                </c:pt>
                <c:pt idx="201">
                  <c:v>62</c:v>
                </c:pt>
                <c:pt idx="202">
                  <c:v>59.2</c:v>
                </c:pt>
                <c:pt idx="203">
                  <c:v>70.3</c:v>
                </c:pt>
                <c:pt idx="204">
                  <c:v>88.7</c:v>
                </c:pt>
                <c:pt idx="205">
                  <c:v>59.4</c:v>
                </c:pt>
                <c:pt idx="206">
                  <c:v>88.7</c:v>
                </c:pt>
                <c:pt idx="207">
                  <c:v>62.3</c:v>
                </c:pt>
                <c:pt idx="208">
                  <c:v>58.3</c:v>
                </c:pt>
                <c:pt idx="209">
                  <c:v>68.099999999999994</c:v>
                </c:pt>
                <c:pt idx="210">
                  <c:v>75.599999999999994</c:v>
                </c:pt>
                <c:pt idx="211">
                  <c:v>90.1</c:v>
                </c:pt>
                <c:pt idx="212">
                  <c:v>84.8</c:v>
                </c:pt>
                <c:pt idx="213">
                  <c:v>58.2</c:v>
                </c:pt>
                <c:pt idx="214">
                  <c:v>93.5</c:v>
                </c:pt>
                <c:pt idx="215">
                  <c:v>84.1</c:v>
                </c:pt>
                <c:pt idx="216">
                  <c:v>80.3</c:v>
                </c:pt>
                <c:pt idx="217">
                  <c:v>68.400000000000006</c:v>
                </c:pt>
                <c:pt idx="218">
                  <c:v>59.9</c:v>
                </c:pt>
                <c:pt idx="219">
                  <c:v>73.3</c:v>
                </c:pt>
                <c:pt idx="220">
                  <c:v>64.2</c:v>
                </c:pt>
                <c:pt idx="221">
                  <c:v>66.3</c:v>
                </c:pt>
                <c:pt idx="222">
                  <c:v>90</c:v>
                </c:pt>
                <c:pt idx="223">
                  <c:v>62.9</c:v>
                </c:pt>
                <c:pt idx="224">
                  <c:v>95</c:v>
                </c:pt>
                <c:pt idx="225">
                  <c:v>75.8</c:v>
                </c:pt>
                <c:pt idx="226">
                  <c:v>89.2</c:v>
                </c:pt>
                <c:pt idx="227">
                  <c:v>59.9</c:v>
                </c:pt>
                <c:pt idx="228">
                  <c:v>98</c:v>
                </c:pt>
                <c:pt idx="229">
                  <c:v>81.5</c:v>
                </c:pt>
                <c:pt idx="230">
                  <c:v>91.9</c:v>
                </c:pt>
                <c:pt idx="231">
                  <c:v>61.3</c:v>
                </c:pt>
                <c:pt idx="232">
                  <c:v>92.8</c:v>
                </c:pt>
                <c:pt idx="233">
                  <c:v>82.3</c:v>
                </c:pt>
                <c:pt idx="234">
                  <c:v>79.900000000000006</c:v>
                </c:pt>
                <c:pt idx="235">
                  <c:v>74</c:v>
                </c:pt>
                <c:pt idx="236">
                  <c:v>82.9</c:v>
                </c:pt>
                <c:pt idx="237">
                  <c:v>75.5</c:v>
                </c:pt>
                <c:pt idx="238">
                  <c:v>58.8</c:v>
                </c:pt>
                <c:pt idx="239">
                  <c:v>79.2</c:v>
                </c:pt>
                <c:pt idx="240">
                  <c:v>60.3</c:v>
                </c:pt>
                <c:pt idx="241">
                  <c:v>80.8</c:v>
                </c:pt>
                <c:pt idx="242">
                  <c:v>89.1</c:v>
                </c:pt>
                <c:pt idx="243">
                  <c:v>71.599999999999994</c:v>
                </c:pt>
                <c:pt idx="244">
                  <c:v>94.7</c:v>
                </c:pt>
                <c:pt idx="245">
                  <c:v>78.099999999999994</c:v>
                </c:pt>
                <c:pt idx="246">
                  <c:v>84.3</c:v>
                </c:pt>
                <c:pt idx="247">
                  <c:v>81.2</c:v>
                </c:pt>
                <c:pt idx="248">
                  <c:v>62.2</c:v>
                </c:pt>
                <c:pt idx="249">
                  <c:v>66.3</c:v>
                </c:pt>
                <c:pt idx="250">
                  <c:v>79.7</c:v>
                </c:pt>
                <c:pt idx="251">
                  <c:v>70.7</c:v>
                </c:pt>
                <c:pt idx="252">
                  <c:v>60.1</c:v>
                </c:pt>
                <c:pt idx="253">
                  <c:v>69.099999999999994</c:v>
                </c:pt>
                <c:pt idx="254">
                  <c:v>88.2</c:v>
                </c:pt>
                <c:pt idx="255">
                  <c:v>55.1</c:v>
                </c:pt>
                <c:pt idx="256">
                  <c:v>93.6</c:v>
                </c:pt>
                <c:pt idx="257">
                  <c:v>79.400000000000006</c:v>
                </c:pt>
                <c:pt idx="258">
                  <c:v>63.7</c:v>
                </c:pt>
                <c:pt idx="259">
                  <c:v>70.400000000000006</c:v>
                </c:pt>
                <c:pt idx="260">
                  <c:v>58.9</c:v>
                </c:pt>
                <c:pt idx="261">
                  <c:v>78.900000000000006</c:v>
                </c:pt>
                <c:pt idx="262">
                  <c:v>82.1</c:v>
                </c:pt>
                <c:pt idx="263">
                  <c:v>93.9</c:v>
                </c:pt>
                <c:pt idx="264">
                  <c:v>62.4</c:v>
                </c:pt>
                <c:pt idx="265">
                  <c:v>93</c:v>
                </c:pt>
                <c:pt idx="266">
                  <c:v>70.400000000000006</c:v>
                </c:pt>
                <c:pt idx="267">
                  <c:v>80.7</c:v>
                </c:pt>
                <c:pt idx="268">
                  <c:v>77.900000000000006</c:v>
                </c:pt>
                <c:pt idx="269">
                  <c:v>68.7</c:v>
                </c:pt>
                <c:pt idx="270">
                  <c:v>58.9</c:v>
                </c:pt>
                <c:pt idx="271">
                  <c:v>85.8</c:v>
                </c:pt>
                <c:pt idx="272">
                  <c:v>95.5</c:v>
                </c:pt>
                <c:pt idx="273">
                  <c:v>68.599999999999994</c:v>
                </c:pt>
                <c:pt idx="274">
                  <c:v>62.6</c:v>
                </c:pt>
                <c:pt idx="275">
                  <c:v>95.3</c:v>
                </c:pt>
                <c:pt idx="276">
                  <c:v>57.9</c:v>
                </c:pt>
                <c:pt idx="277">
                  <c:v>76.2</c:v>
                </c:pt>
                <c:pt idx="278">
                  <c:v>59.5</c:v>
                </c:pt>
                <c:pt idx="279">
                  <c:v>95.5</c:v>
                </c:pt>
                <c:pt idx="280">
                  <c:v>65.2</c:v>
                </c:pt>
                <c:pt idx="281">
                  <c:v>81.900000000000006</c:v>
                </c:pt>
                <c:pt idx="282">
                  <c:v>66.400000000000006</c:v>
                </c:pt>
                <c:pt idx="283">
                  <c:v>75</c:v>
                </c:pt>
                <c:pt idx="284">
                  <c:v>90.2</c:v>
                </c:pt>
                <c:pt idx="285">
                  <c:v>93.7</c:v>
                </c:pt>
                <c:pt idx="286">
                  <c:v>73.7</c:v>
                </c:pt>
                <c:pt idx="287">
                  <c:v>91.8</c:v>
                </c:pt>
                <c:pt idx="288">
                  <c:v>87.6</c:v>
                </c:pt>
                <c:pt idx="289">
                  <c:v>71.5</c:v>
                </c:pt>
                <c:pt idx="290">
                  <c:v>65.2</c:v>
                </c:pt>
                <c:pt idx="291">
                  <c:v>60.8</c:v>
                </c:pt>
                <c:pt idx="292">
                  <c:v>75.8</c:v>
                </c:pt>
                <c:pt idx="293">
                  <c:v>92.8</c:v>
                </c:pt>
                <c:pt idx="294">
                  <c:v>72.099999999999994</c:v>
                </c:pt>
                <c:pt idx="295">
                  <c:v>70</c:v>
                </c:pt>
                <c:pt idx="296">
                  <c:v>64.5</c:v>
                </c:pt>
                <c:pt idx="297">
                  <c:v>62.4</c:v>
                </c:pt>
                <c:pt idx="298">
                  <c:v>77.400000000000006</c:v>
                </c:pt>
                <c:pt idx="299">
                  <c:v>59.6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5-4C94-89DC-957423245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99359"/>
        <c:axId val="176562735"/>
      </c:scatterChart>
      <c:valAx>
        <c:axId val="17539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2735"/>
        <c:crosses val="autoZero"/>
        <c:crossBetween val="midCat"/>
      </c:valAx>
      <c:valAx>
        <c:axId val="1765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9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by department!PivotTable2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chemeClr val="tx1"/>
                </a:solidFill>
              </a:rPr>
              <a:t>AVERAGE</a:t>
            </a:r>
            <a:r>
              <a:rPr lang="en-IN" sz="2000" b="1" baseline="0">
                <a:solidFill>
                  <a:schemeClr val="tx1"/>
                </a:solidFill>
              </a:rPr>
              <a:t> SALARY BY DEPARTMENT</a:t>
            </a:r>
            <a:endParaRPr lang="en-IN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salary by department'!$A$4:$A$11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'Average salary by department'!$B$4:$B$11</c:f>
              <c:numCache>
                <c:formatCode>General</c:formatCode>
                <c:ptCount val="7"/>
                <c:pt idx="0">
                  <c:v>34875</c:v>
                </c:pt>
                <c:pt idx="1">
                  <c:v>53162.79069767442</c:v>
                </c:pt>
                <c:pt idx="2">
                  <c:v>44931.818181818184</c:v>
                </c:pt>
                <c:pt idx="3">
                  <c:v>53481.481481481482</c:v>
                </c:pt>
                <c:pt idx="4">
                  <c:v>46763.15789473684</c:v>
                </c:pt>
                <c:pt idx="5">
                  <c:v>37606.060606060608</c:v>
                </c:pt>
                <c:pt idx="6">
                  <c:v>42562.5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2-44E8-938F-267BBC314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19919"/>
        <c:axId val="72164527"/>
      </c:barChart>
      <c:catAx>
        <c:axId val="6261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4527"/>
        <c:crosses val="autoZero"/>
        <c:auto val="1"/>
        <c:lblAlgn val="ctr"/>
        <c:lblOffset val="100"/>
        <c:noMultiLvlLbl val="0"/>
      </c:catAx>
      <c:valAx>
        <c:axId val="7216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by position!PivotTable3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800" b="1">
                <a:solidFill>
                  <a:schemeClr val="tx1"/>
                </a:solidFill>
              </a:rPr>
              <a:t>AVERAGE</a:t>
            </a:r>
            <a:r>
              <a:rPr lang="en-IN" sz="2800" b="1" baseline="0">
                <a:solidFill>
                  <a:schemeClr val="tx1"/>
                </a:solidFill>
              </a:rPr>
              <a:t> SALARY BY POSITION</a:t>
            </a:r>
            <a:endParaRPr lang="en-IN" sz="2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position'!$B$3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by position'!$A$4:$A$26</c:f>
              <c:strCache>
                <c:ptCount val="22"/>
                <c:pt idx="0">
                  <c:v>Accountant</c:v>
                </c:pt>
                <c:pt idx="1">
                  <c:v>Business Development Executive</c:v>
                </c:pt>
                <c:pt idx="2">
                  <c:v>Customer Success Executive</c:v>
                </c:pt>
                <c:pt idx="3">
                  <c:v>Data Analyst</c:v>
                </c:pt>
                <c:pt idx="4">
                  <c:v>Digital Marketing Analyst</c:v>
                </c:pt>
                <c:pt idx="5">
                  <c:v>Finance Manager</c:v>
                </c:pt>
                <c:pt idx="6">
                  <c:v>Financial Analyst</c:v>
                </c:pt>
                <c:pt idx="7">
                  <c:v>HR Executive</c:v>
                </c:pt>
                <c:pt idx="8">
                  <c:v>HR Manager</c:v>
                </c:pt>
                <c:pt idx="9">
                  <c:v>Marketing Executive</c:v>
                </c:pt>
                <c:pt idx="10">
                  <c:v>Marketing Manager</c:v>
                </c:pt>
                <c:pt idx="11">
                  <c:v>Operations Executive</c:v>
                </c:pt>
                <c:pt idx="12">
                  <c:v>Operations Manager</c:v>
                </c:pt>
                <c:pt idx="13">
                  <c:v>Process Analyst</c:v>
                </c:pt>
                <c:pt idx="14">
                  <c:v>QA Engineer</c:v>
                </c:pt>
                <c:pt idx="15">
                  <c:v>Recruiter</c:v>
                </c:pt>
                <c:pt idx="16">
                  <c:v>Sales Executive</c:v>
                </c:pt>
                <c:pt idx="17">
                  <c:v>Sales Manager</c:v>
                </c:pt>
                <c:pt idx="18">
                  <c:v>Software Developer</c:v>
                </c:pt>
                <c:pt idx="19">
                  <c:v>Support Executive</c:v>
                </c:pt>
                <c:pt idx="20">
                  <c:v>Support Lead</c:v>
                </c:pt>
                <c:pt idx="21">
                  <c:v>System Administrator</c:v>
                </c:pt>
              </c:strCache>
            </c:strRef>
          </c:cat>
          <c:val>
            <c:numRef>
              <c:f>'Average salary by position'!$B$4:$B$26</c:f>
              <c:numCache>
                <c:formatCode>General</c:formatCode>
                <c:ptCount val="22"/>
                <c:pt idx="0">
                  <c:v>52466.666666666664</c:v>
                </c:pt>
                <c:pt idx="1">
                  <c:v>41562.5</c:v>
                </c:pt>
                <c:pt idx="2">
                  <c:v>34285.714285714283</c:v>
                </c:pt>
                <c:pt idx="3">
                  <c:v>60800</c:v>
                </c:pt>
                <c:pt idx="4">
                  <c:v>49125</c:v>
                </c:pt>
                <c:pt idx="5">
                  <c:v>51571.428571428572</c:v>
                </c:pt>
                <c:pt idx="6">
                  <c:v>55500</c:v>
                </c:pt>
                <c:pt idx="7">
                  <c:v>45750</c:v>
                </c:pt>
                <c:pt idx="8">
                  <c:v>44250</c:v>
                </c:pt>
                <c:pt idx="9">
                  <c:v>47846.153846153844</c:v>
                </c:pt>
                <c:pt idx="10">
                  <c:v>41000</c:v>
                </c:pt>
                <c:pt idx="11">
                  <c:v>41333.333333333336</c:v>
                </c:pt>
                <c:pt idx="12">
                  <c:v>36888.888888888891</c:v>
                </c:pt>
                <c:pt idx="13">
                  <c:v>34416.666666666664</c:v>
                </c:pt>
                <c:pt idx="14">
                  <c:v>48357.142857142855</c:v>
                </c:pt>
                <c:pt idx="15">
                  <c:v>44750</c:v>
                </c:pt>
                <c:pt idx="16">
                  <c:v>40600</c:v>
                </c:pt>
                <c:pt idx="17">
                  <c:v>45235.294117647056</c:v>
                </c:pt>
                <c:pt idx="18">
                  <c:v>56076.923076923078</c:v>
                </c:pt>
                <c:pt idx="19">
                  <c:v>35928.571428571428</c:v>
                </c:pt>
                <c:pt idx="20">
                  <c:v>34333.333333333336</c:v>
                </c:pt>
                <c:pt idx="21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4-419F-A5C4-3AD0AF42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18511"/>
        <c:axId val="72204847"/>
      </c:barChart>
      <c:catAx>
        <c:axId val="14661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2204847"/>
        <c:crosses val="autoZero"/>
        <c:auto val="1"/>
        <c:lblAlgn val="ctr"/>
        <c:lblOffset val="100"/>
        <c:noMultiLvlLbl val="0"/>
      </c:catAx>
      <c:valAx>
        <c:axId val="7220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anylatic.xlsx]Average salary and  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chemeClr val="tx1"/>
                </a:solidFill>
              </a:rPr>
              <a:t>Average</a:t>
            </a:r>
            <a:r>
              <a:rPr lang="en-IN" sz="2000" b="1" baseline="0">
                <a:solidFill>
                  <a:schemeClr val="tx1"/>
                </a:solidFill>
              </a:rPr>
              <a:t> salary by location</a:t>
            </a:r>
            <a:endParaRPr lang="en-IN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'Average salary and 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and  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'Average salary and  '!$B$4:$B$9</c:f>
              <c:numCache>
                <c:formatCode>General</c:formatCode>
                <c:ptCount val="5"/>
                <c:pt idx="0">
                  <c:v>47133.333333333336</c:v>
                </c:pt>
                <c:pt idx="1">
                  <c:v>45387.096774193546</c:v>
                </c:pt>
                <c:pt idx="2">
                  <c:v>43365.079365079364</c:v>
                </c:pt>
                <c:pt idx="3">
                  <c:v>44410.714285714283</c:v>
                </c:pt>
                <c:pt idx="4">
                  <c:v>46542.372881355936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B-4137-840E-D3C68DEE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415599"/>
        <c:axId val="176688975"/>
      </c:barChart>
      <c:catAx>
        <c:axId val="17541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88975"/>
        <c:crosses val="autoZero"/>
        <c:auto val="1"/>
        <c:lblAlgn val="ctr"/>
        <c:lblOffset val="100"/>
        <c:noMultiLvlLbl val="0"/>
      </c:catAx>
      <c:valAx>
        <c:axId val="17668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>
                <a:solidFill>
                  <a:schemeClr val="tx1"/>
                </a:solidFill>
              </a:rPr>
              <a:t>Salary vs exprience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Employee_Master!$G$2:$H$301</c:f>
              <c:multiLvlStrCache>
                <c:ptCount val="300"/>
                <c:lvl>
                  <c:pt idx="0">
                    <c:v>2021-09-30</c:v>
                  </c:pt>
                  <c:pt idx="1">
                    <c:v>2025-10-01</c:v>
                  </c:pt>
                  <c:pt idx="2">
                    <c:v>2022-10-25</c:v>
                  </c:pt>
                  <c:pt idx="3">
                    <c:v>2020-05-26</c:v>
                  </c:pt>
                  <c:pt idx="4">
                    <c:v>2026-06-01</c:v>
                  </c:pt>
                  <c:pt idx="5">
                    <c:v>2026-07-08</c:v>
                  </c:pt>
                  <c:pt idx="6">
                    <c:v>2023-04-04</c:v>
                  </c:pt>
                  <c:pt idx="7">
                    <c:v>2025-05-12</c:v>
                  </c:pt>
                  <c:pt idx="8">
                    <c:v>2025-01-16</c:v>
                  </c:pt>
                  <c:pt idx="9">
                    <c:v>2026-01-14</c:v>
                  </c:pt>
                  <c:pt idx="10">
                    <c:v>2026-08-24</c:v>
                  </c:pt>
                  <c:pt idx="11">
                    <c:v>2021-01-01</c:v>
                  </c:pt>
                  <c:pt idx="12">
                    <c:v>2024-06-24</c:v>
                  </c:pt>
                  <c:pt idx="13">
                    <c:v>2024-12-21</c:v>
                  </c:pt>
                  <c:pt idx="14">
                    <c:v>2025-01-17</c:v>
                  </c:pt>
                  <c:pt idx="15">
                    <c:v>2019-03-28</c:v>
                  </c:pt>
                  <c:pt idx="16">
                    <c:v>2024-10-06</c:v>
                  </c:pt>
                  <c:pt idx="17">
                    <c:v>2022-12-22</c:v>
                  </c:pt>
                  <c:pt idx="18">
                    <c:v>2021-10-15</c:v>
                  </c:pt>
                  <c:pt idx="19">
                    <c:v>2021-08-26</c:v>
                  </c:pt>
                  <c:pt idx="20">
                    <c:v>2022-03-14</c:v>
                  </c:pt>
                  <c:pt idx="21">
                    <c:v>2019-07-25</c:v>
                  </c:pt>
                  <c:pt idx="22">
                    <c:v>2020-05-06</c:v>
                  </c:pt>
                  <c:pt idx="23">
                    <c:v>2026-07-06</c:v>
                  </c:pt>
                  <c:pt idx="24">
                    <c:v>2025-12-19</c:v>
                  </c:pt>
                  <c:pt idx="25">
                    <c:v>2025-02-03</c:v>
                  </c:pt>
                  <c:pt idx="26">
                    <c:v>2025-03-16</c:v>
                  </c:pt>
                  <c:pt idx="27">
                    <c:v>2019-01-15</c:v>
                  </c:pt>
                  <c:pt idx="28">
                    <c:v>2019-11-05</c:v>
                  </c:pt>
                  <c:pt idx="29">
                    <c:v>2019-06-13</c:v>
                  </c:pt>
                  <c:pt idx="30">
                    <c:v>2020-10-27</c:v>
                  </c:pt>
                  <c:pt idx="31">
                    <c:v>2019-06-08</c:v>
                  </c:pt>
                  <c:pt idx="32">
                    <c:v>2022-02-15</c:v>
                  </c:pt>
                  <c:pt idx="33">
                    <c:v>2021-12-23</c:v>
                  </c:pt>
                  <c:pt idx="34">
                    <c:v>2021-02-17</c:v>
                  </c:pt>
                  <c:pt idx="35">
                    <c:v>2022-05-15</c:v>
                  </c:pt>
                  <c:pt idx="36">
                    <c:v>2026-08-06</c:v>
                  </c:pt>
                  <c:pt idx="37">
                    <c:v>2023-12-15</c:v>
                  </c:pt>
                  <c:pt idx="38">
                    <c:v>2021-08-20</c:v>
                  </c:pt>
                  <c:pt idx="39">
                    <c:v>2024-07-17</c:v>
                  </c:pt>
                  <c:pt idx="40">
                    <c:v>2025-04-02</c:v>
                  </c:pt>
                  <c:pt idx="41">
                    <c:v>2024-01-01</c:v>
                  </c:pt>
                  <c:pt idx="42">
                    <c:v>2022-01-29</c:v>
                  </c:pt>
                  <c:pt idx="43">
                    <c:v>2023-08-27</c:v>
                  </c:pt>
                  <c:pt idx="44">
                    <c:v>2023-04-08</c:v>
                  </c:pt>
                  <c:pt idx="45">
                    <c:v>2023-11-21</c:v>
                  </c:pt>
                  <c:pt idx="46">
                    <c:v>2025-08-21</c:v>
                  </c:pt>
                  <c:pt idx="47">
                    <c:v>2022-10-14</c:v>
                  </c:pt>
                  <c:pt idx="48">
                    <c:v>2021-07-07</c:v>
                  </c:pt>
                  <c:pt idx="49">
                    <c:v>2021-06-11</c:v>
                  </c:pt>
                  <c:pt idx="50">
                    <c:v>2025-06-16</c:v>
                  </c:pt>
                  <c:pt idx="51">
                    <c:v>2019-06-18</c:v>
                  </c:pt>
                  <c:pt idx="52">
                    <c:v>2023-11-11</c:v>
                  </c:pt>
                  <c:pt idx="53">
                    <c:v>2023-11-20</c:v>
                  </c:pt>
                  <c:pt idx="54">
                    <c:v>2019-04-28</c:v>
                  </c:pt>
                  <c:pt idx="55">
                    <c:v>2023-07-23</c:v>
                  </c:pt>
                  <c:pt idx="56">
                    <c:v>2021-06-26</c:v>
                  </c:pt>
                  <c:pt idx="57">
                    <c:v>2022-06-09</c:v>
                  </c:pt>
                  <c:pt idx="58">
                    <c:v>2025-08-11</c:v>
                  </c:pt>
                  <c:pt idx="59">
                    <c:v>2019-07-06</c:v>
                  </c:pt>
                  <c:pt idx="60">
                    <c:v>2024-05-14</c:v>
                  </c:pt>
                  <c:pt idx="61">
                    <c:v>2025-04-24</c:v>
                  </c:pt>
                  <c:pt idx="62">
                    <c:v>2023-04-08</c:v>
                  </c:pt>
                  <c:pt idx="63">
                    <c:v>2021-12-19</c:v>
                  </c:pt>
                  <c:pt idx="64">
                    <c:v>2019-05-14</c:v>
                  </c:pt>
                  <c:pt idx="65">
                    <c:v>2021-12-24</c:v>
                  </c:pt>
                  <c:pt idx="66">
                    <c:v>2023-07-07</c:v>
                  </c:pt>
                  <c:pt idx="67">
                    <c:v>2026-07-24</c:v>
                  </c:pt>
                  <c:pt idx="68">
                    <c:v>2026-04-22</c:v>
                  </c:pt>
                  <c:pt idx="69">
                    <c:v>2022-09-12</c:v>
                  </c:pt>
                  <c:pt idx="70">
                    <c:v>2023-07-14</c:v>
                  </c:pt>
                  <c:pt idx="71">
                    <c:v>2019-07-31</c:v>
                  </c:pt>
                  <c:pt idx="72">
                    <c:v>2025-03-06</c:v>
                  </c:pt>
                  <c:pt idx="73">
                    <c:v>2024-05-30</c:v>
                  </c:pt>
                  <c:pt idx="74">
                    <c:v>2022-10-24</c:v>
                  </c:pt>
                  <c:pt idx="75">
                    <c:v>2022-09-23</c:v>
                  </c:pt>
                  <c:pt idx="76">
                    <c:v>2022-07-27</c:v>
                  </c:pt>
                  <c:pt idx="77">
                    <c:v>2020-02-13</c:v>
                  </c:pt>
                  <c:pt idx="78">
                    <c:v>2026-04-15</c:v>
                  </c:pt>
                  <c:pt idx="79">
                    <c:v>2021-07-20</c:v>
                  </c:pt>
                  <c:pt idx="80">
                    <c:v>2019-07-08</c:v>
                  </c:pt>
                  <c:pt idx="81">
                    <c:v>2025-12-13</c:v>
                  </c:pt>
                  <c:pt idx="82">
                    <c:v>2022-03-24</c:v>
                  </c:pt>
                  <c:pt idx="83">
                    <c:v>2024-06-02</c:v>
                  </c:pt>
                  <c:pt idx="84">
                    <c:v>2019-02-03</c:v>
                  </c:pt>
                  <c:pt idx="85">
                    <c:v>2025-12-18</c:v>
                  </c:pt>
                  <c:pt idx="86">
                    <c:v>2023-02-03</c:v>
                  </c:pt>
                  <c:pt idx="87">
                    <c:v>2021-11-18</c:v>
                  </c:pt>
                  <c:pt idx="88">
                    <c:v>2025-04-01</c:v>
                  </c:pt>
                  <c:pt idx="89">
                    <c:v>2026-07-27</c:v>
                  </c:pt>
                  <c:pt idx="90">
                    <c:v>2020-04-22</c:v>
                  </c:pt>
                  <c:pt idx="91">
                    <c:v>2020-09-24</c:v>
                  </c:pt>
                  <c:pt idx="92">
                    <c:v>2023-12-27</c:v>
                  </c:pt>
                  <c:pt idx="93">
                    <c:v>2026-06-07</c:v>
                  </c:pt>
                  <c:pt idx="94">
                    <c:v>2025-03-20</c:v>
                  </c:pt>
                  <c:pt idx="95">
                    <c:v>2020-03-26</c:v>
                  </c:pt>
                  <c:pt idx="96">
                    <c:v>2020-06-03</c:v>
                  </c:pt>
                  <c:pt idx="97">
                    <c:v>2022-05-20</c:v>
                  </c:pt>
                  <c:pt idx="98">
                    <c:v>2019-11-27</c:v>
                  </c:pt>
                  <c:pt idx="99">
                    <c:v>2025-10-15</c:v>
                  </c:pt>
                  <c:pt idx="100">
                    <c:v>2022-10-20</c:v>
                  </c:pt>
                  <c:pt idx="101">
                    <c:v>2019-12-16</c:v>
                  </c:pt>
                  <c:pt idx="102">
                    <c:v>2023-08-10</c:v>
                  </c:pt>
                  <c:pt idx="103">
                    <c:v>2021-07-07</c:v>
                  </c:pt>
                  <c:pt idx="104">
                    <c:v>2019-04-29</c:v>
                  </c:pt>
                  <c:pt idx="105">
                    <c:v>2024-12-12</c:v>
                  </c:pt>
                  <c:pt idx="106">
                    <c:v>2020-09-29</c:v>
                  </c:pt>
                  <c:pt idx="107">
                    <c:v>2023-10-27</c:v>
                  </c:pt>
                  <c:pt idx="108">
                    <c:v>2021-04-17</c:v>
                  </c:pt>
                  <c:pt idx="109">
                    <c:v>2021-07-31</c:v>
                  </c:pt>
                  <c:pt idx="110">
                    <c:v>2025-06-16</c:v>
                  </c:pt>
                  <c:pt idx="111">
                    <c:v>2023-11-24</c:v>
                  </c:pt>
                  <c:pt idx="112">
                    <c:v>2020-11-19</c:v>
                  </c:pt>
                  <c:pt idx="113">
                    <c:v>2020-12-11</c:v>
                  </c:pt>
                  <c:pt idx="114">
                    <c:v>2026-03-18</c:v>
                  </c:pt>
                  <c:pt idx="115">
                    <c:v>2019-08-19</c:v>
                  </c:pt>
                  <c:pt idx="116">
                    <c:v>2025-11-24</c:v>
                  </c:pt>
                  <c:pt idx="117">
                    <c:v>2024-01-20</c:v>
                  </c:pt>
                  <c:pt idx="118">
                    <c:v>2024-11-16</c:v>
                  </c:pt>
                  <c:pt idx="119">
                    <c:v>2026-08-10</c:v>
                  </c:pt>
                  <c:pt idx="120">
                    <c:v>2026-05-11</c:v>
                  </c:pt>
                  <c:pt idx="121">
                    <c:v>2024-09-13</c:v>
                  </c:pt>
                  <c:pt idx="122">
                    <c:v>2022-04-26</c:v>
                  </c:pt>
                  <c:pt idx="123">
                    <c:v>2026-01-02</c:v>
                  </c:pt>
                  <c:pt idx="124">
                    <c:v>2021-08-16</c:v>
                  </c:pt>
                  <c:pt idx="125">
                    <c:v>2024-11-30</c:v>
                  </c:pt>
                  <c:pt idx="126">
                    <c:v>2020-02-25</c:v>
                  </c:pt>
                  <c:pt idx="127">
                    <c:v>2024-01-22</c:v>
                  </c:pt>
                  <c:pt idx="128">
                    <c:v>2021-07-08</c:v>
                  </c:pt>
                  <c:pt idx="129">
                    <c:v>2025-11-25</c:v>
                  </c:pt>
                  <c:pt idx="130">
                    <c:v>2021-08-31</c:v>
                  </c:pt>
                  <c:pt idx="131">
                    <c:v>2022-04-08</c:v>
                  </c:pt>
                  <c:pt idx="132">
                    <c:v>2025-02-06</c:v>
                  </c:pt>
                  <c:pt idx="133">
                    <c:v>2019-10-04</c:v>
                  </c:pt>
                  <c:pt idx="134">
                    <c:v>2026-09-05</c:v>
                  </c:pt>
                  <c:pt idx="135">
                    <c:v>2019-06-21</c:v>
                  </c:pt>
                  <c:pt idx="136">
                    <c:v>2023-01-02</c:v>
                  </c:pt>
                  <c:pt idx="137">
                    <c:v>2023-02-13</c:v>
                  </c:pt>
                  <c:pt idx="138">
                    <c:v>2020-02-25</c:v>
                  </c:pt>
                  <c:pt idx="139">
                    <c:v>2022-01-29</c:v>
                  </c:pt>
                  <c:pt idx="140">
                    <c:v>2020-08-07</c:v>
                  </c:pt>
                  <c:pt idx="141">
                    <c:v>2023-02-28</c:v>
                  </c:pt>
                  <c:pt idx="142">
                    <c:v>2019-04-17</c:v>
                  </c:pt>
                  <c:pt idx="143">
                    <c:v>2020-05-17</c:v>
                  </c:pt>
                  <c:pt idx="144">
                    <c:v>2025-01-29</c:v>
                  </c:pt>
                  <c:pt idx="145">
                    <c:v>2019-04-18</c:v>
                  </c:pt>
                  <c:pt idx="146">
                    <c:v>2023-08-10</c:v>
                  </c:pt>
                  <c:pt idx="147">
                    <c:v>2023-11-08</c:v>
                  </c:pt>
                  <c:pt idx="148">
                    <c:v>2024-10-26</c:v>
                  </c:pt>
                  <c:pt idx="149">
                    <c:v>2025-07-06</c:v>
                  </c:pt>
                  <c:pt idx="150">
                    <c:v>2023-09-03</c:v>
                  </c:pt>
                  <c:pt idx="151">
                    <c:v>2023-12-06</c:v>
                  </c:pt>
                  <c:pt idx="152">
                    <c:v>2023-02-26</c:v>
                  </c:pt>
                  <c:pt idx="153">
                    <c:v>2020-10-16</c:v>
                  </c:pt>
                  <c:pt idx="154">
                    <c:v>2024-07-30</c:v>
                  </c:pt>
                  <c:pt idx="155">
                    <c:v>2025-01-07</c:v>
                  </c:pt>
                  <c:pt idx="156">
                    <c:v>2025-05-24</c:v>
                  </c:pt>
                  <c:pt idx="157">
                    <c:v>2025-04-03</c:v>
                  </c:pt>
                  <c:pt idx="158">
                    <c:v>2022-09-26</c:v>
                  </c:pt>
                  <c:pt idx="159">
                    <c:v>2022-10-09</c:v>
                  </c:pt>
                  <c:pt idx="160">
                    <c:v>2026-07-22</c:v>
                  </c:pt>
                  <c:pt idx="161">
                    <c:v>2024-05-21</c:v>
                  </c:pt>
                  <c:pt idx="162">
                    <c:v>2019-03-19</c:v>
                  </c:pt>
                  <c:pt idx="163">
                    <c:v>2024-11-22</c:v>
                  </c:pt>
                  <c:pt idx="164">
                    <c:v>2021-02-26</c:v>
                  </c:pt>
                  <c:pt idx="165">
                    <c:v>2022-01-25</c:v>
                  </c:pt>
                  <c:pt idx="166">
                    <c:v>2023-12-17</c:v>
                  </c:pt>
                  <c:pt idx="167">
                    <c:v>2026-07-06</c:v>
                  </c:pt>
                  <c:pt idx="168">
                    <c:v>2019-01-22</c:v>
                  </c:pt>
                  <c:pt idx="169">
                    <c:v>2026-04-25</c:v>
                  </c:pt>
                  <c:pt idx="170">
                    <c:v>2022-03-31</c:v>
                  </c:pt>
                  <c:pt idx="171">
                    <c:v>2021-02-28</c:v>
                  </c:pt>
                  <c:pt idx="172">
                    <c:v>2026-07-25</c:v>
                  </c:pt>
                  <c:pt idx="173">
                    <c:v>2024-05-09</c:v>
                  </c:pt>
                  <c:pt idx="174">
                    <c:v>2026-05-01</c:v>
                  </c:pt>
                  <c:pt idx="175">
                    <c:v>2025-11-22</c:v>
                  </c:pt>
                  <c:pt idx="176">
                    <c:v>2026-06-13</c:v>
                  </c:pt>
                  <c:pt idx="177">
                    <c:v>2024-09-01</c:v>
                  </c:pt>
                  <c:pt idx="178">
                    <c:v>2024-09-21</c:v>
                  </c:pt>
                  <c:pt idx="179">
                    <c:v>2025-06-26</c:v>
                  </c:pt>
                  <c:pt idx="180">
                    <c:v>2020-07-08</c:v>
                  </c:pt>
                  <c:pt idx="181">
                    <c:v>2020-04-30</c:v>
                  </c:pt>
                  <c:pt idx="182">
                    <c:v>2023-04-03</c:v>
                  </c:pt>
                  <c:pt idx="183">
                    <c:v>2019-10-03</c:v>
                  </c:pt>
                  <c:pt idx="184">
                    <c:v>2021-06-08</c:v>
                  </c:pt>
                  <c:pt idx="185">
                    <c:v>2022-05-21</c:v>
                  </c:pt>
                  <c:pt idx="186">
                    <c:v>2025-03-26</c:v>
                  </c:pt>
                  <c:pt idx="187">
                    <c:v>2024-04-23</c:v>
                  </c:pt>
                  <c:pt idx="188">
                    <c:v>2021-09-21</c:v>
                  </c:pt>
                  <c:pt idx="189">
                    <c:v>2021-02-09</c:v>
                  </c:pt>
                  <c:pt idx="190">
                    <c:v>2024-05-15</c:v>
                  </c:pt>
                  <c:pt idx="191">
                    <c:v>2021-12-07</c:v>
                  </c:pt>
                  <c:pt idx="192">
                    <c:v>2019-07-07</c:v>
                  </c:pt>
                  <c:pt idx="193">
                    <c:v>2025-05-22</c:v>
                  </c:pt>
                  <c:pt idx="194">
                    <c:v>2020-07-27</c:v>
                  </c:pt>
                  <c:pt idx="195">
                    <c:v>2026-01-27</c:v>
                  </c:pt>
                  <c:pt idx="196">
                    <c:v>2019-01-28</c:v>
                  </c:pt>
                  <c:pt idx="197">
                    <c:v>2021-02-25</c:v>
                  </c:pt>
                  <c:pt idx="198">
                    <c:v>2022-05-13</c:v>
                  </c:pt>
                  <c:pt idx="199">
                    <c:v>2020-12-02</c:v>
                  </c:pt>
                  <c:pt idx="200">
                    <c:v>2019-07-10</c:v>
                  </c:pt>
                  <c:pt idx="201">
                    <c:v>2022-05-10</c:v>
                  </c:pt>
                  <c:pt idx="202">
                    <c:v>2024-08-13</c:v>
                  </c:pt>
                  <c:pt idx="203">
                    <c:v>2021-07-23</c:v>
                  </c:pt>
                  <c:pt idx="204">
                    <c:v>2019-12-03</c:v>
                  </c:pt>
                  <c:pt idx="205">
                    <c:v>2022-01-09</c:v>
                  </c:pt>
                  <c:pt idx="206">
                    <c:v>2022-12-20</c:v>
                  </c:pt>
                  <c:pt idx="207">
                    <c:v>2024-11-04</c:v>
                  </c:pt>
                  <c:pt idx="208">
                    <c:v>2022-02-04</c:v>
                  </c:pt>
                  <c:pt idx="209">
                    <c:v>2020-07-08</c:v>
                  </c:pt>
                  <c:pt idx="210">
                    <c:v>2022-08-06</c:v>
                  </c:pt>
                  <c:pt idx="211">
                    <c:v>2022-02-22</c:v>
                  </c:pt>
                  <c:pt idx="212">
                    <c:v>2021-05-08</c:v>
                  </c:pt>
                  <c:pt idx="213">
                    <c:v>2023-03-25</c:v>
                  </c:pt>
                  <c:pt idx="214">
                    <c:v>2019-05-31</c:v>
                  </c:pt>
                  <c:pt idx="215">
                    <c:v>2026-03-27</c:v>
                  </c:pt>
                  <c:pt idx="216">
                    <c:v>2023-03-13</c:v>
                  </c:pt>
                  <c:pt idx="217">
                    <c:v>2022-11-27</c:v>
                  </c:pt>
                  <c:pt idx="218">
                    <c:v>2019-10-03</c:v>
                  </c:pt>
                  <c:pt idx="219">
                    <c:v>2025-04-12</c:v>
                  </c:pt>
                  <c:pt idx="220">
                    <c:v>2025-08-22</c:v>
                  </c:pt>
                  <c:pt idx="221">
                    <c:v>2020-04-11</c:v>
                  </c:pt>
                  <c:pt idx="222">
                    <c:v>2022-12-12</c:v>
                  </c:pt>
                  <c:pt idx="223">
                    <c:v>2020-04-24</c:v>
                  </c:pt>
                  <c:pt idx="224">
                    <c:v>2026-02-16</c:v>
                  </c:pt>
                  <c:pt idx="225">
                    <c:v>2019-02-09</c:v>
                  </c:pt>
                  <c:pt idx="226">
                    <c:v>2024-06-24</c:v>
                  </c:pt>
                  <c:pt idx="227">
                    <c:v>2024-09-23</c:v>
                  </c:pt>
                  <c:pt idx="228">
                    <c:v>2026-05-01</c:v>
                  </c:pt>
                  <c:pt idx="229">
                    <c:v>2020-11-10</c:v>
                  </c:pt>
                  <c:pt idx="230">
                    <c:v>2022-04-13</c:v>
                  </c:pt>
                  <c:pt idx="231">
                    <c:v>2021-10-19</c:v>
                  </c:pt>
                  <c:pt idx="232">
                    <c:v>2023-03-17</c:v>
                  </c:pt>
                  <c:pt idx="233">
                    <c:v>2024-02-21</c:v>
                  </c:pt>
                  <c:pt idx="234">
                    <c:v>2022-08-15</c:v>
                  </c:pt>
                  <c:pt idx="235">
                    <c:v>2020-10-09</c:v>
                  </c:pt>
                  <c:pt idx="236">
                    <c:v>2021-10-22</c:v>
                  </c:pt>
                  <c:pt idx="237">
                    <c:v>2021-05-24</c:v>
                  </c:pt>
                  <c:pt idx="238">
                    <c:v>2020-06-25</c:v>
                  </c:pt>
                  <c:pt idx="239">
                    <c:v>2024-12-12</c:v>
                  </c:pt>
                  <c:pt idx="240">
                    <c:v>2019-12-22</c:v>
                  </c:pt>
                  <c:pt idx="241">
                    <c:v>2025-03-16</c:v>
                  </c:pt>
                  <c:pt idx="242">
                    <c:v>2022-04-25</c:v>
                  </c:pt>
                  <c:pt idx="243">
                    <c:v>2020-06-24</c:v>
                  </c:pt>
                  <c:pt idx="244">
                    <c:v>2019-10-04</c:v>
                  </c:pt>
                  <c:pt idx="245">
                    <c:v>2026-03-08</c:v>
                  </c:pt>
                  <c:pt idx="246">
                    <c:v>2025-07-30</c:v>
                  </c:pt>
                  <c:pt idx="247">
                    <c:v>2025-11-12</c:v>
                  </c:pt>
                  <c:pt idx="248">
                    <c:v>2024-10-19</c:v>
                  </c:pt>
                  <c:pt idx="249">
                    <c:v>2019-09-19</c:v>
                  </c:pt>
                  <c:pt idx="250">
                    <c:v>2020-10-06</c:v>
                  </c:pt>
                  <c:pt idx="251">
                    <c:v>2024-04-16</c:v>
                  </c:pt>
                  <c:pt idx="252">
                    <c:v>2022-01-16</c:v>
                  </c:pt>
                  <c:pt idx="253">
                    <c:v>2022-06-26</c:v>
                  </c:pt>
                  <c:pt idx="254">
                    <c:v>2023-02-17</c:v>
                  </c:pt>
                  <c:pt idx="255">
                    <c:v>2022-10-04</c:v>
                  </c:pt>
                  <c:pt idx="256">
                    <c:v>2022-02-20</c:v>
                  </c:pt>
                  <c:pt idx="257">
                    <c:v>2025-08-21</c:v>
                  </c:pt>
                  <c:pt idx="258">
                    <c:v>2024-01-29</c:v>
                  </c:pt>
                  <c:pt idx="259">
                    <c:v>2025-01-04</c:v>
                  </c:pt>
                  <c:pt idx="260">
                    <c:v>2021-05-30</c:v>
                  </c:pt>
                  <c:pt idx="261">
                    <c:v>2024-01-27</c:v>
                  </c:pt>
                  <c:pt idx="262">
                    <c:v>2021-03-22</c:v>
                  </c:pt>
                  <c:pt idx="263">
                    <c:v>2020-01-12</c:v>
                  </c:pt>
                  <c:pt idx="264">
                    <c:v>2024-07-25</c:v>
                  </c:pt>
                  <c:pt idx="265">
                    <c:v>2023-08-15</c:v>
                  </c:pt>
                  <c:pt idx="266">
                    <c:v>2019-03-21</c:v>
                  </c:pt>
                  <c:pt idx="267">
                    <c:v>2022-07-30</c:v>
                  </c:pt>
                  <c:pt idx="268">
                    <c:v>2020-02-15</c:v>
                  </c:pt>
                  <c:pt idx="269">
                    <c:v>2025-08-23</c:v>
                  </c:pt>
                  <c:pt idx="270">
                    <c:v>2025-01-29</c:v>
                  </c:pt>
                  <c:pt idx="271">
                    <c:v>2022-10-27</c:v>
                  </c:pt>
                  <c:pt idx="272">
                    <c:v>2023-02-03</c:v>
                  </c:pt>
                  <c:pt idx="273">
                    <c:v>2026-04-13</c:v>
                  </c:pt>
                  <c:pt idx="274">
                    <c:v>2022-06-10</c:v>
                  </c:pt>
                  <c:pt idx="275">
                    <c:v>2020-03-02</c:v>
                  </c:pt>
                  <c:pt idx="276">
                    <c:v>2019-02-16</c:v>
                  </c:pt>
                  <c:pt idx="277">
                    <c:v>2023-08-23</c:v>
                  </c:pt>
                  <c:pt idx="278">
                    <c:v>2022-04-22</c:v>
                  </c:pt>
                  <c:pt idx="279">
                    <c:v>2023-11-02</c:v>
                  </c:pt>
                  <c:pt idx="280">
                    <c:v>2025-01-21</c:v>
                  </c:pt>
                  <c:pt idx="281">
                    <c:v>2026-06-04</c:v>
                  </c:pt>
                  <c:pt idx="282">
                    <c:v>2023-06-17</c:v>
                  </c:pt>
                  <c:pt idx="283">
                    <c:v>2023-12-07</c:v>
                  </c:pt>
                  <c:pt idx="284">
                    <c:v>2021-07-20</c:v>
                  </c:pt>
                  <c:pt idx="285">
                    <c:v>2025-05-28</c:v>
                  </c:pt>
                  <c:pt idx="286">
                    <c:v>2019-06-24</c:v>
                  </c:pt>
                  <c:pt idx="287">
                    <c:v>2022-08-28</c:v>
                  </c:pt>
                  <c:pt idx="288">
                    <c:v>2020-09-04</c:v>
                  </c:pt>
                  <c:pt idx="289">
                    <c:v>2021-12-17</c:v>
                  </c:pt>
                  <c:pt idx="290">
                    <c:v>2023-06-10</c:v>
                  </c:pt>
                  <c:pt idx="291">
                    <c:v>2021-07-22</c:v>
                  </c:pt>
                  <c:pt idx="292">
                    <c:v>2021-05-15</c:v>
                  </c:pt>
                  <c:pt idx="293">
                    <c:v>2024-11-17</c:v>
                  </c:pt>
                  <c:pt idx="294">
                    <c:v>2022-01-27</c:v>
                  </c:pt>
                  <c:pt idx="295">
                    <c:v>2025-03-08</c:v>
                  </c:pt>
                  <c:pt idx="296">
                    <c:v>2025-06-01</c:v>
                  </c:pt>
                  <c:pt idx="297">
                    <c:v>2026-04-05</c:v>
                  </c:pt>
                  <c:pt idx="298">
                    <c:v>2021-10-29</c:v>
                  </c:pt>
                  <c:pt idx="299">
                    <c:v>2026-09-04</c:v>
                  </c:pt>
                </c:lvl>
                <c:lvl>
                  <c:pt idx="0">
                    <c:v>48000</c:v>
                  </c:pt>
                  <c:pt idx="1">
                    <c:v>74000</c:v>
                  </c:pt>
                  <c:pt idx="2">
                    <c:v>35000</c:v>
                  </c:pt>
                  <c:pt idx="3">
                    <c:v>51000</c:v>
                  </c:pt>
                  <c:pt idx="4">
                    <c:v>43000</c:v>
                  </c:pt>
                  <c:pt idx="5">
                    <c:v>49000</c:v>
                  </c:pt>
                  <c:pt idx="6">
                    <c:v>43000</c:v>
                  </c:pt>
                  <c:pt idx="7">
                    <c:v>77000</c:v>
                  </c:pt>
                  <c:pt idx="8">
                    <c:v>43000</c:v>
                  </c:pt>
                  <c:pt idx="9">
                    <c:v>46000</c:v>
                  </c:pt>
                  <c:pt idx="10">
                    <c:v>57000</c:v>
                  </c:pt>
                  <c:pt idx="11">
                    <c:v>34000</c:v>
                  </c:pt>
                  <c:pt idx="12">
                    <c:v>67000</c:v>
                  </c:pt>
                  <c:pt idx="13">
                    <c:v>58000</c:v>
                  </c:pt>
                  <c:pt idx="14">
                    <c:v>36000</c:v>
                  </c:pt>
                  <c:pt idx="15">
                    <c:v>27000</c:v>
                  </c:pt>
                  <c:pt idx="16">
                    <c:v>56000</c:v>
                  </c:pt>
                  <c:pt idx="17">
                    <c:v>55000</c:v>
                  </c:pt>
                  <c:pt idx="18">
                    <c:v>57000</c:v>
                  </c:pt>
                  <c:pt idx="19">
                    <c:v>69000</c:v>
                  </c:pt>
                  <c:pt idx="20">
                    <c:v>28000</c:v>
                  </c:pt>
                  <c:pt idx="21">
                    <c:v>69000</c:v>
                  </c:pt>
                  <c:pt idx="22">
                    <c:v>69000</c:v>
                  </c:pt>
                  <c:pt idx="23">
                    <c:v>38000</c:v>
                  </c:pt>
                  <c:pt idx="24">
                    <c:v>77000</c:v>
                  </c:pt>
                  <c:pt idx="25">
                    <c:v>44000</c:v>
                  </c:pt>
                  <c:pt idx="26">
                    <c:v>46000</c:v>
                  </c:pt>
                  <c:pt idx="27">
                    <c:v>63000</c:v>
                  </c:pt>
                  <c:pt idx="28">
                    <c:v>60000</c:v>
                  </c:pt>
                  <c:pt idx="29">
                    <c:v>37000</c:v>
                  </c:pt>
                  <c:pt idx="30">
                    <c:v>50000</c:v>
                  </c:pt>
                  <c:pt idx="31">
                    <c:v>39000</c:v>
                  </c:pt>
                  <c:pt idx="32">
                    <c:v>75000</c:v>
                  </c:pt>
                  <c:pt idx="33">
                    <c:v>31000</c:v>
                  </c:pt>
                  <c:pt idx="34">
                    <c:v>42000</c:v>
                  </c:pt>
                  <c:pt idx="35">
                    <c:v>61000</c:v>
                  </c:pt>
                  <c:pt idx="36">
                    <c:v>41000</c:v>
                  </c:pt>
                  <c:pt idx="37">
                    <c:v>31000</c:v>
                  </c:pt>
                  <c:pt idx="38">
                    <c:v>39000</c:v>
                  </c:pt>
                  <c:pt idx="39">
                    <c:v>44000</c:v>
                  </c:pt>
                  <c:pt idx="40">
                    <c:v>42000</c:v>
                  </c:pt>
                  <c:pt idx="41">
                    <c:v>51000</c:v>
                  </c:pt>
                  <c:pt idx="42">
                    <c:v>24000</c:v>
                  </c:pt>
                  <c:pt idx="43">
                    <c:v>51000</c:v>
                  </c:pt>
                  <c:pt idx="44">
                    <c:v>18000</c:v>
                  </c:pt>
                  <c:pt idx="45">
                    <c:v>45000</c:v>
                  </c:pt>
                  <c:pt idx="46">
                    <c:v>40000</c:v>
                  </c:pt>
                  <c:pt idx="47">
                    <c:v>44000</c:v>
                  </c:pt>
                  <c:pt idx="48">
                    <c:v>35000</c:v>
                  </c:pt>
                  <c:pt idx="49">
                    <c:v>28000</c:v>
                  </c:pt>
                  <c:pt idx="50">
                    <c:v>34000</c:v>
                  </c:pt>
                  <c:pt idx="51">
                    <c:v>23000</c:v>
                  </c:pt>
                  <c:pt idx="52">
                    <c:v>46000</c:v>
                  </c:pt>
                  <c:pt idx="53">
                    <c:v>39000</c:v>
                  </c:pt>
                  <c:pt idx="54">
                    <c:v>33000</c:v>
                  </c:pt>
                  <c:pt idx="55">
                    <c:v>55000</c:v>
                  </c:pt>
                  <c:pt idx="56">
                    <c:v>31000</c:v>
                  </c:pt>
                  <c:pt idx="57">
                    <c:v>49000</c:v>
                  </c:pt>
                  <c:pt idx="58">
                    <c:v>53000</c:v>
                  </c:pt>
                  <c:pt idx="59">
                    <c:v>43000</c:v>
                  </c:pt>
                  <c:pt idx="60">
                    <c:v>31000</c:v>
                  </c:pt>
                  <c:pt idx="61">
                    <c:v>57000</c:v>
                  </c:pt>
                  <c:pt idx="62">
                    <c:v>33000</c:v>
                  </c:pt>
                  <c:pt idx="63">
                    <c:v>49000</c:v>
                  </c:pt>
                  <c:pt idx="64">
                    <c:v>54000</c:v>
                  </c:pt>
                  <c:pt idx="65">
                    <c:v>69000</c:v>
                  </c:pt>
                  <c:pt idx="66">
                    <c:v>64000</c:v>
                  </c:pt>
                  <c:pt idx="67">
                    <c:v>40000</c:v>
                  </c:pt>
                  <c:pt idx="68">
                    <c:v>30000</c:v>
                  </c:pt>
                  <c:pt idx="69">
                    <c:v>47000</c:v>
                  </c:pt>
                  <c:pt idx="70">
                    <c:v>57000</c:v>
                  </c:pt>
                  <c:pt idx="71">
                    <c:v>31000</c:v>
                  </c:pt>
                  <c:pt idx="72">
                    <c:v>67000</c:v>
                  </c:pt>
                  <c:pt idx="73">
                    <c:v>46000</c:v>
                  </c:pt>
                  <c:pt idx="74">
                    <c:v>44000</c:v>
                  </c:pt>
                  <c:pt idx="75">
                    <c:v>46000</c:v>
                  </c:pt>
                  <c:pt idx="76">
                    <c:v>51000</c:v>
                  </c:pt>
                  <c:pt idx="77">
                    <c:v>28000</c:v>
                  </c:pt>
                  <c:pt idx="78">
                    <c:v>60000</c:v>
                  </c:pt>
                  <c:pt idx="79">
                    <c:v>60000</c:v>
                  </c:pt>
                  <c:pt idx="80">
                    <c:v>40000</c:v>
                  </c:pt>
                  <c:pt idx="81">
                    <c:v>44000</c:v>
                  </c:pt>
                  <c:pt idx="82">
                    <c:v>42000</c:v>
                  </c:pt>
                  <c:pt idx="83">
                    <c:v>31000</c:v>
                  </c:pt>
                  <c:pt idx="84">
                    <c:v>24000</c:v>
                  </c:pt>
                  <c:pt idx="85">
                    <c:v>31000</c:v>
                  </c:pt>
                  <c:pt idx="86">
                    <c:v>35000</c:v>
                  </c:pt>
                  <c:pt idx="87">
                    <c:v>38000</c:v>
                  </c:pt>
                  <c:pt idx="88">
                    <c:v>40000</c:v>
                  </c:pt>
                  <c:pt idx="89">
                    <c:v>67000</c:v>
                  </c:pt>
                  <c:pt idx="90">
                    <c:v>61000</c:v>
                  </c:pt>
                  <c:pt idx="91">
                    <c:v>73000</c:v>
                  </c:pt>
                  <c:pt idx="92">
                    <c:v>64000</c:v>
                  </c:pt>
                  <c:pt idx="93">
                    <c:v>36000</c:v>
                  </c:pt>
                  <c:pt idx="94">
                    <c:v>37000</c:v>
                  </c:pt>
                  <c:pt idx="95">
                    <c:v>48000</c:v>
                  </c:pt>
                  <c:pt idx="96">
                    <c:v>54000</c:v>
                  </c:pt>
                  <c:pt idx="97">
                    <c:v>31000</c:v>
                  </c:pt>
                  <c:pt idx="98">
                    <c:v>49000</c:v>
                  </c:pt>
                  <c:pt idx="99">
                    <c:v>47000</c:v>
                  </c:pt>
                  <c:pt idx="100">
                    <c:v>57000</c:v>
                  </c:pt>
                  <c:pt idx="101">
                    <c:v>36000</c:v>
                  </c:pt>
                  <c:pt idx="102">
                    <c:v>34000</c:v>
                  </c:pt>
                  <c:pt idx="103">
                    <c:v>69000</c:v>
                  </c:pt>
                  <c:pt idx="104">
                    <c:v>48000</c:v>
                  </c:pt>
                  <c:pt idx="105">
                    <c:v>72000</c:v>
                  </c:pt>
                  <c:pt idx="106">
                    <c:v>42000</c:v>
                  </c:pt>
                  <c:pt idx="107">
                    <c:v>56000</c:v>
                  </c:pt>
                  <c:pt idx="108">
                    <c:v>39000</c:v>
                  </c:pt>
                  <c:pt idx="109">
                    <c:v>48000</c:v>
                  </c:pt>
                  <c:pt idx="110">
                    <c:v>43000</c:v>
                  </c:pt>
                  <c:pt idx="111">
                    <c:v>57000</c:v>
                  </c:pt>
                  <c:pt idx="112">
                    <c:v>58000</c:v>
                  </c:pt>
                  <c:pt idx="113">
                    <c:v>62000</c:v>
                  </c:pt>
                  <c:pt idx="114">
                    <c:v>28000</c:v>
                  </c:pt>
                  <c:pt idx="115">
                    <c:v>35000</c:v>
                  </c:pt>
                  <c:pt idx="116">
                    <c:v>29000</c:v>
                  </c:pt>
                  <c:pt idx="117">
                    <c:v>37000</c:v>
                  </c:pt>
                  <c:pt idx="118">
                    <c:v>47000</c:v>
                  </c:pt>
                  <c:pt idx="119">
                    <c:v>53000</c:v>
                  </c:pt>
                  <c:pt idx="120">
                    <c:v>42000</c:v>
                  </c:pt>
                  <c:pt idx="121">
                    <c:v>36000</c:v>
                  </c:pt>
                  <c:pt idx="122">
                    <c:v>44000</c:v>
                  </c:pt>
                  <c:pt idx="123">
                    <c:v>47000</c:v>
                  </c:pt>
                  <c:pt idx="124">
                    <c:v>42000</c:v>
                  </c:pt>
                  <c:pt idx="125">
                    <c:v>49000</c:v>
                  </c:pt>
                  <c:pt idx="126">
                    <c:v>43000</c:v>
                  </c:pt>
                  <c:pt idx="127">
                    <c:v>26000</c:v>
                  </c:pt>
                  <c:pt idx="128">
                    <c:v>63000</c:v>
                  </c:pt>
                  <c:pt idx="129">
                    <c:v>50000</c:v>
                  </c:pt>
                  <c:pt idx="130">
                    <c:v>42000</c:v>
                  </c:pt>
                  <c:pt idx="131">
                    <c:v>45000</c:v>
                  </c:pt>
                  <c:pt idx="132">
                    <c:v>18000</c:v>
                  </c:pt>
                  <c:pt idx="133">
                    <c:v>43000</c:v>
                  </c:pt>
                  <c:pt idx="134">
                    <c:v>36000</c:v>
                  </c:pt>
                  <c:pt idx="135">
                    <c:v>48000</c:v>
                  </c:pt>
                  <c:pt idx="136">
                    <c:v>37000</c:v>
                  </c:pt>
                  <c:pt idx="137">
                    <c:v>42000</c:v>
                  </c:pt>
                  <c:pt idx="138">
                    <c:v>55000</c:v>
                  </c:pt>
                  <c:pt idx="139">
                    <c:v>60000</c:v>
                  </c:pt>
                  <c:pt idx="140">
                    <c:v>51000</c:v>
                  </c:pt>
                  <c:pt idx="141">
                    <c:v>31000</c:v>
                  </c:pt>
                  <c:pt idx="142">
                    <c:v>44000</c:v>
                  </c:pt>
                  <c:pt idx="143">
                    <c:v>31000</c:v>
                  </c:pt>
                  <c:pt idx="144">
                    <c:v>43000</c:v>
                  </c:pt>
                  <c:pt idx="145">
                    <c:v>49000</c:v>
                  </c:pt>
                  <c:pt idx="146">
                    <c:v>47000</c:v>
                  </c:pt>
                  <c:pt idx="147">
                    <c:v>24000</c:v>
                  </c:pt>
                  <c:pt idx="148">
                    <c:v>56000</c:v>
                  </c:pt>
                  <c:pt idx="149">
                    <c:v>31000</c:v>
                  </c:pt>
                  <c:pt idx="150">
                    <c:v>52000</c:v>
                  </c:pt>
                  <c:pt idx="151">
                    <c:v>50000</c:v>
                  </c:pt>
                  <c:pt idx="152">
                    <c:v>41000</c:v>
                  </c:pt>
                  <c:pt idx="153">
                    <c:v>44000</c:v>
                  </c:pt>
                  <c:pt idx="154">
                    <c:v>65000</c:v>
                  </c:pt>
                  <c:pt idx="155">
                    <c:v>48000</c:v>
                  </c:pt>
                  <c:pt idx="156">
                    <c:v>36000</c:v>
                  </c:pt>
                  <c:pt idx="157">
                    <c:v>50000</c:v>
                  </c:pt>
                  <c:pt idx="158">
                    <c:v>59000</c:v>
                  </c:pt>
                  <c:pt idx="159">
                    <c:v>38000</c:v>
                  </c:pt>
                  <c:pt idx="160">
                    <c:v>42000</c:v>
                  </c:pt>
                  <c:pt idx="161">
                    <c:v>49000</c:v>
                  </c:pt>
                  <c:pt idx="162">
                    <c:v>33000</c:v>
                  </c:pt>
                  <c:pt idx="163">
                    <c:v>46000</c:v>
                  </c:pt>
                  <c:pt idx="164">
                    <c:v>53000</c:v>
                  </c:pt>
                  <c:pt idx="165">
                    <c:v>42000</c:v>
                  </c:pt>
                  <c:pt idx="166">
                    <c:v>43000</c:v>
                  </c:pt>
                  <c:pt idx="167">
                    <c:v>38000</c:v>
                  </c:pt>
                  <c:pt idx="168">
                    <c:v>73000</c:v>
                  </c:pt>
                  <c:pt idx="169">
                    <c:v>38000</c:v>
                  </c:pt>
                  <c:pt idx="170">
                    <c:v>36000</c:v>
                  </c:pt>
                  <c:pt idx="171">
                    <c:v>50000</c:v>
                  </c:pt>
                  <c:pt idx="172">
                    <c:v>46000</c:v>
                  </c:pt>
                  <c:pt idx="173">
                    <c:v>39000</c:v>
                  </c:pt>
                  <c:pt idx="174">
                    <c:v>40000</c:v>
                  </c:pt>
                  <c:pt idx="175">
                    <c:v>51000</c:v>
                  </c:pt>
                  <c:pt idx="176">
                    <c:v>53000</c:v>
                  </c:pt>
                  <c:pt idx="177">
                    <c:v>36000</c:v>
                  </c:pt>
                  <c:pt idx="178">
                    <c:v>42000</c:v>
                  </c:pt>
                  <c:pt idx="179">
                    <c:v>53000</c:v>
                  </c:pt>
                  <c:pt idx="180">
                    <c:v>58000</c:v>
                  </c:pt>
                  <c:pt idx="181">
                    <c:v>18000</c:v>
                  </c:pt>
                  <c:pt idx="182">
                    <c:v>48000</c:v>
                  </c:pt>
                  <c:pt idx="183">
                    <c:v>30000</c:v>
                  </c:pt>
                  <c:pt idx="184">
                    <c:v>52000</c:v>
                  </c:pt>
                  <c:pt idx="185">
                    <c:v>26000</c:v>
                  </c:pt>
                  <c:pt idx="186">
                    <c:v>18000</c:v>
                  </c:pt>
                  <c:pt idx="187">
                    <c:v>45000</c:v>
                  </c:pt>
                  <c:pt idx="188">
                    <c:v>51000</c:v>
                  </c:pt>
                  <c:pt idx="189">
                    <c:v>53000</c:v>
                  </c:pt>
                  <c:pt idx="190">
                    <c:v>71000</c:v>
                  </c:pt>
                  <c:pt idx="191">
                    <c:v>42000</c:v>
                  </c:pt>
                  <c:pt idx="192">
                    <c:v>35000</c:v>
                  </c:pt>
                  <c:pt idx="193">
                    <c:v>39000</c:v>
                  </c:pt>
                  <c:pt idx="194">
                    <c:v>49000</c:v>
                  </c:pt>
                  <c:pt idx="195">
                    <c:v>26000</c:v>
                  </c:pt>
                  <c:pt idx="196">
                    <c:v>42000</c:v>
                  </c:pt>
                  <c:pt idx="197">
                    <c:v>52000</c:v>
                  </c:pt>
                  <c:pt idx="198">
                    <c:v>43000</c:v>
                  </c:pt>
                  <c:pt idx="199">
                    <c:v>26000</c:v>
                  </c:pt>
                  <c:pt idx="200">
                    <c:v>54000</c:v>
                  </c:pt>
                  <c:pt idx="201">
                    <c:v>36000</c:v>
                  </c:pt>
                  <c:pt idx="202">
                    <c:v>35000</c:v>
                  </c:pt>
                  <c:pt idx="203">
                    <c:v>43000</c:v>
                  </c:pt>
                  <c:pt idx="204">
                    <c:v>53000</c:v>
                  </c:pt>
                  <c:pt idx="205">
                    <c:v>66000</c:v>
                  </c:pt>
                  <c:pt idx="206">
                    <c:v>37000</c:v>
                  </c:pt>
                  <c:pt idx="207">
                    <c:v>41000</c:v>
                  </c:pt>
                  <c:pt idx="208">
                    <c:v>32000</c:v>
                  </c:pt>
                  <c:pt idx="209">
                    <c:v>48000</c:v>
                  </c:pt>
                  <c:pt idx="210">
                    <c:v>32000</c:v>
                  </c:pt>
                  <c:pt idx="211">
                    <c:v>28000</c:v>
                  </c:pt>
                  <c:pt idx="212">
                    <c:v>34000</c:v>
                  </c:pt>
                  <c:pt idx="213">
                    <c:v>44000</c:v>
                  </c:pt>
                  <c:pt idx="214">
                    <c:v>37000</c:v>
                  </c:pt>
                  <c:pt idx="215">
                    <c:v>33000</c:v>
                  </c:pt>
                  <c:pt idx="216">
                    <c:v>31000</c:v>
                  </c:pt>
                  <c:pt idx="217">
                    <c:v>64000</c:v>
                  </c:pt>
                  <c:pt idx="218">
                    <c:v>48000</c:v>
                  </c:pt>
                  <c:pt idx="219">
                    <c:v>58000</c:v>
                  </c:pt>
                  <c:pt idx="220">
                    <c:v>51000</c:v>
                  </c:pt>
                  <c:pt idx="221">
                    <c:v>45000</c:v>
                  </c:pt>
                  <c:pt idx="222">
                    <c:v>60000</c:v>
                  </c:pt>
                  <c:pt idx="223">
                    <c:v>33000</c:v>
                  </c:pt>
                  <c:pt idx="224">
                    <c:v>27000</c:v>
                  </c:pt>
                  <c:pt idx="225">
                    <c:v>39000</c:v>
                  </c:pt>
                  <c:pt idx="226">
                    <c:v>52000</c:v>
                  </c:pt>
                  <c:pt idx="227">
                    <c:v>52000</c:v>
                  </c:pt>
                  <c:pt idx="228">
                    <c:v>43000</c:v>
                  </c:pt>
                  <c:pt idx="229">
                    <c:v>34000</c:v>
                  </c:pt>
                  <c:pt idx="230">
                    <c:v>43000</c:v>
                  </c:pt>
                  <c:pt idx="231">
                    <c:v>52000</c:v>
                  </c:pt>
                  <c:pt idx="232">
                    <c:v>30000</c:v>
                  </c:pt>
                  <c:pt idx="233">
                    <c:v>49000</c:v>
                  </c:pt>
                  <c:pt idx="234">
                    <c:v>39000</c:v>
                  </c:pt>
                  <c:pt idx="235">
                    <c:v>45000</c:v>
                  </c:pt>
                  <c:pt idx="236">
                    <c:v>53000</c:v>
                  </c:pt>
                  <c:pt idx="237">
                    <c:v>53000</c:v>
                  </c:pt>
                  <c:pt idx="238">
                    <c:v>46000</c:v>
                  </c:pt>
                  <c:pt idx="239">
                    <c:v>53000</c:v>
                  </c:pt>
                  <c:pt idx="240">
                    <c:v>57000</c:v>
                  </c:pt>
                  <c:pt idx="241">
                    <c:v>41000</c:v>
                  </c:pt>
                  <c:pt idx="242">
                    <c:v>32000</c:v>
                  </c:pt>
                  <c:pt idx="243">
                    <c:v>38000</c:v>
                  </c:pt>
                  <c:pt idx="244">
                    <c:v>41000</c:v>
                  </c:pt>
                  <c:pt idx="245">
                    <c:v>52000</c:v>
                  </c:pt>
                  <c:pt idx="246">
                    <c:v>30000</c:v>
                  </c:pt>
                  <c:pt idx="247">
                    <c:v>37000</c:v>
                  </c:pt>
                  <c:pt idx="248">
                    <c:v>45000</c:v>
                  </c:pt>
                  <c:pt idx="249">
                    <c:v>23000</c:v>
                  </c:pt>
                  <c:pt idx="250">
                    <c:v>54000</c:v>
                  </c:pt>
                  <c:pt idx="251">
                    <c:v>39000</c:v>
                  </c:pt>
                  <c:pt idx="252">
                    <c:v>50000</c:v>
                  </c:pt>
                  <c:pt idx="253">
                    <c:v>38000</c:v>
                  </c:pt>
                  <c:pt idx="254">
                    <c:v>28000</c:v>
                  </c:pt>
                  <c:pt idx="255">
                    <c:v>36000</c:v>
                  </c:pt>
                  <c:pt idx="256">
                    <c:v>73000</c:v>
                  </c:pt>
                  <c:pt idx="257">
                    <c:v>70000</c:v>
                  </c:pt>
                  <c:pt idx="258">
                    <c:v>35000</c:v>
                  </c:pt>
                  <c:pt idx="259">
                    <c:v>56000</c:v>
                  </c:pt>
                  <c:pt idx="260">
                    <c:v>60000</c:v>
                  </c:pt>
                  <c:pt idx="261">
                    <c:v>37000</c:v>
                  </c:pt>
                  <c:pt idx="262">
                    <c:v>60000</c:v>
                  </c:pt>
                  <c:pt idx="263">
                    <c:v>34000</c:v>
                  </c:pt>
                  <c:pt idx="264">
                    <c:v>55000</c:v>
                  </c:pt>
                  <c:pt idx="265">
                    <c:v>58000</c:v>
                  </c:pt>
                  <c:pt idx="266">
                    <c:v>58000</c:v>
                  </c:pt>
                  <c:pt idx="267">
                    <c:v>50000</c:v>
                  </c:pt>
                  <c:pt idx="268">
                    <c:v>36000</c:v>
                  </c:pt>
                  <c:pt idx="269">
                    <c:v>41000</c:v>
                  </c:pt>
                  <c:pt idx="270">
                    <c:v>39000</c:v>
                  </c:pt>
                  <c:pt idx="271">
                    <c:v>55000</c:v>
                  </c:pt>
                  <c:pt idx="272">
                    <c:v>55000</c:v>
                  </c:pt>
                  <c:pt idx="273">
                    <c:v>39000</c:v>
                  </c:pt>
                  <c:pt idx="274">
                    <c:v>45000</c:v>
                  </c:pt>
                  <c:pt idx="275">
                    <c:v>36000</c:v>
                  </c:pt>
                  <c:pt idx="276">
                    <c:v>45000</c:v>
                  </c:pt>
                  <c:pt idx="277">
                    <c:v>60000</c:v>
                  </c:pt>
                  <c:pt idx="278">
                    <c:v>49000</c:v>
                  </c:pt>
                  <c:pt idx="279">
                    <c:v>56000</c:v>
                  </c:pt>
                  <c:pt idx="280">
                    <c:v>41000</c:v>
                  </c:pt>
                  <c:pt idx="281">
                    <c:v>64000</c:v>
                  </c:pt>
                  <c:pt idx="282">
                    <c:v>29000</c:v>
                  </c:pt>
                  <c:pt idx="283">
                    <c:v>45000</c:v>
                  </c:pt>
                  <c:pt idx="284">
                    <c:v>33000</c:v>
                  </c:pt>
                  <c:pt idx="285">
                    <c:v>47000</c:v>
                  </c:pt>
                  <c:pt idx="286">
                    <c:v>18000</c:v>
                  </c:pt>
                  <c:pt idx="287">
                    <c:v>71000</c:v>
                  </c:pt>
                  <c:pt idx="288">
                    <c:v>42000</c:v>
                  </c:pt>
                  <c:pt idx="289">
                    <c:v>44000</c:v>
                  </c:pt>
                  <c:pt idx="290">
                    <c:v>48000</c:v>
                  </c:pt>
                  <c:pt idx="291">
                    <c:v>39000</c:v>
                  </c:pt>
                  <c:pt idx="292">
                    <c:v>54000</c:v>
                  </c:pt>
                  <c:pt idx="293">
                    <c:v>39000</c:v>
                  </c:pt>
                  <c:pt idx="294">
                    <c:v>43000</c:v>
                  </c:pt>
                  <c:pt idx="295">
                    <c:v>61000</c:v>
                  </c:pt>
                  <c:pt idx="296">
                    <c:v>56000</c:v>
                  </c:pt>
                  <c:pt idx="297">
                    <c:v>46000</c:v>
                  </c:pt>
                  <c:pt idx="298">
                    <c:v>53000</c:v>
                  </c:pt>
                  <c:pt idx="299">
                    <c:v>54000</c:v>
                  </c:pt>
                </c:lvl>
              </c:multiLvlStrCache>
            </c:multiLvlStrRef>
          </c:xVal>
          <c:yVal>
            <c:numRef>
              <c:f>Employee_Master!$I$2:$I$301</c:f>
              <c:numCache>
                <c:formatCode>General</c:formatCode>
                <c:ptCount val="300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6.4</c:v>
                </c:pt>
                <c:pt idx="4">
                  <c:v>0.4</c:v>
                </c:pt>
                <c:pt idx="5">
                  <c:v>0.2</c:v>
                </c:pt>
                <c:pt idx="6">
                  <c:v>3.5</c:v>
                </c:pt>
                <c:pt idx="7">
                  <c:v>1.4</c:v>
                </c:pt>
                <c:pt idx="8">
                  <c:v>1.7</c:v>
                </c:pt>
                <c:pt idx="9">
                  <c:v>0.7</c:v>
                </c:pt>
                <c:pt idx="10">
                  <c:v>0.1</c:v>
                </c:pt>
                <c:pt idx="11">
                  <c:v>5.8</c:v>
                </c:pt>
                <c:pt idx="12">
                  <c:v>2.2999999999999998</c:v>
                </c:pt>
                <c:pt idx="13">
                  <c:v>1.8</c:v>
                </c:pt>
                <c:pt idx="14">
                  <c:v>1.7</c:v>
                </c:pt>
                <c:pt idx="15">
                  <c:v>7.5</c:v>
                </c:pt>
                <c:pt idx="16">
                  <c:v>2</c:v>
                </c:pt>
                <c:pt idx="17">
                  <c:v>3.8</c:v>
                </c:pt>
                <c:pt idx="18">
                  <c:v>5</c:v>
                </c:pt>
                <c:pt idx="19">
                  <c:v>5.0999999999999996</c:v>
                </c:pt>
                <c:pt idx="20">
                  <c:v>4.5999999999999996</c:v>
                </c:pt>
                <c:pt idx="21">
                  <c:v>7.2</c:v>
                </c:pt>
                <c:pt idx="22">
                  <c:v>6.4</c:v>
                </c:pt>
                <c:pt idx="23">
                  <c:v>0.3</c:v>
                </c:pt>
                <c:pt idx="24">
                  <c:v>0.8</c:v>
                </c:pt>
                <c:pt idx="25">
                  <c:v>1.7</c:v>
                </c:pt>
                <c:pt idx="26">
                  <c:v>1.6</c:v>
                </c:pt>
                <c:pt idx="27">
                  <c:v>7.7</c:v>
                </c:pt>
                <c:pt idx="28">
                  <c:v>6.9</c:v>
                </c:pt>
                <c:pt idx="29">
                  <c:v>7.3</c:v>
                </c:pt>
                <c:pt idx="30">
                  <c:v>5.9</c:v>
                </c:pt>
                <c:pt idx="31">
                  <c:v>7.3</c:v>
                </c:pt>
                <c:pt idx="32">
                  <c:v>4.5999999999999996</c:v>
                </c:pt>
                <c:pt idx="33">
                  <c:v>4.8</c:v>
                </c:pt>
                <c:pt idx="34">
                  <c:v>5.6</c:v>
                </c:pt>
                <c:pt idx="35">
                  <c:v>4.4000000000000004</c:v>
                </c:pt>
                <c:pt idx="36">
                  <c:v>0.2</c:v>
                </c:pt>
                <c:pt idx="37">
                  <c:v>2.8</c:v>
                </c:pt>
                <c:pt idx="38">
                  <c:v>5.0999999999999996</c:v>
                </c:pt>
                <c:pt idx="39">
                  <c:v>2.2000000000000002</c:v>
                </c:pt>
                <c:pt idx="40">
                  <c:v>1.5</c:v>
                </c:pt>
                <c:pt idx="41">
                  <c:v>2.8</c:v>
                </c:pt>
                <c:pt idx="42">
                  <c:v>4.7</c:v>
                </c:pt>
                <c:pt idx="43">
                  <c:v>3.1</c:v>
                </c:pt>
                <c:pt idx="44">
                  <c:v>3.5</c:v>
                </c:pt>
                <c:pt idx="45">
                  <c:v>2.9</c:v>
                </c:pt>
                <c:pt idx="46">
                  <c:v>1.1000000000000001</c:v>
                </c:pt>
                <c:pt idx="47">
                  <c:v>4</c:v>
                </c:pt>
                <c:pt idx="48">
                  <c:v>5.3</c:v>
                </c:pt>
                <c:pt idx="49">
                  <c:v>5.3</c:v>
                </c:pt>
                <c:pt idx="50">
                  <c:v>1.3</c:v>
                </c:pt>
                <c:pt idx="51">
                  <c:v>7.3</c:v>
                </c:pt>
                <c:pt idx="52">
                  <c:v>2.9</c:v>
                </c:pt>
                <c:pt idx="53">
                  <c:v>2.9</c:v>
                </c:pt>
                <c:pt idx="54">
                  <c:v>7.4</c:v>
                </c:pt>
                <c:pt idx="55">
                  <c:v>3.2</c:v>
                </c:pt>
                <c:pt idx="56">
                  <c:v>5.3</c:v>
                </c:pt>
                <c:pt idx="57">
                  <c:v>4.3</c:v>
                </c:pt>
                <c:pt idx="58">
                  <c:v>1.2</c:v>
                </c:pt>
                <c:pt idx="59">
                  <c:v>7.3</c:v>
                </c:pt>
                <c:pt idx="60">
                  <c:v>2.4</c:v>
                </c:pt>
                <c:pt idx="61">
                  <c:v>1.5</c:v>
                </c:pt>
                <c:pt idx="62">
                  <c:v>3.5</c:v>
                </c:pt>
                <c:pt idx="63">
                  <c:v>4.8</c:v>
                </c:pt>
                <c:pt idx="64">
                  <c:v>7.4</c:v>
                </c:pt>
                <c:pt idx="65">
                  <c:v>4.8</c:v>
                </c:pt>
                <c:pt idx="66">
                  <c:v>3.3</c:v>
                </c:pt>
                <c:pt idx="67">
                  <c:v>0.2</c:v>
                </c:pt>
                <c:pt idx="68">
                  <c:v>0.5</c:v>
                </c:pt>
                <c:pt idx="69">
                  <c:v>4.0999999999999996</c:v>
                </c:pt>
                <c:pt idx="70">
                  <c:v>3.2</c:v>
                </c:pt>
                <c:pt idx="71">
                  <c:v>7.2</c:v>
                </c:pt>
                <c:pt idx="72">
                  <c:v>1.6</c:v>
                </c:pt>
                <c:pt idx="73">
                  <c:v>2.4</c:v>
                </c:pt>
                <c:pt idx="74">
                  <c:v>4</c:v>
                </c:pt>
                <c:pt idx="75">
                  <c:v>4</c:v>
                </c:pt>
                <c:pt idx="76">
                  <c:v>4.2</c:v>
                </c:pt>
                <c:pt idx="77">
                  <c:v>6.6</c:v>
                </c:pt>
                <c:pt idx="78">
                  <c:v>0.5</c:v>
                </c:pt>
                <c:pt idx="79">
                  <c:v>5.2</c:v>
                </c:pt>
                <c:pt idx="80">
                  <c:v>7.2</c:v>
                </c:pt>
                <c:pt idx="81">
                  <c:v>0.8</c:v>
                </c:pt>
                <c:pt idx="82">
                  <c:v>4.5</c:v>
                </c:pt>
                <c:pt idx="83">
                  <c:v>2.2999999999999998</c:v>
                </c:pt>
                <c:pt idx="84">
                  <c:v>7.7</c:v>
                </c:pt>
                <c:pt idx="85">
                  <c:v>0.8</c:v>
                </c:pt>
                <c:pt idx="86">
                  <c:v>3.7</c:v>
                </c:pt>
                <c:pt idx="87">
                  <c:v>4.9000000000000004</c:v>
                </c:pt>
                <c:pt idx="88">
                  <c:v>1.5</c:v>
                </c:pt>
                <c:pt idx="89">
                  <c:v>0.2</c:v>
                </c:pt>
                <c:pt idx="90">
                  <c:v>6.5</c:v>
                </c:pt>
                <c:pt idx="91">
                  <c:v>6</c:v>
                </c:pt>
                <c:pt idx="92">
                  <c:v>2.8</c:v>
                </c:pt>
                <c:pt idx="93">
                  <c:v>0.3</c:v>
                </c:pt>
                <c:pt idx="94">
                  <c:v>1.5</c:v>
                </c:pt>
                <c:pt idx="95">
                  <c:v>6.5</c:v>
                </c:pt>
                <c:pt idx="96">
                  <c:v>6.3</c:v>
                </c:pt>
                <c:pt idx="97">
                  <c:v>4.4000000000000004</c:v>
                </c:pt>
                <c:pt idx="98">
                  <c:v>6.9</c:v>
                </c:pt>
                <c:pt idx="99">
                  <c:v>1</c:v>
                </c:pt>
                <c:pt idx="100">
                  <c:v>4</c:v>
                </c:pt>
                <c:pt idx="101">
                  <c:v>6.8</c:v>
                </c:pt>
                <c:pt idx="102">
                  <c:v>3.2</c:v>
                </c:pt>
                <c:pt idx="103">
                  <c:v>5.3</c:v>
                </c:pt>
                <c:pt idx="104">
                  <c:v>7.4</c:v>
                </c:pt>
                <c:pt idx="105">
                  <c:v>1.8</c:v>
                </c:pt>
                <c:pt idx="106">
                  <c:v>6</c:v>
                </c:pt>
                <c:pt idx="107">
                  <c:v>2.9</c:v>
                </c:pt>
                <c:pt idx="108">
                  <c:v>5.5</c:v>
                </c:pt>
                <c:pt idx="109">
                  <c:v>5.2</c:v>
                </c:pt>
                <c:pt idx="110">
                  <c:v>1.3</c:v>
                </c:pt>
                <c:pt idx="111">
                  <c:v>2.9</c:v>
                </c:pt>
                <c:pt idx="112">
                  <c:v>5.9</c:v>
                </c:pt>
                <c:pt idx="113">
                  <c:v>5.8</c:v>
                </c:pt>
                <c:pt idx="114">
                  <c:v>0.6</c:v>
                </c:pt>
                <c:pt idx="115">
                  <c:v>7.1</c:v>
                </c:pt>
                <c:pt idx="116">
                  <c:v>0.9</c:v>
                </c:pt>
                <c:pt idx="117">
                  <c:v>2.7</c:v>
                </c:pt>
                <c:pt idx="118">
                  <c:v>1.9</c:v>
                </c:pt>
                <c:pt idx="119">
                  <c:v>0.2</c:v>
                </c:pt>
                <c:pt idx="120">
                  <c:v>0.4</c:v>
                </c:pt>
                <c:pt idx="121">
                  <c:v>2.1</c:v>
                </c:pt>
                <c:pt idx="122">
                  <c:v>4.4000000000000004</c:v>
                </c:pt>
                <c:pt idx="123">
                  <c:v>0.8</c:v>
                </c:pt>
                <c:pt idx="124">
                  <c:v>5.0999999999999996</c:v>
                </c:pt>
                <c:pt idx="125">
                  <c:v>1.9</c:v>
                </c:pt>
                <c:pt idx="126">
                  <c:v>6.6</c:v>
                </c:pt>
                <c:pt idx="127">
                  <c:v>2.7</c:v>
                </c:pt>
                <c:pt idx="128">
                  <c:v>5.2</c:v>
                </c:pt>
                <c:pt idx="129">
                  <c:v>0.9</c:v>
                </c:pt>
                <c:pt idx="130">
                  <c:v>5.0999999999999996</c:v>
                </c:pt>
                <c:pt idx="131">
                  <c:v>4.5</c:v>
                </c:pt>
                <c:pt idx="132">
                  <c:v>1.7</c:v>
                </c:pt>
                <c:pt idx="133">
                  <c:v>7</c:v>
                </c:pt>
                <c:pt idx="134">
                  <c:v>0.1</c:v>
                </c:pt>
                <c:pt idx="135">
                  <c:v>7.3</c:v>
                </c:pt>
                <c:pt idx="136">
                  <c:v>3.8</c:v>
                </c:pt>
                <c:pt idx="137">
                  <c:v>3.6</c:v>
                </c:pt>
                <c:pt idx="138">
                  <c:v>6.6</c:v>
                </c:pt>
                <c:pt idx="139">
                  <c:v>4.7</c:v>
                </c:pt>
                <c:pt idx="140">
                  <c:v>6.2</c:v>
                </c:pt>
                <c:pt idx="141">
                  <c:v>3.6</c:v>
                </c:pt>
                <c:pt idx="142">
                  <c:v>7.5</c:v>
                </c:pt>
                <c:pt idx="143">
                  <c:v>6.4</c:v>
                </c:pt>
                <c:pt idx="144">
                  <c:v>1.7</c:v>
                </c:pt>
                <c:pt idx="145">
                  <c:v>7.5</c:v>
                </c:pt>
                <c:pt idx="146">
                  <c:v>3.2</c:v>
                </c:pt>
                <c:pt idx="147">
                  <c:v>2.9</c:v>
                </c:pt>
                <c:pt idx="148">
                  <c:v>1.9</c:v>
                </c:pt>
                <c:pt idx="149">
                  <c:v>1.3</c:v>
                </c:pt>
                <c:pt idx="150">
                  <c:v>3.1</c:v>
                </c:pt>
                <c:pt idx="151">
                  <c:v>2.8</c:v>
                </c:pt>
                <c:pt idx="152">
                  <c:v>3.6</c:v>
                </c:pt>
                <c:pt idx="153">
                  <c:v>6</c:v>
                </c:pt>
                <c:pt idx="154">
                  <c:v>2.2000000000000002</c:v>
                </c:pt>
                <c:pt idx="155">
                  <c:v>1.7</c:v>
                </c:pt>
                <c:pt idx="156">
                  <c:v>1.4</c:v>
                </c:pt>
                <c:pt idx="157">
                  <c:v>1.5</c:v>
                </c:pt>
                <c:pt idx="158">
                  <c:v>4</c:v>
                </c:pt>
                <c:pt idx="159">
                  <c:v>4</c:v>
                </c:pt>
                <c:pt idx="160">
                  <c:v>0.2</c:v>
                </c:pt>
                <c:pt idx="161">
                  <c:v>2.4</c:v>
                </c:pt>
                <c:pt idx="162">
                  <c:v>7.6</c:v>
                </c:pt>
                <c:pt idx="163">
                  <c:v>1.9</c:v>
                </c:pt>
                <c:pt idx="164">
                  <c:v>5.6</c:v>
                </c:pt>
                <c:pt idx="165">
                  <c:v>4.7</c:v>
                </c:pt>
                <c:pt idx="166">
                  <c:v>2.8</c:v>
                </c:pt>
                <c:pt idx="167">
                  <c:v>0.3</c:v>
                </c:pt>
                <c:pt idx="168">
                  <c:v>7.7</c:v>
                </c:pt>
                <c:pt idx="169">
                  <c:v>0.5</c:v>
                </c:pt>
                <c:pt idx="170">
                  <c:v>4.5</c:v>
                </c:pt>
                <c:pt idx="171">
                  <c:v>5.6</c:v>
                </c:pt>
                <c:pt idx="172">
                  <c:v>0.2</c:v>
                </c:pt>
                <c:pt idx="173">
                  <c:v>2.4</c:v>
                </c:pt>
                <c:pt idx="174">
                  <c:v>0.4</c:v>
                </c:pt>
                <c:pt idx="175">
                  <c:v>0.9</c:v>
                </c:pt>
                <c:pt idx="176">
                  <c:v>0.3</c:v>
                </c:pt>
                <c:pt idx="177">
                  <c:v>2.1</c:v>
                </c:pt>
                <c:pt idx="178">
                  <c:v>2</c:v>
                </c:pt>
                <c:pt idx="179">
                  <c:v>1.3</c:v>
                </c:pt>
                <c:pt idx="180">
                  <c:v>6.2</c:v>
                </c:pt>
                <c:pt idx="181">
                  <c:v>6.4</c:v>
                </c:pt>
                <c:pt idx="182">
                  <c:v>3.5</c:v>
                </c:pt>
                <c:pt idx="183">
                  <c:v>7</c:v>
                </c:pt>
                <c:pt idx="184">
                  <c:v>5.3</c:v>
                </c:pt>
                <c:pt idx="185">
                  <c:v>4.4000000000000004</c:v>
                </c:pt>
                <c:pt idx="186">
                  <c:v>1.5</c:v>
                </c:pt>
                <c:pt idx="187">
                  <c:v>2.5</c:v>
                </c:pt>
                <c:pt idx="188">
                  <c:v>5</c:v>
                </c:pt>
                <c:pt idx="189">
                  <c:v>5.7</c:v>
                </c:pt>
                <c:pt idx="190">
                  <c:v>2.4</c:v>
                </c:pt>
                <c:pt idx="191">
                  <c:v>4.8</c:v>
                </c:pt>
                <c:pt idx="192">
                  <c:v>7.3</c:v>
                </c:pt>
                <c:pt idx="193">
                  <c:v>1.4</c:v>
                </c:pt>
                <c:pt idx="194">
                  <c:v>6.2</c:v>
                </c:pt>
                <c:pt idx="195">
                  <c:v>0.7</c:v>
                </c:pt>
                <c:pt idx="196">
                  <c:v>7.7</c:v>
                </c:pt>
                <c:pt idx="197">
                  <c:v>5.6</c:v>
                </c:pt>
                <c:pt idx="198">
                  <c:v>4.4000000000000004</c:v>
                </c:pt>
                <c:pt idx="199">
                  <c:v>5.8</c:v>
                </c:pt>
                <c:pt idx="200">
                  <c:v>7.2</c:v>
                </c:pt>
                <c:pt idx="201">
                  <c:v>4.4000000000000004</c:v>
                </c:pt>
                <c:pt idx="202">
                  <c:v>2.1</c:v>
                </c:pt>
                <c:pt idx="203">
                  <c:v>5.2</c:v>
                </c:pt>
                <c:pt idx="204">
                  <c:v>6.8</c:v>
                </c:pt>
                <c:pt idx="205">
                  <c:v>4.7</c:v>
                </c:pt>
                <c:pt idx="206">
                  <c:v>3.8</c:v>
                </c:pt>
                <c:pt idx="207">
                  <c:v>1.9</c:v>
                </c:pt>
                <c:pt idx="208">
                  <c:v>4.7</c:v>
                </c:pt>
                <c:pt idx="209">
                  <c:v>6.2</c:v>
                </c:pt>
                <c:pt idx="210">
                  <c:v>4.2</c:v>
                </c:pt>
                <c:pt idx="211">
                  <c:v>4.5999999999999996</c:v>
                </c:pt>
                <c:pt idx="212">
                  <c:v>5.4</c:v>
                </c:pt>
                <c:pt idx="213">
                  <c:v>3.5</c:v>
                </c:pt>
                <c:pt idx="214">
                  <c:v>7.4</c:v>
                </c:pt>
                <c:pt idx="215">
                  <c:v>0.5</c:v>
                </c:pt>
                <c:pt idx="216">
                  <c:v>3.6</c:v>
                </c:pt>
                <c:pt idx="217">
                  <c:v>3.9</c:v>
                </c:pt>
                <c:pt idx="218">
                  <c:v>7</c:v>
                </c:pt>
                <c:pt idx="219">
                  <c:v>1.5</c:v>
                </c:pt>
                <c:pt idx="220">
                  <c:v>1.1000000000000001</c:v>
                </c:pt>
                <c:pt idx="221">
                  <c:v>6.5</c:v>
                </c:pt>
                <c:pt idx="222">
                  <c:v>3.8</c:v>
                </c:pt>
                <c:pt idx="223">
                  <c:v>6.5</c:v>
                </c:pt>
                <c:pt idx="224">
                  <c:v>0.6</c:v>
                </c:pt>
                <c:pt idx="225">
                  <c:v>7.7</c:v>
                </c:pt>
                <c:pt idx="226">
                  <c:v>2.2999999999999998</c:v>
                </c:pt>
                <c:pt idx="227">
                  <c:v>2</c:v>
                </c:pt>
                <c:pt idx="228">
                  <c:v>0.4</c:v>
                </c:pt>
                <c:pt idx="229">
                  <c:v>5.9</c:v>
                </c:pt>
                <c:pt idx="230">
                  <c:v>4.5</c:v>
                </c:pt>
                <c:pt idx="231">
                  <c:v>5</c:v>
                </c:pt>
                <c:pt idx="232">
                  <c:v>3.6</c:v>
                </c:pt>
                <c:pt idx="233">
                  <c:v>2.6</c:v>
                </c:pt>
                <c:pt idx="234">
                  <c:v>4.0999999999999996</c:v>
                </c:pt>
                <c:pt idx="235">
                  <c:v>6</c:v>
                </c:pt>
                <c:pt idx="236">
                  <c:v>5</c:v>
                </c:pt>
                <c:pt idx="237">
                  <c:v>5.4</c:v>
                </c:pt>
                <c:pt idx="238">
                  <c:v>6.3</c:v>
                </c:pt>
                <c:pt idx="239">
                  <c:v>1.8</c:v>
                </c:pt>
                <c:pt idx="240">
                  <c:v>6.8</c:v>
                </c:pt>
                <c:pt idx="241">
                  <c:v>1.6</c:v>
                </c:pt>
                <c:pt idx="242">
                  <c:v>4.5</c:v>
                </c:pt>
                <c:pt idx="243">
                  <c:v>6.3</c:v>
                </c:pt>
                <c:pt idx="244">
                  <c:v>7</c:v>
                </c:pt>
                <c:pt idx="245">
                  <c:v>0.6</c:v>
                </c:pt>
                <c:pt idx="246">
                  <c:v>1.2</c:v>
                </c:pt>
                <c:pt idx="247">
                  <c:v>0.9</c:v>
                </c:pt>
                <c:pt idx="248">
                  <c:v>2</c:v>
                </c:pt>
                <c:pt idx="249">
                  <c:v>7</c:v>
                </c:pt>
                <c:pt idx="250">
                  <c:v>6</c:v>
                </c:pt>
                <c:pt idx="251">
                  <c:v>2.5</c:v>
                </c:pt>
                <c:pt idx="252">
                  <c:v>4.7</c:v>
                </c:pt>
                <c:pt idx="253">
                  <c:v>4.3</c:v>
                </c:pt>
                <c:pt idx="254">
                  <c:v>3.6</c:v>
                </c:pt>
                <c:pt idx="255">
                  <c:v>4</c:v>
                </c:pt>
                <c:pt idx="256">
                  <c:v>4.5999999999999996</c:v>
                </c:pt>
                <c:pt idx="257">
                  <c:v>1.1000000000000001</c:v>
                </c:pt>
                <c:pt idx="258">
                  <c:v>2.7</c:v>
                </c:pt>
                <c:pt idx="259">
                  <c:v>1.8</c:v>
                </c:pt>
                <c:pt idx="260">
                  <c:v>5.4</c:v>
                </c:pt>
                <c:pt idx="261">
                  <c:v>2.7</c:v>
                </c:pt>
                <c:pt idx="262">
                  <c:v>5.5</c:v>
                </c:pt>
                <c:pt idx="263">
                  <c:v>6.7</c:v>
                </c:pt>
                <c:pt idx="264">
                  <c:v>2.2000000000000002</c:v>
                </c:pt>
                <c:pt idx="265">
                  <c:v>3.1</c:v>
                </c:pt>
                <c:pt idx="266">
                  <c:v>7.5</c:v>
                </c:pt>
                <c:pt idx="267">
                  <c:v>4.2</c:v>
                </c:pt>
                <c:pt idx="268">
                  <c:v>6.6</c:v>
                </c:pt>
                <c:pt idx="269">
                  <c:v>1.1000000000000001</c:v>
                </c:pt>
                <c:pt idx="270">
                  <c:v>1.7</c:v>
                </c:pt>
                <c:pt idx="271">
                  <c:v>3.9</c:v>
                </c:pt>
                <c:pt idx="272">
                  <c:v>3.7</c:v>
                </c:pt>
                <c:pt idx="273">
                  <c:v>0.5</c:v>
                </c:pt>
                <c:pt idx="274">
                  <c:v>4.3</c:v>
                </c:pt>
                <c:pt idx="275">
                  <c:v>6.6</c:v>
                </c:pt>
                <c:pt idx="276">
                  <c:v>7.6</c:v>
                </c:pt>
                <c:pt idx="277">
                  <c:v>3.1</c:v>
                </c:pt>
                <c:pt idx="278">
                  <c:v>4.5</c:v>
                </c:pt>
                <c:pt idx="279">
                  <c:v>2.9</c:v>
                </c:pt>
                <c:pt idx="280">
                  <c:v>1.7</c:v>
                </c:pt>
                <c:pt idx="281">
                  <c:v>0.3</c:v>
                </c:pt>
                <c:pt idx="282">
                  <c:v>3.3</c:v>
                </c:pt>
                <c:pt idx="283">
                  <c:v>2.8</c:v>
                </c:pt>
                <c:pt idx="284">
                  <c:v>5.2</c:v>
                </c:pt>
                <c:pt idx="285">
                  <c:v>1.4</c:v>
                </c:pt>
                <c:pt idx="286">
                  <c:v>7.3</c:v>
                </c:pt>
                <c:pt idx="287">
                  <c:v>4.0999999999999996</c:v>
                </c:pt>
                <c:pt idx="288">
                  <c:v>6.1</c:v>
                </c:pt>
                <c:pt idx="289">
                  <c:v>4.8</c:v>
                </c:pt>
                <c:pt idx="290">
                  <c:v>3.3</c:v>
                </c:pt>
                <c:pt idx="291">
                  <c:v>5.2</c:v>
                </c:pt>
                <c:pt idx="292">
                  <c:v>5.4</c:v>
                </c:pt>
                <c:pt idx="293">
                  <c:v>1.9</c:v>
                </c:pt>
                <c:pt idx="294">
                  <c:v>4.7</c:v>
                </c:pt>
                <c:pt idx="295">
                  <c:v>1.6</c:v>
                </c:pt>
                <c:pt idx="296">
                  <c:v>1.3</c:v>
                </c:pt>
                <c:pt idx="297">
                  <c:v>0.5</c:v>
                </c:pt>
                <c:pt idx="298">
                  <c:v>4.9000000000000004</c:v>
                </c:pt>
                <c:pt idx="29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8-4742-889B-CBE8BC3FE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98351"/>
        <c:axId val="176566095"/>
      </c:scatterChart>
      <c:valAx>
        <c:axId val="16559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6095"/>
        <c:crosses val="autoZero"/>
        <c:crossBetween val="midCat"/>
      </c:valAx>
      <c:valAx>
        <c:axId val="1765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9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tx1"/>
                </a:solidFill>
              </a:rPr>
              <a:t>Leave Type Distribution</a:t>
            </a:r>
            <a:endParaRPr lang="en-IN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Sheet2!$A$4:$A$8</c:f>
              <c:strCache>
                <c:ptCount val="4"/>
                <c:pt idx="0">
                  <c:v>Annual Leave</c:v>
                </c:pt>
                <c:pt idx="1">
                  <c:v>Casual Leave</c:v>
                </c:pt>
                <c:pt idx="2">
                  <c:v>Emergency Leave</c:v>
                </c:pt>
                <c:pt idx="3">
                  <c:v>Sick Leave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173</c:v>
                </c:pt>
                <c:pt idx="1">
                  <c:v>141</c:v>
                </c:pt>
                <c:pt idx="2">
                  <c:v>158</c:v>
                </c:pt>
                <c:pt idx="3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B-45D1-955F-DA91043DC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3114672"/>
        <c:axId val="2024286416"/>
        <c:axId val="0"/>
      </c:bar3DChart>
      <c:catAx>
        <c:axId val="211311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86416"/>
        <c:crosses val="autoZero"/>
        <c:auto val="1"/>
        <c:lblAlgn val="ctr"/>
        <c:lblOffset val="100"/>
        <c:noMultiLvlLbl val="0"/>
      </c:catAx>
      <c:valAx>
        <c:axId val="202428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1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Monthly Leave Trend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138</c:v>
                </c:pt>
                <c:pt idx="1">
                  <c:v>108</c:v>
                </c:pt>
                <c:pt idx="2">
                  <c:v>136</c:v>
                </c:pt>
                <c:pt idx="3">
                  <c:v>186</c:v>
                </c:pt>
                <c:pt idx="4">
                  <c:v>117</c:v>
                </c:pt>
                <c:pt idx="5">
                  <c:v>99</c:v>
                </c:pt>
                <c:pt idx="6">
                  <c:v>124</c:v>
                </c:pt>
                <c:pt idx="7">
                  <c:v>142</c:v>
                </c:pt>
                <c:pt idx="8">
                  <c:v>121</c:v>
                </c:pt>
                <c:pt idx="9">
                  <c:v>135</c:v>
                </c:pt>
                <c:pt idx="10">
                  <c:v>143</c:v>
                </c:pt>
                <c:pt idx="11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A-4A53-86F0-2FC39EDCC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43135"/>
        <c:axId val="2135581040"/>
      </c:lineChart>
      <c:catAx>
        <c:axId val="17464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581040"/>
        <c:crosses val="autoZero"/>
        <c:auto val="1"/>
        <c:lblAlgn val="ctr"/>
        <c:lblOffset val="100"/>
        <c:noMultiLvlLbl val="0"/>
      </c:catAx>
      <c:valAx>
        <c:axId val="21355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4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anylatic.xlsx]Sheet1!PivotTable1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Leave Status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F9-4836-A308-8ED788F38D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F9-4836-A308-8ED788F38D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F9-4836-A308-8ED788F38D45}"/>
              </c:ext>
            </c:extLst>
          </c:dPt>
          <c:cat>
            <c:strRef>
              <c:f>Sheet1!$A$4:$A$7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126367</c:v>
                </c:pt>
                <c:pt idx="1">
                  <c:v>37073</c:v>
                </c:pt>
                <c:pt idx="2">
                  <c:v>41680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F9-4836-A308-8ED788F38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 i="0" u="none" strike="noStrike" baseline="0">
                <a:solidFill>
                  <a:schemeClr val="tx1"/>
                </a:solidFill>
              </a:rPr>
              <a:t>Leave vs Attendance</a:t>
            </a:r>
            <a:endParaRPr lang="en-IN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Sheet22!$A$1:$A$248</c:f>
              <c:numCache>
                <c:formatCode>General</c:formatCode>
                <c:ptCount val="2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42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48</c:v>
                </c:pt>
                <c:pt idx="40">
                  <c:v>49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63</c:v>
                </c:pt>
                <c:pt idx="53">
                  <c:v>64</c:v>
                </c:pt>
                <c:pt idx="54">
                  <c:v>66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89</c:v>
                </c:pt>
                <c:pt idx="75">
                  <c:v>90</c:v>
                </c:pt>
                <c:pt idx="76">
                  <c:v>91</c:v>
                </c:pt>
                <c:pt idx="77">
                  <c:v>92</c:v>
                </c:pt>
                <c:pt idx="78">
                  <c:v>93</c:v>
                </c:pt>
                <c:pt idx="79">
                  <c:v>94</c:v>
                </c:pt>
                <c:pt idx="80">
                  <c:v>95</c:v>
                </c:pt>
                <c:pt idx="81">
                  <c:v>96</c:v>
                </c:pt>
                <c:pt idx="82">
                  <c:v>97</c:v>
                </c:pt>
                <c:pt idx="83">
                  <c:v>98</c:v>
                </c:pt>
                <c:pt idx="84">
                  <c:v>99</c:v>
                </c:pt>
                <c:pt idx="85">
                  <c:v>100</c:v>
                </c:pt>
                <c:pt idx="86">
                  <c:v>101</c:v>
                </c:pt>
                <c:pt idx="87">
                  <c:v>102</c:v>
                </c:pt>
                <c:pt idx="88">
                  <c:v>103</c:v>
                </c:pt>
                <c:pt idx="89">
                  <c:v>104</c:v>
                </c:pt>
                <c:pt idx="90">
                  <c:v>105</c:v>
                </c:pt>
                <c:pt idx="91">
                  <c:v>106</c:v>
                </c:pt>
                <c:pt idx="92">
                  <c:v>107</c:v>
                </c:pt>
                <c:pt idx="93">
                  <c:v>108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115</c:v>
                </c:pt>
                <c:pt idx="99">
                  <c:v>116</c:v>
                </c:pt>
                <c:pt idx="100">
                  <c:v>117</c:v>
                </c:pt>
                <c:pt idx="101">
                  <c:v>119</c:v>
                </c:pt>
                <c:pt idx="102">
                  <c:v>120</c:v>
                </c:pt>
                <c:pt idx="103">
                  <c:v>121</c:v>
                </c:pt>
                <c:pt idx="104">
                  <c:v>122</c:v>
                </c:pt>
                <c:pt idx="105">
                  <c:v>124</c:v>
                </c:pt>
                <c:pt idx="106">
                  <c:v>125</c:v>
                </c:pt>
                <c:pt idx="107">
                  <c:v>126</c:v>
                </c:pt>
                <c:pt idx="108">
                  <c:v>128</c:v>
                </c:pt>
                <c:pt idx="109">
                  <c:v>129</c:v>
                </c:pt>
                <c:pt idx="110">
                  <c:v>131</c:v>
                </c:pt>
                <c:pt idx="111">
                  <c:v>134</c:v>
                </c:pt>
                <c:pt idx="112">
                  <c:v>135</c:v>
                </c:pt>
                <c:pt idx="113">
                  <c:v>136</c:v>
                </c:pt>
                <c:pt idx="114">
                  <c:v>137</c:v>
                </c:pt>
                <c:pt idx="115">
                  <c:v>139</c:v>
                </c:pt>
                <c:pt idx="116">
                  <c:v>140</c:v>
                </c:pt>
                <c:pt idx="117">
                  <c:v>142</c:v>
                </c:pt>
                <c:pt idx="118">
                  <c:v>143</c:v>
                </c:pt>
                <c:pt idx="119">
                  <c:v>144</c:v>
                </c:pt>
                <c:pt idx="120">
                  <c:v>146</c:v>
                </c:pt>
                <c:pt idx="121">
                  <c:v>148</c:v>
                </c:pt>
                <c:pt idx="122">
                  <c:v>149</c:v>
                </c:pt>
                <c:pt idx="123">
                  <c:v>150</c:v>
                </c:pt>
                <c:pt idx="124">
                  <c:v>151</c:v>
                </c:pt>
                <c:pt idx="125">
                  <c:v>152</c:v>
                </c:pt>
                <c:pt idx="126">
                  <c:v>153</c:v>
                </c:pt>
                <c:pt idx="127">
                  <c:v>154</c:v>
                </c:pt>
                <c:pt idx="128">
                  <c:v>155</c:v>
                </c:pt>
                <c:pt idx="129">
                  <c:v>156</c:v>
                </c:pt>
                <c:pt idx="130">
                  <c:v>158</c:v>
                </c:pt>
                <c:pt idx="131">
                  <c:v>160</c:v>
                </c:pt>
                <c:pt idx="132">
                  <c:v>161</c:v>
                </c:pt>
                <c:pt idx="133">
                  <c:v>162</c:v>
                </c:pt>
                <c:pt idx="134">
                  <c:v>163</c:v>
                </c:pt>
                <c:pt idx="135">
                  <c:v>164</c:v>
                </c:pt>
                <c:pt idx="136">
                  <c:v>165</c:v>
                </c:pt>
                <c:pt idx="137">
                  <c:v>166</c:v>
                </c:pt>
                <c:pt idx="138">
                  <c:v>167</c:v>
                </c:pt>
                <c:pt idx="139">
                  <c:v>168</c:v>
                </c:pt>
                <c:pt idx="140">
                  <c:v>169</c:v>
                </c:pt>
                <c:pt idx="141">
                  <c:v>170</c:v>
                </c:pt>
                <c:pt idx="142">
                  <c:v>171</c:v>
                </c:pt>
                <c:pt idx="143">
                  <c:v>172</c:v>
                </c:pt>
                <c:pt idx="144">
                  <c:v>173</c:v>
                </c:pt>
                <c:pt idx="145">
                  <c:v>174</c:v>
                </c:pt>
                <c:pt idx="146">
                  <c:v>175</c:v>
                </c:pt>
                <c:pt idx="147">
                  <c:v>176</c:v>
                </c:pt>
                <c:pt idx="148">
                  <c:v>177</c:v>
                </c:pt>
                <c:pt idx="149">
                  <c:v>178</c:v>
                </c:pt>
                <c:pt idx="150">
                  <c:v>179</c:v>
                </c:pt>
                <c:pt idx="151">
                  <c:v>180</c:v>
                </c:pt>
                <c:pt idx="152">
                  <c:v>182</c:v>
                </c:pt>
                <c:pt idx="153">
                  <c:v>183</c:v>
                </c:pt>
                <c:pt idx="154">
                  <c:v>184</c:v>
                </c:pt>
                <c:pt idx="155">
                  <c:v>185</c:v>
                </c:pt>
                <c:pt idx="156">
                  <c:v>186</c:v>
                </c:pt>
                <c:pt idx="157">
                  <c:v>187</c:v>
                </c:pt>
                <c:pt idx="158">
                  <c:v>188</c:v>
                </c:pt>
                <c:pt idx="159">
                  <c:v>189</c:v>
                </c:pt>
                <c:pt idx="160">
                  <c:v>190</c:v>
                </c:pt>
                <c:pt idx="161">
                  <c:v>191</c:v>
                </c:pt>
                <c:pt idx="162">
                  <c:v>192</c:v>
                </c:pt>
                <c:pt idx="163">
                  <c:v>193</c:v>
                </c:pt>
                <c:pt idx="164">
                  <c:v>194</c:v>
                </c:pt>
                <c:pt idx="165">
                  <c:v>196</c:v>
                </c:pt>
                <c:pt idx="166">
                  <c:v>198</c:v>
                </c:pt>
                <c:pt idx="167">
                  <c:v>199</c:v>
                </c:pt>
                <c:pt idx="168">
                  <c:v>200</c:v>
                </c:pt>
                <c:pt idx="169">
                  <c:v>201</c:v>
                </c:pt>
                <c:pt idx="170">
                  <c:v>202</c:v>
                </c:pt>
                <c:pt idx="171">
                  <c:v>203</c:v>
                </c:pt>
                <c:pt idx="172">
                  <c:v>204</c:v>
                </c:pt>
                <c:pt idx="173">
                  <c:v>205</c:v>
                </c:pt>
                <c:pt idx="174">
                  <c:v>206</c:v>
                </c:pt>
                <c:pt idx="175">
                  <c:v>207</c:v>
                </c:pt>
                <c:pt idx="176">
                  <c:v>208</c:v>
                </c:pt>
                <c:pt idx="177">
                  <c:v>209</c:v>
                </c:pt>
                <c:pt idx="178">
                  <c:v>210</c:v>
                </c:pt>
                <c:pt idx="179">
                  <c:v>211</c:v>
                </c:pt>
                <c:pt idx="180">
                  <c:v>212</c:v>
                </c:pt>
                <c:pt idx="181">
                  <c:v>214</c:v>
                </c:pt>
                <c:pt idx="182">
                  <c:v>215</c:v>
                </c:pt>
                <c:pt idx="183">
                  <c:v>216</c:v>
                </c:pt>
                <c:pt idx="184">
                  <c:v>217</c:v>
                </c:pt>
                <c:pt idx="185">
                  <c:v>218</c:v>
                </c:pt>
                <c:pt idx="186">
                  <c:v>219</c:v>
                </c:pt>
                <c:pt idx="187">
                  <c:v>223</c:v>
                </c:pt>
                <c:pt idx="188">
                  <c:v>224</c:v>
                </c:pt>
                <c:pt idx="189">
                  <c:v>226</c:v>
                </c:pt>
                <c:pt idx="190">
                  <c:v>229</c:v>
                </c:pt>
                <c:pt idx="191">
                  <c:v>230</c:v>
                </c:pt>
                <c:pt idx="192">
                  <c:v>231</c:v>
                </c:pt>
                <c:pt idx="193">
                  <c:v>232</c:v>
                </c:pt>
                <c:pt idx="194">
                  <c:v>234</c:v>
                </c:pt>
                <c:pt idx="195">
                  <c:v>235</c:v>
                </c:pt>
                <c:pt idx="196">
                  <c:v>236</c:v>
                </c:pt>
                <c:pt idx="197">
                  <c:v>237</c:v>
                </c:pt>
                <c:pt idx="198">
                  <c:v>238</c:v>
                </c:pt>
                <c:pt idx="199">
                  <c:v>239</c:v>
                </c:pt>
                <c:pt idx="200">
                  <c:v>240</c:v>
                </c:pt>
                <c:pt idx="201">
                  <c:v>241</c:v>
                </c:pt>
                <c:pt idx="202">
                  <c:v>242</c:v>
                </c:pt>
                <c:pt idx="203">
                  <c:v>243</c:v>
                </c:pt>
                <c:pt idx="204">
                  <c:v>245</c:v>
                </c:pt>
                <c:pt idx="205">
                  <c:v>246</c:v>
                </c:pt>
                <c:pt idx="206">
                  <c:v>249</c:v>
                </c:pt>
                <c:pt idx="207">
                  <c:v>250</c:v>
                </c:pt>
                <c:pt idx="208">
                  <c:v>253</c:v>
                </c:pt>
                <c:pt idx="209">
                  <c:v>254</c:v>
                </c:pt>
                <c:pt idx="210">
                  <c:v>255</c:v>
                </c:pt>
                <c:pt idx="211">
                  <c:v>256</c:v>
                </c:pt>
                <c:pt idx="212">
                  <c:v>257</c:v>
                </c:pt>
                <c:pt idx="213">
                  <c:v>258</c:v>
                </c:pt>
                <c:pt idx="214">
                  <c:v>259</c:v>
                </c:pt>
                <c:pt idx="215">
                  <c:v>260</c:v>
                </c:pt>
                <c:pt idx="216">
                  <c:v>263</c:v>
                </c:pt>
                <c:pt idx="217">
                  <c:v>265</c:v>
                </c:pt>
                <c:pt idx="218">
                  <c:v>267</c:v>
                </c:pt>
                <c:pt idx="219">
                  <c:v>269</c:v>
                </c:pt>
                <c:pt idx="220">
                  <c:v>271</c:v>
                </c:pt>
                <c:pt idx="221">
                  <c:v>272</c:v>
                </c:pt>
                <c:pt idx="222">
                  <c:v>273</c:v>
                </c:pt>
                <c:pt idx="223">
                  <c:v>274</c:v>
                </c:pt>
                <c:pt idx="224">
                  <c:v>275</c:v>
                </c:pt>
                <c:pt idx="225">
                  <c:v>276</c:v>
                </c:pt>
                <c:pt idx="226">
                  <c:v>277</c:v>
                </c:pt>
                <c:pt idx="227">
                  <c:v>278</c:v>
                </c:pt>
                <c:pt idx="228">
                  <c:v>279</c:v>
                </c:pt>
                <c:pt idx="229">
                  <c:v>280</c:v>
                </c:pt>
                <c:pt idx="230">
                  <c:v>283</c:v>
                </c:pt>
                <c:pt idx="231">
                  <c:v>284</c:v>
                </c:pt>
                <c:pt idx="232">
                  <c:v>285</c:v>
                </c:pt>
                <c:pt idx="233">
                  <c:v>286</c:v>
                </c:pt>
                <c:pt idx="234">
                  <c:v>287</c:v>
                </c:pt>
                <c:pt idx="235">
                  <c:v>288</c:v>
                </c:pt>
                <c:pt idx="236">
                  <c:v>289</c:v>
                </c:pt>
                <c:pt idx="237">
                  <c:v>290</c:v>
                </c:pt>
                <c:pt idx="238">
                  <c:v>291</c:v>
                </c:pt>
                <c:pt idx="239">
                  <c:v>292</c:v>
                </c:pt>
                <c:pt idx="240">
                  <c:v>293</c:v>
                </c:pt>
                <c:pt idx="241">
                  <c:v>294</c:v>
                </c:pt>
                <c:pt idx="242">
                  <c:v>295</c:v>
                </c:pt>
                <c:pt idx="243">
                  <c:v>296</c:v>
                </c:pt>
                <c:pt idx="244">
                  <c:v>297</c:v>
                </c:pt>
                <c:pt idx="245">
                  <c:v>298</c:v>
                </c:pt>
                <c:pt idx="246">
                  <c:v>299</c:v>
                </c:pt>
                <c:pt idx="247">
                  <c:v>300</c:v>
                </c:pt>
              </c:numCache>
            </c:numRef>
          </c:xVal>
          <c:yVal>
            <c:numRef>
              <c:f>Sheet22!$B$1:$B$248</c:f>
              <c:numCache>
                <c:formatCode>General</c:formatCode>
                <c:ptCount val="248"/>
                <c:pt idx="0">
                  <c:v>244.03590068362104</c:v>
                </c:pt>
                <c:pt idx="1">
                  <c:v>243.58773730401037</c:v>
                </c:pt>
                <c:pt idx="2">
                  <c:v>182.27828452669559</c:v>
                </c:pt>
                <c:pt idx="3">
                  <c:v>181.71681181797328</c:v>
                </c:pt>
                <c:pt idx="4">
                  <c:v>181.62970196330213</c:v>
                </c:pt>
                <c:pt idx="5">
                  <c:v>121.25108038029387</c:v>
                </c:pt>
                <c:pt idx="6">
                  <c:v>60.771704180064312</c:v>
                </c:pt>
                <c:pt idx="7">
                  <c:v>182.41967121024868</c:v>
                </c:pt>
                <c:pt idx="8">
                  <c:v>183.14430425412155</c:v>
                </c:pt>
                <c:pt idx="9">
                  <c:v>121.88766187336141</c:v>
                </c:pt>
                <c:pt idx="10">
                  <c:v>61.011419249592166</c:v>
                </c:pt>
                <c:pt idx="11">
                  <c:v>122.32224040734678</c:v>
                </c:pt>
                <c:pt idx="12">
                  <c:v>122.39548843845057</c:v>
                </c:pt>
                <c:pt idx="13">
                  <c:v>61.348684210526315</c:v>
                </c:pt>
                <c:pt idx="14">
                  <c:v>183.66315514283193</c:v>
                </c:pt>
                <c:pt idx="15">
                  <c:v>61.258278145695364</c:v>
                </c:pt>
                <c:pt idx="16">
                  <c:v>183.38848980398035</c:v>
                </c:pt>
                <c:pt idx="17">
                  <c:v>244.44487824762828</c:v>
                </c:pt>
                <c:pt idx="18">
                  <c:v>244.57557246408493</c:v>
                </c:pt>
                <c:pt idx="19">
                  <c:v>61.148648648648653</c:v>
                </c:pt>
                <c:pt idx="20">
                  <c:v>244.78358882682429</c:v>
                </c:pt>
                <c:pt idx="21">
                  <c:v>245.77330183712962</c:v>
                </c:pt>
                <c:pt idx="22">
                  <c:v>184.02039028880182</c:v>
                </c:pt>
                <c:pt idx="23">
                  <c:v>122.34679292478113</c:v>
                </c:pt>
                <c:pt idx="24">
                  <c:v>183.70890649476902</c:v>
                </c:pt>
                <c:pt idx="25">
                  <c:v>122.36721708831993</c:v>
                </c:pt>
                <c:pt idx="26">
                  <c:v>183.21685107726864</c:v>
                </c:pt>
                <c:pt idx="27">
                  <c:v>61.05263157894737</c:v>
                </c:pt>
                <c:pt idx="28">
                  <c:v>182.92260342414224</c:v>
                </c:pt>
                <c:pt idx="29">
                  <c:v>60.954063604240282</c:v>
                </c:pt>
                <c:pt idx="30">
                  <c:v>61.06194690265486</c:v>
                </c:pt>
                <c:pt idx="31">
                  <c:v>244.26699957477271</c:v>
                </c:pt>
                <c:pt idx="32">
                  <c:v>183.54179089644208</c:v>
                </c:pt>
                <c:pt idx="33">
                  <c:v>183.09359674180206</c:v>
                </c:pt>
                <c:pt idx="34">
                  <c:v>61.191335740072205</c:v>
                </c:pt>
                <c:pt idx="35">
                  <c:v>61.121157323688969</c:v>
                </c:pt>
                <c:pt idx="36">
                  <c:v>61.231884057971023</c:v>
                </c:pt>
                <c:pt idx="37">
                  <c:v>183.272470021689</c:v>
                </c:pt>
                <c:pt idx="38">
                  <c:v>182.81542980965179</c:v>
                </c:pt>
                <c:pt idx="39">
                  <c:v>183.08864774558006</c:v>
                </c:pt>
                <c:pt idx="40">
                  <c:v>244.40317730589265</c:v>
                </c:pt>
                <c:pt idx="41">
                  <c:v>244.7349319104726</c:v>
                </c:pt>
                <c:pt idx="42">
                  <c:v>184.42784792577814</c:v>
                </c:pt>
                <c:pt idx="43">
                  <c:v>184.71706375090704</c:v>
                </c:pt>
                <c:pt idx="44">
                  <c:v>185.0099317683877</c:v>
                </c:pt>
                <c:pt idx="45">
                  <c:v>61.714285714285708</c:v>
                </c:pt>
                <c:pt idx="46">
                  <c:v>61.832061068702295</c:v>
                </c:pt>
                <c:pt idx="47">
                  <c:v>186.20735213218617</c:v>
                </c:pt>
                <c:pt idx="48">
                  <c:v>187.09065032764454</c:v>
                </c:pt>
                <c:pt idx="49">
                  <c:v>62.475822050290134</c:v>
                </c:pt>
                <c:pt idx="50">
                  <c:v>62.403100775193799</c:v>
                </c:pt>
                <c:pt idx="51">
                  <c:v>187.35380135369002</c:v>
                </c:pt>
                <c:pt idx="52">
                  <c:v>124.53560726516633</c:v>
                </c:pt>
                <c:pt idx="53">
                  <c:v>124.2393774798721</c:v>
                </c:pt>
                <c:pt idx="54">
                  <c:v>248.9641039748816</c:v>
                </c:pt>
                <c:pt idx="55">
                  <c:v>62.301587301587304</c:v>
                </c:pt>
                <c:pt idx="56">
                  <c:v>62.226640159045722</c:v>
                </c:pt>
                <c:pt idx="57">
                  <c:v>249.95069760996174</c:v>
                </c:pt>
                <c:pt idx="58">
                  <c:v>62.449799196787147</c:v>
                </c:pt>
                <c:pt idx="59">
                  <c:v>124.67263256961121</c:v>
                </c:pt>
                <c:pt idx="60">
                  <c:v>124.77242056189425</c:v>
                </c:pt>
                <c:pt idx="61">
                  <c:v>124.87301901416581</c:v>
                </c:pt>
                <c:pt idx="62">
                  <c:v>124.56669021987614</c:v>
                </c:pt>
                <c:pt idx="63">
                  <c:v>62.372188139059304</c:v>
                </c:pt>
                <c:pt idx="64">
                  <c:v>124.92299794661191</c:v>
                </c:pt>
                <c:pt idx="65">
                  <c:v>62.345679012345677</c:v>
                </c:pt>
                <c:pt idx="66">
                  <c:v>124.66473545198943</c:v>
                </c:pt>
                <c:pt idx="67">
                  <c:v>62.318840579710141</c:v>
                </c:pt>
                <c:pt idx="68">
                  <c:v>124.40282606257711</c:v>
                </c:pt>
                <c:pt idx="69">
                  <c:v>247.85705862280258</c:v>
                </c:pt>
                <c:pt idx="70">
                  <c:v>185.05229193609489</c:v>
                </c:pt>
                <c:pt idx="71">
                  <c:v>247.08358915166866</c:v>
                </c:pt>
                <c:pt idx="72">
                  <c:v>246.63082421394898</c:v>
                </c:pt>
                <c:pt idx="73">
                  <c:v>123.57387838338894</c:v>
                </c:pt>
                <c:pt idx="74">
                  <c:v>185.06457607739918</c:v>
                </c:pt>
                <c:pt idx="75">
                  <c:v>123.17751255091409</c:v>
                </c:pt>
                <c:pt idx="76">
                  <c:v>123.71599476364749</c:v>
                </c:pt>
                <c:pt idx="77">
                  <c:v>186.59400746868866</c:v>
                </c:pt>
                <c:pt idx="78">
                  <c:v>124.41979722205943</c:v>
                </c:pt>
                <c:pt idx="79">
                  <c:v>247.8299818323618</c:v>
                </c:pt>
                <c:pt idx="80">
                  <c:v>124.07630340787111</c:v>
                </c:pt>
                <c:pt idx="81">
                  <c:v>186.48610260906403</c:v>
                </c:pt>
                <c:pt idx="82">
                  <c:v>186.84819848685396</c:v>
                </c:pt>
                <c:pt idx="83">
                  <c:v>62.186788154897499</c:v>
                </c:pt>
                <c:pt idx="84">
                  <c:v>62.328767123287676</c:v>
                </c:pt>
                <c:pt idx="85">
                  <c:v>186.46749174905545</c:v>
                </c:pt>
                <c:pt idx="86">
                  <c:v>62.21198156682027</c:v>
                </c:pt>
                <c:pt idx="87">
                  <c:v>186.11070426990759</c:v>
                </c:pt>
                <c:pt idx="88">
                  <c:v>186.01465983122145</c:v>
                </c:pt>
                <c:pt idx="89">
                  <c:v>62.060889929742387</c:v>
                </c:pt>
                <c:pt idx="90">
                  <c:v>247.34876441685512</c:v>
                </c:pt>
                <c:pt idx="91">
                  <c:v>185.03576078921398</c:v>
                </c:pt>
                <c:pt idx="92">
                  <c:v>184.68912802977522</c:v>
                </c:pt>
                <c:pt idx="93">
                  <c:v>246.07965822329541</c:v>
                </c:pt>
                <c:pt idx="94">
                  <c:v>184.42835924000937</c:v>
                </c:pt>
                <c:pt idx="95">
                  <c:v>183.82306413731698</c:v>
                </c:pt>
                <c:pt idx="96">
                  <c:v>183.21001202473832</c:v>
                </c:pt>
                <c:pt idx="97">
                  <c:v>183.58160928924679</c:v>
                </c:pt>
                <c:pt idx="98">
                  <c:v>61</c:v>
                </c:pt>
                <c:pt idx="99">
                  <c:v>121.9575320210073</c:v>
                </c:pt>
                <c:pt idx="100">
                  <c:v>182.57525837078177</c:v>
                </c:pt>
                <c:pt idx="101">
                  <c:v>242.03693485427044</c:v>
                </c:pt>
                <c:pt idx="102">
                  <c:v>120.41065190165446</c:v>
                </c:pt>
                <c:pt idx="103">
                  <c:v>240.361891681011</c:v>
                </c:pt>
                <c:pt idx="104">
                  <c:v>60.15625</c:v>
                </c:pt>
                <c:pt idx="105">
                  <c:v>120.26164340491846</c:v>
                </c:pt>
                <c:pt idx="106">
                  <c:v>180.26329822228686</c:v>
                </c:pt>
                <c:pt idx="107">
                  <c:v>239.84028518694697</c:v>
                </c:pt>
                <c:pt idx="108">
                  <c:v>119.67857091654599</c:v>
                </c:pt>
                <c:pt idx="109">
                  <c:v>178.97588223820725</c:v>
                </c:pt>
                <c:pt idx="110">
                  <c:v>237.82162821664633</c:v>
                </c:pt>
                <c:pt idx="111">
                  <c:v>119.06743940990516</c:v>
                </c:pt>
                <c:pt idx="112">
                  <c:v>59.504132231404959</c:v>
                </c:pt>
                <c:pt idx="113">
                  <c:v>237.1701865765084</c:v>
                </c:pt>
                <c:pt idx="114">
                  <c:v>238.99253292428639</c:v>
                </c:pt>
                <c:pt idx="115">
                  <c:v>241.13556799433303</c:v>
                </c:pt>
                <c:pt idx="116">
                  <c:v>60.285714285714285</c:v>
                </c:pt>
                <c:pt idx="117">
                  <c:v>181.89755305662197</c:v>
                </c:pt>
                <c:pt idx="118">
                  <c:v>121.27335176342464</c:v>
                </c:pt>
                <c:pt idx="119">
                  <c:v>60.465116279069761</c:v>
                </c:pt>
                <c:pt idx="120">
                  <c:v>240.99519205590497</c:v>
                </c:pt>
                <c:pt idx="121">
                  <c:v>60.176991150442483</c:v>
                </c:pt>
                <c:pt idx="122">
                  <c:v>180.11887203567184</c:v>
                </c:pt>
                <c:pt idx="123">
                  <c:v>241.98037871421369</c:v>
                </c:pt>
                <c:pt idx="124">
                  <c:v>244.00887916668202</c:v>
                </c:pt>
                <c:pt idx="125">
                  <c:v>122.5117727622371</c:v>
                </c:pt>
                <c:pt idx="126">
                  <c:v>184.260429437932</c:v>
                </c:pt>
                <c:pt idx="127">
                  <c:v>246.17938563413404</c:v>
                </c:pt>
                <c:pt idx="128">
                  <c:v>61.635220125786162</c:v>
                </c:pt>
                <c:pt idx="129">
                  <c:v>61.514195583596212</c:v>
                </c:pt>
                <c:pt idx="130">
                  <c:v>123.61362266425557</c:v>
                </c:pt>
                <c:pt idx="131">
                  <c:v>62.101910828025474</c:v>
                </c:pt>
                <c:pt idx="132">
                  <c:v>186.53973907227865</c:v>
                </c:pt>
                <c:pt idx="133">
                  <c:v>250.89260385606426</c:v>
                </c:pt>
                <c:pt idx="134">
                  <c:v>62.745098039215684</c:v>
                </c:pt>
                <c:pt idx="135">
                  <c:v>126.10871440897326</c:v>
                </c:pt>
                <c:pt idx="136">
                  <c:v>251.40757525621655</c:v>
                </c:pt>
                <c:pt idx="137">
                  <c:v>62.541806020066893</c:v>
                </c:pt>
                <c:pt idx="138">
                  <c:v>62.416107382550337</c:v>
                </c:pt>
                <c:pt idx="139">
                  <c:v>62.289562289562298</c:v>
                </c:pt>
                <c:pt idx="140">
                  <c:v>251.27696621542117</c:v>
                </c:pt>
                <c:pt idx="141">
                  <c:v>189.68985320925188</c:v>
                </c:pt>
                <c:pt idx="142">
                  <c:v>188.54077080377823</c:v>
                </c:pt>
                <c:pt idx="143">
                  <c:v>249.91166621156907</c:v>
                </c:pt>
                <c:pt idx="144">
                  <c:v>252.05200428049622</c:v>
                </c:pt>
                <c:pt idx="145">
                  <c:v>125.76552476430408</c:v>
                </c:pt>
                <c:pt idx="146">
                  <c:v>125.22661396574441</c:v>
                </c:pt>
                <c:pt idx="147">
                  <c:v>251.00935963019649</c:v>
                </c:pt>
                <c:pt idx="148">
                  <c:v>126.1599889852678</c:v>
                </c:pt>
                <c:pt idx="149">
                  <c:v>125.98104980714405</c:v>
                </c:pt>
                <c:pt idx="150">
                  <c:v>62.781954887218049</c:v>
                </c:pt>
                <c:pt idx="151">
                  <c:v>251.23503913494267</c:v>
                </c:pt>
                <c:pt idx="152">
                  <c:v>126.29531388152077</c:v>
                </c:pt>
                <c:pt idx="153">
                  <c:v>188.3709750056687</c:v>
                </c:pt>
                <c:pt idx="154">
                  <c:v>249.11300155429885</c:v>
                </c:pt>
                <c:pt idx="155">
                  <c:v>248.30037128213098</c:v>
                </c:pt>
                <c:pt idx="156">
                  <c:v>61.693548387096776</c:v>
                </c:pt>
                <c:pt idx="157">
                  <c:v>246.84497838750423</c:v>
                </c:pt>
                <c:pt idx="158">
                  <c:v>185.94911491093225</c:v>
                </c:pt>
                <c:pt idx="159">
                  <c:v>248.21820993107798</c:v>
                </c:pt>
                <c:pt idx="160">
                  <c:v>246.90757108499318</c:v>
                </c:pt>
                <c:pt idx="161">
                  <c:v>123.97372742200329</c:v>
                </c:pt>
                <c:pt idx="162">
                  <c:v>246.82729691025992</c:v>
                </c:pt>
                <c:pt idx="163">
                  <c:v>246.76680086826323</c:v>
                </c:pt>
                <c:pt idx="164">
                  <c:v>244.89808508744852</c:v>
                </c:pt>
                <c:pt idx="165">
                  <c:v>183.41060800368288</c:v>
                </c:pt>
                <c:pt idx="166">
                  <c:v>244.02710628270643</c:v>
                </c:pt>
                <c:pt idx="167">
                  <c:v>61.137440758293835</c:v>
                </c:pt>
                <c:pt idx="168">
                  <c:v>245.08293987985064</c:v>
                </c:pt>
                <c:pt idx="169">
                  <c:v>245.96476455476406</c:v>
                </c:pt>
                <c:pt idx="170">
                  <c:v>123.57273040736908</c:v>
                </c:pt>
                <c:pt idx="171">
                  <c:v>184.42269427947818</c:v>
                </c:pt>
                <c:pt idx="172">
                  <c:v>184.69447521296686</c:v>
                </c:pt>
                <c:pt idx="173">
                  <c:v>122.480102558624</c:v>
                </c:pt>
                <c:pt idx="174">
                  <c:v>123.23843804537522</c:v>
                </c:pt>
                <c:pt idx="175">
                  <c:v>124.01002506265664</c:v>
                </c:pt>
                <c:pt idx="176">
                  <c:v>246.64903247365197</c:v>
                </c:pt>
                <c:pt idx="177">
                  <c:v>184.70013889650383</c:v>
                </c:pt>
                <c:pt idx="178">
                  <c:v>244.00509001391401</c:v>
                </c:pt>
                <c:pt idx="179">
                  <c:v>244.44298288892094</c:v>
                </c:pt>
                <c:pt idx="180">
                  <c:v>183.1369013787774</c:v>
                </c:pt>
                <c:pt idx="181">
                  <c:v>183.43273995988926</c:v>
                </c:pt>
                <c:pt idx="182">
                  <c:v>61.077844311377248</c:v>
                </c:pt>
                <c:pt idx="183">
                  <c:v>182.42504385613407</c:v>
                </c:pt>
                <c:pt idx="184">
                  <c:v>182.71687264752083</c:v>
                </c:pt>
                <c:pt idx="185">
                  <c:v>121.00235849056602</c:v>
                </c:pt>
                <c:pt idx="186">
                  <c:v>183.44445202463424</c:v>
                </c:pt>
                <c:pt idx="187">
                  <c:v>61.935483870967744</c:v>
                </c:pt>
                <c:pt idx="188">
                  <c:v>61.688311688311693</c:v>
                </c:pt>
                <c:pt idx="189">
                  <c:v>61.437908496732028</c:v>
                </c:pt>
                <c:pt idx="190">
                  <c:v>61.184210526315788</c:v>
                </c:pt>
                <c:pt idx="191">
                  <c:v>244.80737362100976</c:v>
                </c:pt>
                <c:pt idx="192">
                  <c:v>246.74284648515368</c:v>
                </c:pt>
                <c:pt idx="193">
                  <c:v>185.9117208832522</c:v>
                </c:pt>
                <c:pt idx="194">
                  <c:v>245.48772207695148</c:v>
                </c:pt>
                <c:pt idx="195">
                  <c:v>247.58136195038369</c:v>
                </c:pt>
                <c:pt idx="196">
                  <c:v>185.50338974003097</c:v>
                </c:pt>
                <c:pt idx="197">
                  <c:v>123.73425387596899</c:v>
                </c:pt>
                <c:pt idx="198">
                  <c:v>243.81230491349874</c:v>
                </c:pt>
                <c:pt idx="199">
                  <c:v>181.96192597341229</c:v>
                </c:pt>
                <c:pt idx="200">
                  <c:v>181.50702653942932</c:v>
                </c:pt>
                <c:pt idx="201">
                  <c:v>183.62978767026743</c:v>
                </c:pt>
                <c:pt idx="202">
                  <c:v>123.35041142679708</c:v>
                </c:pt>
                <c:pt idx="203">
                  <c:v>62.5</c:v>
                </c:pt>
                <c:pt idx="204">
                  <c:v>125.7903357903358</c:v>
                </c:pt>
                <c:pt idx="205">
                  <c:v>254.89398644785214</c:v>
                </c:pt>
                <c:pt idx="206">
                  <c:v>64.761904761904759</c:v>
                </c:pt>
                <c:pt idx="207">
                  <c:v>195.13904142687693</c:v>
                </c:pt>
                <c:pt idx="208">
                  <c:v>64.356435643564353</c:v>
                </c:pt>
                <c:pt idx="209">
                  <c:v>191.9220779220779</c:v>
                </c:pt>
                <c:pt idx="210">
                  <c:v>191.66971875565201</c:v>
                </c:pt>
                <c:pt idx="211">
                  <c:v>128.34591626630061</c:v>
                </c:pt>
                <c:pt idx="212">
                  <c:v>65.217391304347828</c:v>
                </c:pt>
                <c:pt idx="213">
                  <c:v>193.32455309983399</c:v>
                </c:pt>
                <c:pt idx="214">
                  <c:v>253.17486388008581</c:v>
                </c:pt>
                <c:pt idx="215">
                  <c:v>195.19961378615511</c:v>
                </c:pt>
                <c:pt idx="216">
                  <c:v>130.4320987654321</c:v>
                </c:pt>
                <c:pt idx="217">
                  <c:v>264.51269139477</c:v>
                </c:pt>
                <c:pt idx="218">
                  <c:v>130.19819819819821</c:v>
                </c:pt>
                <c:pt idx="219">
                  <c:v>128.27245053272452</c:v>
                </c:pt>
                <c:pt idx="220">
                  <c:v>130.50301810865193</c:v>
                </c:pt>
                <c:pt idx="221">
                  <c:v>259.25389328641609</c:v>
                </c:pt>
                <c:pt idx="222">
                  <c:v>66.153846153846146</c:v>
                </c:pt>
                <c:pt idx="223">
                  <c:v>65.625</c:v>
                </c:pt>
                <c:pt idx="224">
                  <c:v>66.666666666666657</c:v>
                </c:pt>
                <c:pt idx="225">
                  <c:v>67.741935483870961</c:v>
                </c:pt>
                <c:pt idx="226">
                  <c:v>68.852459016393439</c:v>
                </c:pt>
                <c:pt idx="227">
                  <c:v>141.18644067796612</c:v>
                </c:pt>
                <c:pt idx="228">
                  <c:v>292.10335792459205</c:v>
                </c:pt>
                <c:pt idx="229">
                  <c:v>74.074074074074076</c:v>
                </c:pt>
                <c:pt idx="230">
                  <c:v>219.21084834514357</c:v>
                </c:pt>
                <c:pt idx="231">
                  <c:v>143.42857142857144</c:v>
                </c:pt>
                <c:pt idx="232">
                  <c:v>210.61131668208449</c:v>
                </c:pt>
                <c:pt idx="233">
                  <c:v>215.93140709419777</c:v>
                </c:pt>
                <c:pt idx="234">
                  <c:v>144.5993031358885</c:v>
                </c:pt>
                <c:pt idx="235">
                  <c:v>217.97908232118758</c:v>
                </c:pt>
                <c:pt idx="236">
                  <c:v>222.25868725868725</c:v>
                </c:pt>
                <c:pt idx="237">
                  <c:v>289.0994264274625</c:v>
                </c:pt>
                <c:pt idx="238">
                  <c:v>138.9655172413793</c:v>
                </c:pt>
                <c:pt idx="239">
                  <c:v>286.87586487586486</c:v>
                </c:pt>
                <c:pt idx="240">
                  <c:v>221.64031620553362</c:v>
                </c:pt>
                <c:pt idx="241">
                  <c:v>224.87468671679198</c:v>
                </c:pt>
                <c:pt idx="242">
                  <c:v>321.38071895424838</c:v>
                </c:pt>
                <c:pt idx="243">
                  <c:v>303.22177822177827</c:v>
                </c:pt>
                <c:pt idx="244">
                  <c:v>232.77777777777777</c:v>
                </c:pt>
                <c:pt idx="245">
                  <c:v>309.76190476190476</c:v>
                </c:pt>
                <c:pt idx="246">
                  <c:v>66.666666666666657</c:v>
                </c:pt>
                <c:pt idx="24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53-4E03-943F-63C4F67CF23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Sheet22!$A$1:$A$248</c:f>
              <c:numCache>
                <c:formatCode>General</c:formatCode>
                <c:ptCount val="2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42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48</c:v>
                </c:pt>
                <c:pt idx="40">
                  <c:v>49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63</c:v>
                </c:pt>
                <c:pt idx="53">
                  <c:v>64</c:v>
                </c:pt>
                <c:pt idx="54">
                  <c:v>66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72</c:v>
                </c:pt>
                <c:pt idx="59">
                  <c:v>73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89</c:v>
                </c:pt>
                <c:pt idx="75">
                  <c:v>90</c:v>
                </c:pt>
                <c:pt idx="76">
                  <c:v>91</c:v>
                </c:pt>
                <c:pt idx="77">
                  <c:v>92</c:v>
                </c:pt>
                <c:pt idx="78">
                  <c:v>93</c:v>
                </c:pt>
                <c:pt idx="79">
                  <c:v>94</c:v>
                </c:pt>
                <c:pt idx="80">
                  <c:v>95</c:v>
                </c:pt>
                <c:pt idx="81">
                  <c:v>96</c:v>
                </c:pt>
                <c:pt idx="82">
                  <c:v>97</c:v>
                </c:pt>
                <c:pt idx="83">
                  <c:v>98</c:v>
                </c:pt>
                <c:pt idx="84">
                  <c:v>99</c:v>
                </c:pt>
                <c:pt idx="85">
                  <c:v>100</c:v>
                </c:pt>
                <c:pt idx="86">
                  <c:v>101</c:v>
                </c:pt>
                <c:pt idx="87">
                  <c:v>102</c:v>
                </c:pt>
                <c:pt idx="88">
                  <c:v>103</c:v>
                </c:pt>
                <c:pt idx="89">
                  <c:v>104</c:v>
                </c:pt>
                <c:pt idx="90">
                  <c:v>105</c:v>
                </c:pt>
                <c:pt idx="91">
                  <c:v>106</c:v>
                </c:pt>
                <c:pt idx="92">
                  <c:v>107</c:v>
                </c:pt>
                <c:pt idx="93">
                  <c:v>108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115</c:v>
                </c:pt>
                <c:pt idx="99">
                  <c:v>116</c:v>
                </c:pt>
                <c:pt idx="100">
                  <c:v>117</c:v>
                </c:pt>
                <c:pt idx="101">
                  <c:v>119</c:v>
                </c:pt>
                <c:pt idx="102">
                  <c:v>120</c:v>
                </c:pt>
                <c:pt idx="103">
                  <c:v>121</c:v>
                </c:pt>
                <c:pt idx="104">
                  <c:v>122</c:v>
                </c:pt>
                <c:pt idx="105">
                  <c:v>124</c:v>
                </c:pt>
                <c:pt idx="106">
                  <c:v>125</c:v>
                </c:pt>
                <c:pt idx="107">
                  <c:v>126</c:v>
                </c:pt>
                <c:pt idx="108">
                  <c:v>128</c:v>
                </c:pt>
                <c:pt idx="109">
                  <c:v>129</c:v>
                </c:pt>
                <c:pt idx="110">
                  <c:v>131</c:v>
                </c:pt>
                <c:pt idx="111">
                  <c:v>134</c:v>
                </c:pt>
                <c:pt idx="112">
                  <c:v>135</c:v>
                </c:pt>
                <c:pt idx="113">
                  <c:v>136</c:v>
                </c:pt>
                <c:pt idx="114">
                  <c:v>137</c:v>
                </c:pt>
                <c:pt idx="115">
                  <c:v>139</c:v>
                </c:pt>
                <c:pt idx="116">
                  <c:v>140</c:v>
                </c:pt>
                <c:pt idx="117">
                  <c:v>142</c:v>
                </c:pt>
                <c:pt idx="118">
                  <c:v>143</c:v>
                </c:pt>
                <c:pt idx="119">
                  <c:v>144</c:v>
                </c:pt>
                <c:pt idx="120">
                  <c:v>146</c:v>
                </c:pt>
                <c:pt idx="121">
                  <c:v>148</c:v>
                </c:pt>
                <c:pt idx="122">
                  <c:v>149</c:v>
                </c:pt>
                <c:pt idx="123">
                  <c:v>150</c:v>
                </c:pt>
                <c:pt idx="124">
                  <c:v>151</c:v>
                </c:pt>
                <c:pt idx="125">
                  <c:v>152</c:v>
                </c:pt>
                <c:pt idx="126">
                  <c:v>153</c:v>
                </c:pt>
                <c:pt idx="127">
                  <c:v>154</c:v>
                </c:pt>
                <c:pt idx="128">
                  <c:v>155</c:v>
                </c:pt>
                <c:pt idx="129">
                  <c:v>156</c:v>
                </c:pt>
                <c:pt idx="130">
                  <c:v>158</c:v>
                </c:pt>
                <c:pt idx="131">
                  <c:v>160</c:v>
                </c:pt>
                <c:pt idx="132">
                  <c:v>161</c:v>
                </c:pt>
                <c:pt idx="133">
                  <c:v>162</c:v>
                </c:pt>
                <c:pt idx="134">
                  <c:v>163</c:v>
                </c:pt>
                <c:pt idx="135">
                  <c:v>164</c:v>
                </c:pt>
                <c:pt idx="136">
                  <c:v>165</c:v>
                </c:pt>
                <c:pt idx="137">
                  <c:v>166</c:v>
                </c:pt>
                <c:pt idx="138">
                  <c:v>167</c:v>
                </c:pt>
                <c:pt idx="139">
                  <c:v>168</c:v>
                </c:pt>
                <c:pt idx="140">
                  <c:v>169</c:v>
                </c:pt>
                <c:pt idx="141">
                  <c:v>170</c:v>
                </c:pt>
                <c:pt idx="142">
                  <c:v>171</c:v>
                </c:pt>
                <c:pt idx="143">
                  <c:v>172</c:v>
                </c:pt>
                <c:pt idx="144">
                  <c:v>173</c:v>
                </c:pt>
                <c:pt idx="145">
                  <c:v>174</c:v>
                </c:pt>
                <c:pt idx="146">
                  <c:v>175</c:v>
                </c:pt>
                <c:pt idx="147">
                  <c:v>176</c:v>
                </c:pt>
                <c:pt idx="148">
                  <c:v>177</c:v>
                </c:pt>
                <c:pt idx="149">
                  <c:v>178</c:v>
                </c:pt>
                <c:pt idx="150">
                  <c:v>179</c:v>
                </c:pt>
                <c:pt idx="151">
                  <c:v>180</c:v>
                </c:pt>
                <c:pt idx="152">
                  <c:v>182</c:v>
                </c:pt>
                <c:pt idx="153">
                  <c:v>183</c:v>
                </c:pt>
                <c:pt idx="154">
                  <c:v>184</c:v>
                </c:pt>
                <c:pt idx="155">
                  <c:v>185</c:v>
                </c:pt>
                <c:pt idx="156">
                  <c:v>186</c:v>
                </c:pt>
                <c:pt idx="157">
                  <c:v>187</c:v>
                </c:pt>
                <c:pt idx="158">
                  <c:v>188</c:v>
                </c:pt>
                <c:pt idx="159">
                  <c:v>189</c:v>
                </c:pt>
                <c:pt idx="160">
                  <c:v>190</c:v>
                </c:pt>
                <c:pt idx="161">
                  <c:v>191</c:v>
                </c:pt>
                <c:pt idx="162">
                  <c:v>192</c:v>
                </c:pt>
                <c:pt idx="163">
                  <c:v>193</c:v>
                </c:pt>
                <c:pt idx="164">
                  <c:v>194</c:v>
                </c:pt>
                <c:pt idx="165">
                  <c:v>196</c:v>
                </c:pt>
                <c:pt idx="166">
                  <c:v>198</c:v>
                </c:pt>
                <c:pt idx="167">
                  <c:v>199</c:v>
                </c:pt>
                <c:pt idx="168">
                  <c:v>200</c:v>
                </c:pt>
                <c:pt idx="169">
                  <c:v>201</c:v>
                </c:pt>
                <c:pt idx="170">
                  <c:v>202</c:v>
                </c:pt>
                <c:pt idx="171">
                  <c:v>203</c:v>
                </c:pt>
                <c:pt idx="172">
                  <c:v>204</c:v>
                </c:pt>
                <c:pt idx="173">
                  <c:v>205</c:v>
                </c:pt>
                <c:pt idx="174">
                  <c:v>206</c:v>
                </c:pt>
                <c:pt idx="175">
                  <c:v>207</c:v>
                </c:pt>
                <c:pt idx="176">
                  <c:v>208</c:v>
                </c:pt>
                <c:pt idx="177">
                  <c:v>209</c:v>
                </c:pt>
                <c:pt idx="178">
                  <c:v>210</c:v>
                </c:pt>
                <c:pt idx="179">
                  <c:v>211</c:v>
                </c:pt>
                <c:pt idx="180">
                  <c:v>212</c:v>
                </c:pt>
                <c:pt idx="181">
                  <c:v>214</c:v>
                </c:pt>
                <c:pt idx="182">
                  <c:v>215</c:v>
                </c:pt>
                <c:pt idx="183">
                  <c:v>216</c:v>
                </c:pt>
                <c:pt idx="184">
                  <c:v>217</c:v>
                </c:pt>
                <c:pt idx="185">
                  <c:v>218</c:v>
                </c:pt>
                <c:pt idx="186">
                  <c:v>219</c:v>
                </c:pt>
                <c:pt idx="187">
                  <c:v>223</c:v>
                </c:pt>
                <c:pt idx="188">
                  <c:v>224</c:v>
                </c:pt>
                <c:pt idx="189">
                  <c:v>226</c:v>
                </c:pt>
                <c:pt idx="190">
                  <c:v>229</c:v>
                </c:pt>
                <c:pt idx="191">
                  <c:v>230</c:v>
                </c:pt>
                <c:pt idx="192">
                  <c:v>231</c:v>
                </c:pt>
                <c:pt idx="193">
                  <c:v>232</c:v>
                </c:pt>
                <c:pt idx="194">
                  <c:v>234</c:v>
                </c:pt>
                <c:pt idx="195">
                  <c:v>235</c:v>
                </c:pt>
                <c:pt idx="196">
                  <c:v>236</c:v>
                </c:pt>
                <c:pt idx="197">
                  <c:v>237</c:v>
                </c:pt>
                <c:pt idx="198">
                  <c:v>238</c:v>
                </c:pt>
                <c:pt idx="199">
                  <c:v>239</c:v>
                </c:pt>
                <c:pt idx="200">
                  <c:v>240</c:v>
                </c:pt>
                <c:pt idx="201">
                  <c:v>241</c:v>
                </c:pt>
                <c:pt idx="202">
                  <c:v>242</c:v>
                </c:pt>
                <c:pt idx="203">
                  <c:v>243</c:v>
                </c:pt>
                <c:pt idx="204">
                  <c:v>245</c:v>
                </c:pt>
                <c:pt idx="205">
                  <c:v>246</c:v>
                </c:pt>
                <c:pt idx="206">
                  <c:v>249</c:v>
                </c:pt>
                <c:pt idx="207">
                  <c:v>250</c:v>
                </c:pt>
                <c:pt idx="208">
                  <c:v>253</c:v>
                </c:pt>
                <c:pt idx="209">
                  <c:v>254</c:v>
                </c:pt>
                <c:pt idx="210">
                  <c:v>255</c:v>
                </c:pt>
                <c:pt idx="211">
                  <c:v>256</c:v>
                </c:pt>
                <c:pt idx="212">
                  <c:v>257</c:v>
                </c:pt>
                <c:pt idx="213">
                  <c:v>258</c:v>
                </c:pt>
                <c:pt idx="214">
                  <c:v>259</c:v>
                </c:pt>
                <c:pt idx="215">
                  <c:v>260</c:v>
                </c:pt>
                <c:pt idx="216">
                  <c:v>263</c:v>
                </c:pt>
                <c:pt idx="217">
                  <c:v>265</c:v>
                </c:pt>
                <c:pt idx="218">
                  <c:v>267</c:v>
                </c:pt>
                <c:pt idx="219">
                  <c:v>269</c:v>
                </c:pt>
                <c:pt idx="220">
                  <c:v>271</c:v>
                </c:pt>
                <c:pt idx="221">
                  <c:v>272</c:v>
                </c:pt>
                <c:pt idx="222">
                  <c:v>273</c:v>
                </c:pt>
                <c:pt idx="223">
                  <c:v>274</c:v>
                </c:pt>
                <c:pt idx="224">
                  <c:v>275</c:v>
                </c:pt>
                <c:pt idx="225">
                  <c:v>276</c:v>
                </c:pt>
                <c:pt idx="226">
                  <c:v>277</c:v>
                </c:pt>
                <c:pt idx="227">
                  <c:v>278</c:v>
                </c:pt>
                <c:pt idx="228">
                  <c:v>279</c:v>
                </c:pt>
                <c:pt idx="229">
                  <c:v>280</c:v>
                </c:pt>
                <c:pt idx="230">
                  <c:v>283</c:v>
                </c:pt>
                <c:pt idx="231">
                  <c:v>284</c:v>
                </c:pt>
                <c:pt idx="232">
                  <c:v>285</c:v>
                </c:pt>
                <c:pt idx="233">
                  <c:v>286</c:v>
                </c:pt>
                <c:pt idx="234">
                  <c:v>287</c:v>
                </c:pt>
                <c:pt idx="235">
                  <c:v>288</c:v>
                </c:pt>
                <c:pt idx="236">
                  <c:v>289</c:v>
                </c:pt>
                <c:pt idx="237">
                  <c:v>290</c:v>
                </c:pt>
                <c:pt idx="238">
                  <c:v>291</c:v>
                </c:pt>
                <c:pt idx="239">
                  <c:v>292</c:v>
                </c:pt>
                <c:pt idx="240">
                  <c:v>293</c:v>
                </c:pt>
                <c:pt idx="241">
                  <c:v>294</c:v>
                </c:pt>
                <c:pt idx="242">
                  <c:v>295</c:v>
                </c:pt>
                <c:pt idx="243">
                  <c:v>296</c:v>
                </c:pt>
                <c:pt idx="244">
                  <c:v>297</c:v>
                </c:pt>
                <c:pt idx="245">
                  <c:v>298</c:v>
                </c:pt>
                <c:pt idx="246">
                  <c:v>299</c:v>
                </c:pt>
                <c:pt idx="247">
                  <c:v>300</c:v>
                </c:pt>
              </c:numCache>
            </c:numRef>
          </c:xVal>
          <c:yVal>
            <c:numRef>
              <c:f>Sheet22!$C$1:$C$248</c:f>
              <c:numCache>
                <c:formatCode>General</c:formatCode>
                <c:ptCount val="24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4</c:v>
                </c:pt>
                <c:pt idx="55">
                  <c:v>1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4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3</c:v>
                </c:pt>
                <c:pt idx="88">
                  <c:v>3</c:v>
                </c:pt>
                <c:pt idx="89">
                  <c:v>1</c:v>
                </c:pt>
                <c:pt idx="90">
                  <c:v>4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2</c:v>
                </c:pt>
                <c:pt idx="109">
                  <c:v>3</c:v>
                </c:pt>
                <c:pt idx="110">
                  <c:v>4</c:v>
                </c:pt>
                <c:pt idx="111">
                  <c:v>2</c:v>
                </c:pt>
                <c:pt idx="112">
                  <c:v>1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1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4</c:v>
                </c:pt>
                <c:pt idx="121">
                  <c:v>1</c:v>
                </c:pt>
                <c:pt idx="122">
                  <c:v>3</c:v>
                </c:pt>
                <c:pt idx="123">
                  <c:v>4</c:v>
                </c:pt>
                <c:pt idx="124">
                  <c:v>4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4</c:v>
                </c:pt>
                <c:pt idx="134">
                  <c:v>1</c:v>
                </c:pt>
                <c:pt idx="135">
                  <c:v>2</c:v>
                </c:pt>
                <c:pt idx="136">
                  <c:v>4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4</c:v>
                </c:pt>
                <c:pt idx="141">
                  <c:v>3</c:v>
                </c:pt>
                <c:pt idx="142">
                  <c:v>3</c:v>
                </c:pt>
                <c:pt idx="143">
                  <c:v>4</c:v>
                </c:pt>
                <c:pt idx="144">
                  <c:v>4</c:v>
                </c:pt>
                <c:pt idx="145">
                  <c:v>2</c:v>
                </c:pt>
                <c:pt idx="146">
                  <c:v>2</c:v>
                </c:pt>
                <c:pt idx="147">
                  <c:v>4</c:v>
                </c:pt>
                <c:pt idx="148">
                  <c:v>2</c:v>
                </c:pt>
                <c:pt idx="149">
                  <c:v>2</c:v>
                </c:pt>
                <c:pt idx="150">
                  <c:v>1</c:v>
                </c:pt>
                <c:pt idx="151">
                  <c:v>4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1</c:v>
                </c:pt>
                <c:pt idx="157">
                  <c:v>4</c:v>
                </c:pt>
                <c:pt idx="158">
                  <c:v>3</c:v>
                </c:pt>
                <c:pt idx="159">
                  <c:v>4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3</c:v>
                </c:pt>
                <c:pt idx="166">
                  <c:v>4</c:v>
                </c:pt>
                <c:pt idx="167">
                  <c:v>1</c:v>
                </c:pt>
                <c:pt idx="168">
                  <c:v>4</c:v>
                </c:pt>
                <c:pt idx="169">
                  <c:v>4</c:v>
                </c:pt>
                <c:pt idx="170">
                  <c:v>2</c:v>
                </c:pt>
                <c:pt idx="171">
                  <c:v>3</c:v>
                </c:pt>
                <c:pt idx="172">
                  <c:v>3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4</c:v>
                </c:pt>
                <c:pt idx="180">
                  <c:v>3</c:v>
                </c:pt>
                <c:pt idx="181">
                  <c:v>3</c:v>
                </c:pt>
                <c:pt idx="182">
                  <c:v>1</c:v>
                </c:pt>
                <c:pt idx="183">
                  <c:v>3</c:v>
                </c:pt>
                <c:pt idx="184">
                  <c:v>3</c:v>
                </c:pt>
                <c:pt idx="185">
                  <c:v>2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4</c:v>
                </c:pt>
                <c:pt idx="192">
                  <c:v>4</c:v>
                </c:pt>
                <c:pt idx="193">
                  <c:v>3</c:v>
                </c:pt>
                <c:pt idx="194">
                  <c:v>4</c:v>
                </c:pt>
                <c:pt idx="195">
                  <c:v>4</c:v>
                </c:pt>
                <c:pt idx="196">
                  <c:v>3</c:v>
                </c:pt>
                <c:pt idx="197">
                  <c:v>2</c:v>
                </c:pt>
                <c:pt idx="198">
                  <c:v>4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4</c:v>
                </c:pt>
                <c:pt idx="206">
                  <c:v>1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3</c:v>
                </c:pt>
                <c:pt idx="211">
                  <c:v>2</c:v>
                </c:pt>
                <c:pt idx="212">
                  <c:v>1</c:v>
                </c:pt>
                <c:pt idx="213">
                  <c:v>3</c:v>
                </c:pt>
                <c:pt idx="214">
                  <c:v>4</c:v>
                </c:pt>
                <c:pt idx="215">
                  <c:v>3</c:v>
                </c:pt>
                <c:pt idx="216">
                  <c:v>2</c:v>
                </c:pt>
                <c:pt idx="217">
                  <c:v>4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4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3</c:v>
                </c:pt>
                <c:pt idx="231">
                  <c:v>2</c:v>
                </c:pt>
                <c:pt idx="232">
                  <c:v>3</c:v>
                </c:pt>
                <c:pt idx="233">
                  <c:v>3</c:v>
                </c:pt>
                <c:pt idx="234">
                  <c:v>2</c:v>
                </c:pt>
                <c:pt idx="235">
                  <c:v>3</c:v>
                </c:pt>
                <c:pt idx="236">
                  <c:v>3</c:v>
                </c:pt>
                <c:pt idx="237">
                  <c:v>4</c:v>
                </c:pt>
                <c:pt idx="238">
                  <c:v>2</c:v>
                </c:pt>
                <c:pt idx="239">
                  <c:v>4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  <c:pt idx="243">
                  <c:v>4</c:v>
                </c:pt>
                <c:pt idx="244">
                  <c:v>3</c:v>
                </c:pt>
                <c:pt idx="245">
                  <c:v>4</c:v>
                </c:pt>
                <c:pt idx="246">
                  <c:v>1</c:v>
                </c:pt>
                <c:pt idx="24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53-4E03-943F-63C4F67CF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656192"/>
        <c:axId val="2024309456"/>
      </c:scatterChart>
      <c:valAx>
        <c:axId val="211165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309456"/>
        <c:crosses val="autoZero"/>
        <c:crossBetween val="midCat"/>
      </c:valAx>
      <c:valAx>
        <c:axId val="202430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65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anylatic.xlsx]Sheet14!PivotTable14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Sum of leave days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83-4CB1-B8AC-CDED0F5CA6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83-4CB1-B8AC-CDED0F5CA6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83-4CB1-B8AC-CDED0F5CA6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83-4CB1-B8AC-CDED0F5CA6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83-4CB1-B8AC-CDED0F5CA6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83-4CB1-B8AC-CDED0F5CA6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383-4CB1-B8AC-CDED0F5CA69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383-4CB1-B8AC-CDED0F5CA690}"/>
              </c:ext>
            </c:extLst>
          </c:dPt>
          <c:cat>
            <c:strRef>
              <c:f>Sheet14!$A$4:$A$12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Not Found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Sheet14!$B$4:$B$12</c:f>
              <c:numCache>
                <c:formatCode>General</c:formatCode>
                <c:ptCount val="8"/>
                <c:pt idx="0">
                  <c:v>83</c:v>
                </c:pt>
                <c:pt idx="1">
                  <c:v>120</c:v>
                </c:pt>
                <c:pt idx="2">
                  <c:v>100</c:v>
                </c:pt>
                <c:pt idx="3">
                  <c:v>124</c:v>
                </c:pt>
                <c:pt idx="4">
                  <c:v>91</c:v>
                </c:pt>
                <c:pt idx="5">
                  <c:v>839</c:v>
                </c:pt>
                <c:pt idx="6">
                  <c:v>92</c:v>
                </c:pt>
                <c:pt idx="7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383-4CB1-B8AC-CDED0F5CA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[salary anylatic.xlsx]Sheet15!PivotTable15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/>
              <a:t>Employee-wise Total Leave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Sheet15!$A$4:$A$644</c:f>
              <c:strCache>
                <c:ptCount val="640"/>
                <c:pt idx="0">
                  <c:v>542</c:v>
                </c:pt>
                <c:pt idx="1">
                  <c:v>463</c:v>
                </c:pt>
                <c:pt idx="2">
                  <c:v>623</c:v>
                </c:pt>
                <c:pt idx="3">
                  <c:v>323</c:v>
                </c:pt>
                <c:pt idx="4">
                  <c:v>507</c:v>
                </c:pt>
                <c:pt idx="5">
                  <c:v>324</c:v>
                </c:pt>
                <c:pt idx="6">
                  <c:v>594</c:v>
                </c:pt>
                <c:pt idx="7">
                  <c:v>327</c:v>
                </c:pt>
                <c:pt idx="8">
                  <c:v>455</c:v>
                </c:pt>
                <c:pt idx="9">
                  <c:v>336</c:v>
                </c:pt>
                <c:pt idx="10">
                  <c:v>488</c:v>
                </c:pt>
                <c:pt idx="11">
                  <c:v>337</c:v>
                </c:pt>
                <c:pt idx="12">
                  <c:v>521</c:v>
                </c:pt>
                <c:pt idx="13">
                  <c:v>338</c:v>
                </c:pt>
                <c:pt idx="14">
                  <c:v>573</c:v>
                </c:pt>
                <c:pt idx="15">
                  <c:v>340</c:v>
                </c:pt>
                <c:pt idx="16">
                  <c:v>607</c:v>
                </c:pt>
                <c:pt idx="17">
                  <c:v>343</c:v>
                </c:pt>
                <c:pt idx="18">
                  <c:v>446</c:v>
                </c:pt>
                <c:pt idx="19">
                  <c:v>344</c:v>
                </c:pt>
                <c:pt idx="20">
                  <c:v>459</c:v>
                </c:pt>
                <c:pt idx="21">
                  <c:v>345</c:v>
                </c:pt>
                <c:pt idx="22">
                  <c:v>473</c:v>
                </c:pt>
                <c:pt idx="23">
                  <c:v>347</c:v>
                </c:pt>
                <c:pt idx="24">
                  <c:v>500</c:v>
                </c:pt>
                <c:pt idx="25">
                  <c:v>354</c:v>
                </c:pt>
                <c:pt idx="26">
                  <c:v>513</c:v>
                </c:pt>
                <c:pt idx="27">
                  <c:v>355</c:v>
                </c:pt>
                <c:pt idx="28">
                  <c:v>524</c:v>
                </c:pt>
                <c:pt idx="29">
                  <c:v>361</c:v>
                </c:pt>
                <c:pt idx="30">
                  <c:v>551</c:v>
                </c:pt>
                <c:pt idx="31">
                  <c:v>365</c:v>
                </c:pt>
                <c:pt idx="32">
                  <c:v>582</c:v>
                </c:pt>
                <c:pt idx="33">
                  <c:v>372</c:v>
                </c:pt>
                <c:pt idx="34">
                  <c:v>599</c:v>
                </c:pt>
                <c:pt idx="35">
                  <c:v>376</c:v>
                </c:pt>
                <c:pt idx="36">
                  <c:v>612</c:v>
                </c:pt>
                <c:pt idx="37">
                  <c:v>378</c:v>
                </c:pt>
                <c:pt idx="38">
                  <c:v>444</c:v>
                </c:pt>
                <c:pt idx="39">
                  <c:v>379</c:v>
                </c:pt>
                <c:pt idx="40">
                  <c:v>448</c:v>
                </c:pt>
                <c:pt idx="41">
                  <c:v>390</c:v>
                </c:pt>
                <c:pt idx="42">
                  <c:v>457</c:v>
                </c:pt>
                <c:pt idx="43">
                  <c:v>391</c:v>
                </c:pt>
                <c:pt idx="44">
                  <c:v>461</c:v>
                </c:pt>
                <c:pt idx="45">
                  <c:v>394</c:v>
                </c:pt>
                <c:pt idx="46">
                  <c:v>469</c:v>
                </c:pt>
                <c:pt idx="47">
                  <c:v>396</c:v>
                </c:pt>
                <c:pt idx="48">
                  <c:v>487</c:v>
                </c:pt>
                <c:pt idx="49">
                  <c:v>397</c:v>
                </c:pt>
                <c:pt idx="50">
                  <c:v>492</c:v>
                </c:pt>
                <c:pt idx="51">
                  <c:v>400</c:v>
                </c:pt>
                <c:pt idx="52">
                  <c:v>506</c:v>
                </c:pt>
                <c:pt idx="53">
                  <c:v>405</c:v>
                </c:pt>
                <c:pt idx="54">
                  <c:v>511</c:v>
                </c:pt>
                <c:pt idx="55">
                  <c:v>406</c:v>
                </c:pt>
                <c:pt idx="56">
                  <c:v>520</c:v>
                </c:pt>
                <c:pt idx="57">
                  <c:v>408</c:v>
                </c:pt>
                <c:pt idx="58">
                  <c:v>522</c:v>
                </c:pt>
                <c:pt idx="59">
                  <c:v>409</c:v>
                </c:pt>
                <c:pt idx="60">
                  <c:v>530</c:v>
                </c:pt>
                <c:pt idx="61">
                  <c:v>427</c:v>
                </c:pt>
                <c:pt idx="62">
                  <c:v>548</c:v>
                </c:pt>
                <c:pt idx="63">
                  <c:v>428</c:v>
                </c:pt>
                <c:pt idx="64">
                  <c:v>563</c:v>
                </c:pt>
                <c:pt idx="65">
                  <c:v>432</c:v>
                </c:pt>
                <c:pt idx="66">
                  <c:v>574</c:v>
                </c:pt>
                <c:pt idx="67">
                  <c:v>433</c:v>
                </c:pt>
                <c:pt idx="68">
                  <c:v>591</c:v>
                </c:pt>
                <c:pt idx="69">
                  <c:v>434</c:v>
                </c:pt>
                <c:pt idx="70">
                  <c:v>598</c:v>
                </c:pt>
                <c:pt idx="71">
                  <c:v>435</c:v>
                </c:pt>
                <c:pt idx="72">
                  <c:v>605</c:v>
                </c:pt>
                <c:pt idx="73">
                  <c:v>436</c:v>
                </c:pt>
                <c:pt idx="74">
                  <c:v>610</c:v>
                </c:pt>
                <c:pt idx="75">
                  <c:v>439</c:v>
                </c:pt>
                <c:pt idx="76">
                  <c:v>620</c:v>
                </c:pt>
                <c:pt idx="77">
                  <c:v>440</c:v>
                </c:pt>
                <c:pt idx="78">
                  <c:v>624</c:v>
                </c:pt>
                <c:pt idx="79">
                  <c:v>441</c:v>
                </c:pt>
                <c:pt idx="80">
                  <c:v>480</c:v>
                </c:pt>
                <c:pt idx="81">
                  <c:v>260</c:v>
                </c:pt>
                <c:pt idx="82">
                  <c:v>200</c:v>
                </c:pt>
                <c:pt idx="83">
                  <c:v>319</c:v>
                </c:pt>
                <c:pt idx="84">
                  <c:v>8</c:v>
                </c:pt>
                <c:pt idx="85">
                  <c:v>237</c:v>
                </c:pt>
                <c:pt idx="86">
                  <c:v>16</c:v>
                </c:pt>
                <c:pt idx="87">
                  <c:v>289</c:v>
                </c:pt>
                <c:pt idx="88">
                  <c:v>23</c:v>
                </c:pt>
                <c:pt idx="89">
                  <c:v>189</c:v>
                </c:pt>
                <c:pt idx="90">
                  <c:v>30</c:v>
                </c:pt>
                <c:pt idx="91">
                  <c:v>228</c:v>
                </c:pt>
                <c:pt idx="92">
                  <c:v>36</c:v>
                </c:pt>
                <c:pt idx="93">
                  <c:v>248</c:v>
                </c:pt>
                <c:pt idx="94">
                  <c:v>50</c:v>
                </c:pt>
                <c:pt idx="95">
                  <c:v>274</c:v>
                </c:pt>
                <c:pt idx="96">
                  <c:v>57</c:v>
                </c:pt>
                <c:pt idx="97">
                  <c:v>309</c:v>
                </c:pt>
                <c:pt idx="98">
                  <c:v>61</c:v>
                </c:pt>
                <c:pt idx="99">
                  <c:v>179</c:v>
                </c:pt>
                <c:pt idx="100">
                  <c:v>62</c:v>
                </c:pt>
                <c:pt idx="101">
                  <c:v>196</c:v>
                </c:pt>
                <c:pt idx="102">
                  <c:v>63</c:v>
                </c:pt>
                <c:pt idx="103">
                  <c:v>214</c:v>
                </c:pt>
                <c:pt idx="104">
                  <c:v>64</c:v>
                </c:pt>
                <c:pt idx="105">
                  <c:v>230</c:v>
                </c:pt>
                <c:pt idx="106">
                  <c:v>65</c:v>
                </c:pt>
                <c:pt idx="107">
                  <c:v>243</c:v>
                </c:pt>
                <c:pt idx="108">
                  <c:v>71</c:v>
                </c:pt>
                <c:pt idx="109">
                  <c:v>253</c:v>
                </c:pt>
                <c:pt idx="110">
                  <c:v>79</c:v>
                </c:pt>
                <c:pt idx="111">
                  <c:v>265</c:v>
                </c:pt>
                <c:pt idx="112">
                  <c:v>81</c:v>
                </c:pt>
                <c:pt idx="113">
                  <c:v>277</c:v>
                </c:pt>
                <c:pt idx="114">
                  <c:v>83</c:v>
                </c:pt>
                <c:pt idx="115">
                  <c:v>296</c:v>
                </c:pt>
                <c:pt idx="116">
                  <c:v>87</c:v>
                </c:pt>
                <c:pt idx="117">
                  <c:v>314</c:v>
                </c:pt>
                <c:pt idx="118">
                  <c:v>88</c:v>
                </c:pt>
                <c:pt idx="119">
                  <c:v>175</c:v>
                </c:pt>
                <c:pt idx="120">
                  <c:v>90</c:v>
                </c:pt>
                <c:pt idx="121">
                  <c:v>186</c:v>
                </c:pt>
                <c:pt idx="122">
                  <c:v>94</c:v>
                </c:pt>
                <c:pt idx="123">
                  <c:v>195</c:v>
                </c:pt>
                <c:pt idx="124">
                  <c:v>99</c:v>
                </c:pt>
                <c:pt idx="125">
                  <c:v>198</c:v>
                </c:pt>
                <c:pt idx="126">
                  <c:v>112</c:v>
                </c:pt>
                <c:pt idx="127">
                  <c:v>210</c:v>
                </c:pt>
                <c:pt idx="128">
                  <c:v>114</c:v>
                </c:pt>
                <c:pt idx="129">
                  <c:v>223</c:v>
                </c:pt>
                <c:pt idx="130">
                  <c:v>118</c:v>
                </c:pt>
                <c:pt idx="131">
                  <c:v>229</c:v>
                </c:pt>
                <c:pt idx="132">
                  <c:v>123</c:v>
                </c:pt>
                <c:pt idx="133">
                  <c:v>236</c:v>
                </c:pt>
                <c:pt idx="134">
                  <c:v>124</c:v>
                </c:pt>
                <c:pt idx="135">
                  <c:v>241</c:v>
                </c:pt>
                <c:pt idx="136">
                  <c:v>132</c:v>
                </c:pt>
                <c:pt idx="137">
                  <c:v>244</c:v>
                </c:pt>
                <c:pt idx="138">
                  <c:v>137</c:v>
                </c:pt>
                <c:pt idx="139">
                  <c:v>250</c:v>
                </c:pt>
                <c:pt idx="140">
                  <c:v>138</c:v>
                </c:pt>
                <c:pt idx="141">
                  <c:v>257</c:v>
                </c:pt>
                <c:pt idx="142">
                  <c:v>139</c:v>
                </c:pt>
                <c:pt idx="143">
                  <c:v>261</c:v>
                </c:pt>
                <c:pt idx="144">
                  <c:v>143</c:v>
                </c:pt>
                <c:pt idx="145">
                  <c:v>267</c:v>
                </c:pt>
                <c:pt idx="146">
                  <c:v>149</c:v>
                </c:pt>
                <c:pt idx="147">
                  <c:v>275</c:v>
                </c:pt>
                <c:pt idx="148">
                  <c:v>150</c:v>
                </c:pt>
                <c:pt idx="149">
                  <c:v>282</c:v>
                </c:pt>
                <c:pt idx="150">
                  <c:v>153</c:v>
                </c:pt>
                <c:pt idx="151">
                  <c:v>295</c:v>
                </c:pt>
                <c:pt idx="152">
                  <c:v>155</c:v>
                </c:pt>
                <c:pt idx="153">
                  <c:v>297</c:v>
                </c:pt>
                <c:pt idx="154">
                  <c:v>157</c:v>
                </c:pt>
                <c:pt idx="155">
                  <c:v>310</c:v>
                </c:pt>
                <c:pt idx="156">
                  <c:v>1</c:v>
                </c:pt>
                <c:pt idx="157">
                  <c:v>318</c:v>
                </c:pt>
                <c:pt idx="158">
                  <c:v>169</c:v>
                </c:pt>
                <c:pt idx="159">
                  <c:v>170</c:v>
                </c:pt>
                <c:pt idx="160">
                  <c:v>162</c:v>
                </c:pt>
                <c:pt idx="161">
                  <c:v>603</c:v>
                </c:pt>
                <c:pt idx="162">
                  <c:v>554</c:v>
                </c:pt>
                <c:pt idx="163">
                  <c:v>525</c:v>
                </c:pt>
                <c:pt idx="164">
                  <c:v>403</c:v>
                </c:pt>
                <c:pt idx="165">
                  <c:v>571</c:v>
                </c:pt>
                <c:pt idx="166">
                  <c:v>407</c:v>
                </c:pt>
                <c:pt idx="167">
                  <c:v>626</c:v>
                </c:pt>
                <c:pt idx="168">
                  <c:v>410</c:v>
                </c:pt>
                <c:pt idx="169">
                  <c:v>384</c:v>
                </c:pt>
                <c:pt idx="170">
                  <c:v>415</c:v>
                </c:pt>
                <c:pt idx="171">
                  <c:v>562</c:v>
                </c:pt>
                <c:pt idx="172">
                  <c:v>417</c:v>
                </c:pt>
                <c:pt idx="173">
                  <c:v>586</c:v>
                </c:pt>
                <c:pt idx="174">
                  <c:v>418</c:v>
                </c:pt>
                <c:pt idx="175">
                  <c:v>616</c:v>
                </c:pt>
                <c:pt idx="176">
                  <c:v>420</c:v>
                </c:pt>
                <c:pt idx="177">
                  <c:v>515</c:v>
                </c:pt>
                <c:pt idx="178">
                  <c:v>426</c:v>
                </c:pt>
                <c:pt idx="179">
                  <c:v>537</c:v>
                </c:pt>
                <c:pt idx="180">
                  <c:v>429</c:v>
                </c:pt>
                <c:pt idx="181">
                  <c:v>544</c:v>
                </c:pt>
                <c:pt idx="182">
                  <c:v>333</c:v>
                </c:pt>
                <c:pt idx="183">
                  <c:v>560</c:v>
                </c:pt>
                <c:pt idx="184">
                  <c:v>357</c:v>
                </c:pt>
                <c:pt idx="185">
                  <c:v>566</c:v>
                </c:pt>
                <c:pt idx="186">
                  <c:v>358</c:v>
                </c:pt>
                <c:pt idx="187">
                  <c:v>583</c:v>
                </c:pt>
                <c:pt idx="188">
                  <c:v>359</c:v>
                </c:pt>
                <c:pt idx="189">
                  <c:v>593</c:v>
                </c:pt>
                <c:pt idx="190">
                  <c:v>442</c:v>
                </c:pt>
                <c:pt idx="191">
                  <c:v>331</c:v>
                </c:pt>
                <c:pt idx="192">
                  <c:v>445</c:v>
                </c:pt>
                <c:pt idx="193">
                  <c:v>619</c:v>
                </c:pt>
                <c:pt idx="194">
                  <c:v>362</c:v>
                </c:pt>
                <c:pt idx="195">
                  <c:v>636</c:v>
                </c:pt>
                <c:pt idx="196">
                  <c:v>451</c:v>
                </c:pt>
                <c:pt idx="197">
                  <c:v>517</c:v>
                </c:pt>
                <c:pt idx="198">
                  <c:v>364</c:v>
                </c:pt>
                <c:pt idx="199">
                  <c:v>526</c:v>
                </c:pt>
                <c:pt idx="200">
                  <c:v>456</c:v>
                </c:pt>
                <c:pt idx="201">
                  <c:v>539</c:v>
                </c:pt>
                <c:pt idx="202">
                  <c:v>462</c:v>
                </c:pt>
                <c:pt idx="203">
                  <c:v>543</c:v>
                </c:pt>
                <c:pt idx="204">
                  <c:v>470</c:v>
                </c:pt>
                <c:pt idx="205">
                  <c:v>386</c:v>
                </c:pt>
                <c:pt idx="206">
                  <c:v>472</c:v>
                </c:pt>
                <c:pt idx="207">
                  <c:v>555</c:v>
                </c:pt>
                <c:pt idx="208">
                  <c:v>474</c:v>
                </c:pt>
                <c:pt idx="209">
                  <c:v>561</c:v>
                </c:pt>
                <c:pt idx="210">
                  <c:v>476</c:v>
                </c:pt>
                <c:pt idx="211">
                  <c:v>387</c:v>
                </c:pt>
                <c:pt idx="212">
                  <c:v>477</c:v>
                </c:pt>
                <c:pt idx="213">
                  <c:v>569</c:v>
                </c:pt>
                <c:pt idx="214">
                  <c:v>479</c:v>
                </c:pt>
                <c:pt idx="215">
                  <c:v>579</c:v>
                </c:pt>
                <c:pt idx="216">
                  <c:v>326</c:v>
                </c:pt>
                <c:pt idx="217">
                  <c:v>584</c:v>
                </c:pt>
                <c:pt idx="218">
                  <c:v>489</c:v>
                </c:pt>
                <c:pt idx="219">
                  <c:v>589</c:v>
                </c:pt>
                <c:pt idx="220">
                  <c:v>373</c:v>
                </c:pt>
                <c:pt idx="221">
                  <c:v>601</c:v>
                </c:pt>
                <c:pt idx="222">
                  <c:v>496</c:v>
                </c:pt>
                <c:pt idx="223">
                  <c:v>604</c:v>
                </c:pt>
                <c:pt idx="224">
                  <c:v>498</c:v>
                </c:pt>
                <c:pt idx="225">
                  <c:v>398</c:v>
                </c:pt>
                <c:pt idx="226">
                  <c:v>499</c:v>
                </c:pt>
                <c:pt idx="227">
                  <c:v>617</c:v>
                </c:pt>
                <c:pt idx="228">
                  <c:v>374</c:v>
                </c:pt>
                <c:pt idx="229">
                  <c:v>399</c:v>
                </c:pt>
                <c:pt idx="230">
                  <c:v>510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288</c:v>
                </c:pt>
                <c:pt idx="235">
                  <c:v>249</c:v>
                </c:pt>
                <c:pt idx="236">
                  <c:v>221</c:v>
                </c:pt>
                <c:pt idx="237">
                  <c:v>121</c:v>
                </c:pt>
                <c:pt idx="238">
                  <c:v>100</c:v>
                </c:pt>
                <c:pt idx="239">
                  <c:v>41</c:v>
                </c:pt>
                <c:pt idx="240">
                  <c:v>308</c:v>
                </c:pt>
                <c:pt idx="241">
                  <c:v>125</c:v>
                </c:pt>
                <c:pt idx="242">
                  <c:v>235</c:v>
                </c:pt>
                <c:pt idx="243">
                  <c:v>130</c:v>
                </c:pt>
                <c:pt idx="244">
                  <c:v>264</c:v>
                </c:pt>
                <c:pt idx="245">
                  <c:v>131</c:v>
                </c:pt>
                <c:pt idx="246">
                  <c:v>283</c:v>
                </c:pt>
                <c:pt idx="247">
                  <c:v>133</c:v>
                </c:pt>
                <c:pt idx="248">
                  <c:v>7</c:v>
                </c:pt>
                <c:pt idx="249">
                  <c:v>136</c:v>
                </c:pt>
                <c:pt idx="250">
                  <c:v>38</c:v>
                </c:pt>
                <c:pt idx="251">
                  <c:v>2</c:v>
                </c:pt>
                <c:pt idx="252">
                  <c:v>225</c:v>
                </c:pt>
                <c:pt idx="253">
                  <c:v>141</c:v>
                </c:pt>
                <c:pt idx="254">
                  <c:v>239</c:v>
                </c:pt>
                <c:pt idx="255">
                  <c:v>51</c:v>
                </c:pt>
                <c:pt idx="256">
                  <c:v>96</c:v>
                </c:pt>
                <c:pt idx="257">
                  <c:v>144</c:v>
                </c:pt>
                <c:pt idx="258">
                  <c:v>268</c:v>
                </c:pt>
                <c:pt idx="259">
                  <c:v>54</c:v>
                </c:pt>
                <c:pt idx="260">
                  <c:v>278</c:v>
                </c:pt>
                <c:pt idx="261">
                  <c:v>152</c:v>
                </c:pt>
                <c:pt idx="262">
                  <c:v>285</c:v>
                </c:pt>
                <c:pt idx="263">
                  <c:v>154</c:v>
                </c:pt>
                <c:pt idx="264">
                  <c:v>291</c:v>
                </c:pt>
                <c:pt idx="265">
                  <c:v>11</c:v>
                </c:pt>
                <c:pt idx="266">
                  <c:v>305</c:v>
                </c:pt>
                <c:pt idx="267">
                  <c:v>58</c:v>
                </c:pt>
                <c:pt idx="268">
                  <c:v>216</c:v>
                </c:pt>
                <c:pt idx="269">
                  <c:v>320</c:v>
                </c:pt>
                <c:pt idx="270">
                  <c:v>220</c:v>
                </c:pt>
                <c:pt idx="271">
                  <c:v>167</c:v>
                </c:pt>
                <c:pt idx="272">
                  <c:v>224</c:v>
                </c:pt>
                <c:pt idx="273">
                  <c:v>182</c:v>
                </c:pt>
                <c:pt idx="274">
                  <c:v>231</c:v>
                </c:pt>
                <c:pt idx="275">
                  <c:v>183</c:v>
                </c:pt>
                <c:pt idx="276">
                  <c:v>85</c:v>
                </c:pt>
                <c:pt idx="277">
                  <c:v>185</c:v>
                </c:pt>
                <c:pt idx="278">
                  <c:v>29</c:v>
                </c:pt>
                <c:pt idx="279">
                  <c:v>17</c:v>
                </c:pt>
                <c:pt idx="280">
                  <c:v>251</c:v>
                </c:pt>
                <c:pt idx="281">
                  <c:v>67</c:v>
                </c:pt>
                <c:pt idx="282">
                  <c:v>97</c:v>
                </c:pt>
                <c:pt idx="283">
                  <c:v>194</c:v>
                </c:pt>
                <c:pt idx="284">
                  <c:v>98</c:v>
                </c:pt>
                <c:pt idx="285">
                  <c:v>70</c:v>
                </c:pt>
                <c:pt idx="286">
                  <c:v>272</c:v>
                </c:pt>
                <c:pt idx="287">
                  <c:v>18</c:v>
                </c:pt>
                <c:pt idx="288">
                  <c:v>105</c:v>
                </c:pt>
                <c:pt idx="289">
                  <c:v>197</c:v>
                </c:pt>
                <c:pt idx="290">
                  <c:v>107</c:v>
                </c:pt>
                <c:pt idx="291">
                  <c:v>74</c:v>
                </c:pt>
                <c:pt idx="292">
                  <c:v>284</c:v>
                </c:pt>
                <c:pt idx="293">
                  <c:v>201</c:v>
                </c:pt>
                <c:pt idx="294">
                  <c:v>287</c:v>
                </c:pt>
                <c:pt idx="295">
                  <c:v>203</c:v>
                </c:pt>
                <c:pt idx="296">
                  <c:v>108</c:v>
                </c:pt>
                <c:pt idx="297">
                  <c:v>206</c:v>
                </c:pt>
                <c:pt idx="298">
                  <c:v>110</c:v>
                </c:pt>
                <c:pt idx="299">
                  <c:v>207</c:v>
                </c:pt>
                <c:pt idx="300">
                  <c:v>304</c:v>
                </c:pt>
                <c:pt idx="301">
                  <c:v>77</c:v>
                </c:pt>
                <c:pt idx="302">
                  <c:v>306</c:v>
                </c:pt>
                <c:pt idx="303">
                  <c:v>213</c:v>
                </c:pt>
                <c:pt idx="304">
                  <c:v>115</c:v>
                </c:pt>
                <c:pt idx="305">
                  <c:v>215</c:v>
                </c:pt>
                <c:pt idx="306">
                  <c:v>218</c:v>
                </c:pt>
                <c:pt idx="307">
                  <c:v>349</c:v>
                </c:pt>
                <c:pt idx="308">
                  <c:v>581</c:v>
                </c:pt>
                <c:pt idx="309">
                  <c:v>475</c:v>
                </c:pt>
                <c:pt idx="310">
                  <c:v>423</c:v>
                </c:pt>
                <c:pt idx="311">
                  <c:v>484</c:v>
                </c:pt>
                <c:pt idx="312">
                  <c:v>363</c:v>
                </c:pt>
                <c:pt idx="313">
                  <c:v>622</c:v>
                </c:pt>
                <c:pt idx="314">
                  <c:v>424</c:v>
                </c:pt>
                <c:pt idx="315">
                  <c:v>389</c:v>
                </c:pt>
                <c:pt idx="316">
                  <c:v>638</c:v>
                </c:pt>
                <c:pt idx="317">
                  <c:v>588</c:v>
                </c:pt>
                <c:pt idx="318">
                  <c:v>425</c:v>
                </c:pt>
                <c:pt idx="319">
                  <c:v>485</c:v>
                </c:pt>
                <c:pt idx="320">
                  <c:v>413</c:v>
                </c:pt>
                <c:pt idx="321">
                  <c:v>497</c:v>
                </c:pt>
                <c:pt idx="322">
                  <c:v>519</c:v>
                </c:pt>
                <c:pt idx="323">
                  <c:v>421</c:v>
                </c:pt>
                <c:pt idx="324">
                  <c:v>402</c:v>
                </c:pt>
                <c:pt idx="325">
                  <c:v>353</c:v>
                </c:pt>
                <c:pt idx="326">
                  <c:v>382</c:v>
                </c:pt>
                <c:pt idx="327">
                  <c:v>578</c:v>
                </c:pt>
                <c:pt idx="328">
                  <c:v>325</c:v>
                </c:pt>
                <c:pt idx="329">
                  <c:v>321</c:v>
                </c:pt>
                <c:pt idx="330">
                  <c:v>366</c:v>
                </c:pt>
                <c:pt idx="331">
                  <c:v>590</c:v>
                </c:pt>
                <c:pt idx="332">
                  <c:v>527</c:v>
                </c:pt>
                <c:pt idx="333">
                  <c:v>595</c:v>
                </c:pt>
                <c:pt idx="334">
                  <c:v>529</c:v>
                </c:pt>
                <c:pt idx="335">
                  <c:v>334</c:v>
                </c:pt>
                <c:pt idx="336">
                  <c:v>534</c:v>
                </c:pt>
                <c:pt idx="337">
                  <c:v>348</c:v>
                </c:pt>
                <c:pt idx="338">
                  <c:v>536</c:v>
                </c:pt>
                <c:pt idx="339">
                  <c:v>360</c:v>
                </c:pt>
                <c:pt idx="340">
                  <c:v>460</c:v>
                </c:pt>
                <c:pt idx="341">
                  <c:v>401</c:v>
                </c:pt>
                <c:pt idx="342">
                  <c:v>538</c:v>
                </c:pt>
                <c:pt idx="343">
                  <c:v>504</c:v>
                </c:pt>
                <c:pt idx="344">
                  <c:v>367</c:v>
                </c:pt>
                <c:pt idx="345">
                  <c:v>431</c:v>
                </c:pt>
                <c:pt idx="346">
                  <c:v>541</c:v>
                </c:pt>
                <c:pt idx="347">
                  <c:v>388</c:v>
                </c:pt>
                <c:pt idx="348">
                  <c:v>351</c:v>
                </c:pt>
                <c:pt idx="349">
                  <c:v>575</c:v>
                </c:pt>
                <c:pt idx="350">
                  <c:v>368</c:v>
                </c:pt>
                <c:pt idx="351">
                  <c:v>478</c:v>
                </c:pt>
                <c:pt idx="352">
                  <c:v>464</c:v>
                </c:pt>
                <c:pt idx="353">
                  <c:v>416</c:v>
                </c:pt>
                <c:pt idx="354">
                  <c:v>546</c:v>
                </c:pt>
                <c:pt idx="355">
                  <c:v>482</c:v>
                </c:pt>
                <c:pt idx="356">
                  <c:v>547</c:v>
                </c:pt>
                <c:pt idx="357">
                  <c:v>483</c:v>
                </c:pt>
                <c:pt idx="358">
                  <c:v>385</c:v>
                </c:pt>
                <c:pt idx="359">
                  <c:v>592</c:v>
                </c:pt>
                <c:pt idx="360">
                  <c:v>549</c:v>
                </c:pt>
                <c:pt idx="361">
                  <c:v>392</c:v>
                </c:pt>
                <c:pt idx="362">
                  <c:v>465</c:v>
                </c:pt>
                <c:pt idx="363">
                  <c:v>596</c:v>
                </c:pt>
                <c:pt idx="364">
                  <c:v>552</c:v>
                </c:pt>
                <c:pt idx="365">
                  <c:v>371</c:v>
                </c:pt>
                <c:pt idx="366">
                  <c:v>553</c:v>
                </c:pt>
                <c:pt idx="367">
                  <c:v>395</c:v>
                </c:pt>
                <c:pt idx="368">
                  <c:v>467</c:v>
                </c:pt>
                <c:pt idx="369">
                  <c:v>611</c:v>
                </c:pt>
                <c:pt idx="370">
                  <c:v>352</c:v>
                </c:pt>
                <c:pt idx="371">
                  <c:v>419</c:v>
                </c:pt>
                <c:pt idx="372">
                  <c:v>557</c:v>
                </c:pt>
                <c:pt idx="373">
                  <c:v>618</c:v>
                </c:pt>
                <c:pt idx="374">
                  <c:v>559</c:v>
                </c:pt>
                <c:pt idx="375">
                  <c:v>411</c:v>
                </c:pt>
                <c:pt idx="376">
                  <c:v>471</c:v>
                </c:pt>
                <c:pt idx="377">
                  <c:v>346</c:v>
                </c:pt>
                <c:pt idx="378">
                  <c:v>404</c:v>
                </c:pt>
                <c:pt idx="379">
                  <c:v>625</c:v>
                </c:pt>
                <c:pt idx="380">
                  <c:v>370</c:v>
                </c:pt>
                <c:pt idx="381">
                  <c:v>631</c:v>
                </c:pt>
                <c:pt idx="382">
                  <c:v>430</c:v>
                </c:pt>
                <c:pt idx="383">
                  <c:v>509</c:v>
                </c:pt>
                <c:pt idx="384">
                  <c:v>565</c:v>
                </c:pt>
                <c:pt idx="385">
                  <c:v>377</c:v>
                </c:pt>
                <c:pt idx="386">
                  <c:v>637</c:v>
                </c:pt>
                <c:pt idx="387">
                  <c:v>339</c:v>
                </c:pt>
                <c:pt idx="388">
                  <c:v>514</c:v>
                </c:pt>
                <c:pt idx="389">
                  <c:v>380</c:v>
                </c:pt>
                <c:pt idx="390">
                  <c:v>298</c:v>
                </c:pt>
                <c:pt idx="391">
                  <c:v>151</c:v>
                </c:pt>
                <c:pt idx="392">
                  <c:v>34</c:v>
                </c:pt>
                <c:pt idx="393">
                  <c:v>127</c:v>
                </c:pt>
                <c:pt idx="394">
                  <c:v>126</c:v>
                </c:pt>
                <c:pt idx="395">
                  <c:v>219</c:v>
                </c:pt>
                <c:pt idx="396">
                  <c:v>37</c:v>
                </c:pt>
                <c:pt idx="397">
                  <c:v>168</c:v>
                </c:pt>
                <c:pt idx="398">
                  <c:v>273</c:v>
                </c:pt>
                <c:pt idx="399">
                  <c:v>12</c:v>
                </c:pt>
                <c:pt idx="400">
                  <c:v>199</c:v>
                </c:pt>
                <c:pt idx="401">
                  <c:v>19</c:v>
                </c:pt>
                <c:pt idx="402">
                  <c:v>294</c:v>
                </c:pt>
                <c:pt idx="403">
                  <c:v>13</c:v>
                </c:pt>
                <c:pt idx="404">
                  <c:v>49</c:v>
                </c:pt>
                <c:pt idx="405">
                  <c:v>172</c:v>
                </c:pt>
                <c:pt idx="406">
                  <c:v>116</c:v>
                </c:pt>
                <c:pt idx="407">
                  <c:v>226</c:v>
                </c:pt>
                <c:pt idx="408">
                  <c:v>269</c:v>
                </c:pt>
                <c:pt idx="409">
                  <c:v>80</c:v>
                </c:pt>
                <c:pt idx="410">
                  <c:v>122</c:v>
                </c:pt>
                <c:pt idx="411">
                  <c:v>22</c:v>
                </c:pt>
                <c:pt idx="412">
                  <c:v>134</c:v>
                </c:pt>
                <c:pt idx="413">
                  <c:v>5</c:v>
                </c:pt>
                <c:pt idx="414">
                  <c:v>286</c:v>
                </c:pt>
                <c:pt idx="415">
                  <c:v>174</c:v>
                </c:pt>
                <c:pt idx="416">
                  <c:v>156</c:v>
                </c:pt>
                <c:pt idx="417">
                  <c:v>233</c:v>
                </c:pt>
                <c:pt idx="418">
                  <c:v>47</c:v>
                </c:pt>
                <c:pt idx="419">
                  <c:v>234</c:v>
                </c:pt>
                <c:pt idx="420">
                  <c:v>300</c:v>
                </c:pt>
                <c:pt idx="421">
                  <c:v>15</c:v>
                </c:pt>
                <c:pt idx="422">
                  <c:v>164</c:v>
                </c:pt>
                <c:pt idx="423">
                  <c:v>84</c:v>
                </c:pt>
                <c:pt idx="424">
                  <c:v>316</c:v>
                </c:pt>
                <c:pt idx="425">
                  <c:v>176</c:v>
                </c:pt>
                <c:pt idx="426">
                  <c:v>217</c:v>
                </c:pt>
                <c:pt idx="427">
                  <c:v>3</c:v>
                </c:pt>
                <c:pt idx="428">
                  <c:v>190</c:v>
                </c:pt>
                <c:pt idx="429">
                  <c:v>28</c:v>
                </c:pt>
                <c:pt idx="430">
                  <c:v>192</c:v>
                </c:pt>
                <c:pt idx="431">
                  <c:v>242</c:v>
                </c:pt>
                <c:pt idx="432">
                  <c:v>52</c:v>
                </c:pt>
                <c:pt idx="433">
                  <c:v>40</c:v>
                </c:pt>
                <c:pt idx="434">
                  <c:v>106</c:v>
                </c:pt>
                <c:pt idx="435">
                  <c:v>89</c:v>
                </c:pt>
                <c:pt idx="436">
                  <c:v>280</c:v>
                </c:pt>
                <c:pt idx="437">
                  <c:v>246</c:v>
                </c:pt>
                <c:pt idx="438">
                  <c:v>56</c:v>
                </c:pt>
                <c:pt idx="439">
                  <c:v>6</c:v>
                </c:pt>
                <c:pt idx="440">
                  <c:v>75</c:v>
                </c:pt>
                <c:pt idx="441">
                  <c:v>142</c:v>
                </c:pt>
                <c:pt idx="442">
                  <c:v>135</c:v>
                </c:pt>
                <c:pt idx="443">
                  <c:v>91</c:v>
                </c:pt>
                <c:pt idx="444">
                  <c:v>205</c:v>
                </c:pt>
                <c:pt idx="445">
                  <c:v>184</c:v>
                </c:pt>
                <c:pt idx="446">
                  <c:v>292</c:v>
                </c:pt>
                <c:pt idx="447">
                  <c:v>93</c:v>
                </c:pt>
                <c:pt idx="448">
                  <c:v>109</c:v>
                </c:pt>
                <c:pt idx="449">
                  <c:v>254</c:v>
                </c:pt>
                <c:pt idx="450">
                  <c:v>208</c:v>
                </c:pt>
                <c:pt idx="451">
                  <c:v>256</c:v>
                </c:pt>
                <c:pt idx="452">
                  <c:v>299</c:v>
                </c:pt>
                <c:pt idx="453">
                  <c:v>33</c:v>
                </c:pt>
                <c:pt idx="454">
                  <c:v>60</c:v>
                </c:pt>
                <c:pt idx="455">
                  <c:v>258</c:v>
                </c:pt>
                <c:pt idx="456">
                  <c:v>78</c:v>
                </c:pt>
                <c:pt idx="457">
                  <c:v>259</c:v>
                </c:pt>
                <c:pt idx="458">
                  <c:v>113</c:v>
                </c:pt>
                <c:pt idx="459">
                  <c:v>119</c:v>
                </c:pt>
                <c:pt idx="460">
                  <c:v>166</c:v>
                </c:pt>
                <c:pt idx="461">
                  <c:v>46</c:v>
                </c:pt>
                <c:pt idx="462">
                  <c:v>317</c:v>
                </c:pt>
                <c:pt idx="463">
                  <c:v>262</c:v>
                </c:pt>
                <c:pt idx="464">
                  <c:v>117</c:v>
                </c:pt>
                <c:pt idx="465">
                  <c:v>187</c:v>
                </c:pt>
                <c:pt idx="466">
                  <c:v>146</c:v>
                </c:pt>
                <c:pt idx="467">
                  <c:v>160</c:v>
                </c:pt>
                <c:pt idx="468">
                  <c:v>621</c:v>
                </c:pt>
                <c:pt idx="469">
                  <c:v>491</c:v>
                </c:pt>
                <c:pt idx="470">
                  <c:v>556</c:v>
                </c:pt>
                <c:pt idx="471">
                  <c:v>508</c:v>
                </c:pt>
                <c:pt idx="472">
                  <c:v>613</c:v>
                </c:pt>
                <c:pt idx="473">
                  <c:v>332</c:v>
                </c:pt>
                <c:pt idx="474">
                  <c:v>629</c:v>
                </c:pt>
                <c:pt idx="475">
                  <c:v>422</c:v>
                </c:pt>
                <c:pt idx="476">
                  <c:v>449</c:v>
                </c:pt>
                <c:pt idx="477">
                  <c:v>414</c:v>
                </c:pt>
                <c:pt idx="478">
                  <c:v>609</c:v>
                </c:pt>
                <c:pt idx="479">
                  <c:v>512</c:v>
                </c:pt>
                <c:pt idx="480">
                  <c:v>495</c:v>
                </c:pt>
                <c:pt idx="481">
                  <c:v>564</c:v>
                </c:pt>
                <c:pt idx="482">
                  <c:v>501</c:v>
                </c:pt>
                <c:pt idx="483">
                  <c:v>458</c:v>
                </c:pt>
                <c:pt idx="484">
                  <c:v>454</c:v>
                </c:pt>
                <c:pt idx="485">
                  <c:v>350</c:v>
                </c:pt>
                <c:pt idx="486">
                  <c:v>558</c:v>
                </c:pt>
                <c:pt idx="487">
                  <c:v>567</c:v>
                </c:pt>
                <c:pt idx="488">
                  <c:v>535</c:v>
                </c:pt>
                <c:pt idx="489">
                  <c:v>568</c:v>
                </c:pt>
                <c:pt idx="490">
                  <c:v>330</c:v>
                </c:pt>
                <c:pt idx="491">
                  <c:v>443</c:v>
                </c:pt>
                <c:pt idx="492">
                  <c:v>493</c:v>
                </c:pt>
                <c:pt idx="493">
                  <c:v>570</c:v>
                </c:pt>
                <c:pt idx="494">
                  <c:v>615</c:v>
                </c:pt>
                <c:pt idx="495">
                  <c:v>516</c:v>
                </c:pt>
                <c:pt idx="496">
                  <c:v>450</c:v>
                </c:pt>
                <c:pt idx="497">
                  <c:v>572</c:v>
                </c:pt>
                <c:pt idx="498">
                  <c:v>452</c:v>
                </c:pt>
                <c:pt idx="499">
                  <c:v>481</c:v>
                </c:pt>
                <c:pt idx="500">
                  <c:v>627</c:v>
                </c:pt>
                <c:pt idx="501">
                  <c:v>518</c:v>
                </c:pt>
                <c:pt idx="502">
                  <c:v>502</c:v>
                </c:pt>
                <c:pt idx="503">
                  <c:v>335</c:v>
                </c:pt>
                <c:pt idx="504">
                  <c:v>635</c:v>
                </c:pt>
                <c:pt idx="505">
                  <c:v>576</c:v>
                </c:pt>
                <c:pt idx="506">
                  <c:v>639</c:v>
                </c:pt>
                <c:pt idx="507">
                  <c:v>577</c:v>
                </c:pt>
                <c:pt idx="508">
                  <c:v>600</c:v>
                </c:pt>
                <c:pt idx="509">
                  <c:v>328</c:v>
                </c:pt>
                <c:pt idx="510">
                  <c:v>602</c:v>
                </c:pt>
                <c:pt idx="511">
                  <c:v>356</c:v>
                </c:pt>
                <c:pt idx="512">
                  <c:v>490</c:v>
                </c:pt>
                <c:pt idx="513">
                  <c:v>580</c:v>
                </c:pt>
                <c:pt idx="514">
                  <c:v>606</c:v>
                </c:pt>
                <c:pt idx="515">
                  <c:v>381</c:v>
                </c:pt>
                <c:pt idx="516">
                  <c:v>608</c:v>
                </c:pt>
                <c:pt idx="517">
                  <c:v>341</c:v>
                </c:pt>
                <c:pt idx="518">
                  <c:v>468</c:v>
                </c:pt>
                <c:pt idx="519">
                  <c:v>523</c:v>
                </c:pt>
                <c:pt idx="520">
                  <c:v>540</c:v>
                </c:pt>
                <c:pt idx="521">
                  <c:v>412</c:v>
                </c:pt>
                <c:pt idx="522">
                  <c:v>614</c:v>
                </c:pt>
                <c:pt idx="523">
                  <c:v>585</c:v>
                </c:pt>
                <c:pt idx="524">
                  <c:v>494</c:v>
                </c:pt>
                <c:pt idx="525">
                  <c:v>447</c:v>
                </c:pt>
                <c:pt idx="526">
                  <c:v>369</c:v>
                </c:pt>
                <c:pt idx="527">
                  <c:v>587</c:v>
                </c:pt>
                <c:pt idx="528">
                  <c:v>545</c:v>
                </c:pt>
                <c:pt idx="529">
                  <c:v>486</c:v>
                </c:pt>
                <c:pt idx="530">
                  <c:v>438</c:v>
                </c:pt>
                <c:pt idx="531">
                  <c:v>437</c:v>
                </c:pt>
                <c:pt idx="532">
                  <c:v>453</c:v>
                </c:pt>
                <c:pt idx="533">
                  <c:v>528</c:v>
                </c:pt>
                <c:pt idx="534">
                  <c:v>550</c:v>
                </c:pt>
                <c:pt idx="535">
                  <c:v>342</c:v>
                </c:pt>
                <c:pt idx="536">
                  <c:v>628</c:v>
                </c:pt>
                <c:pt idx="537">
                  <c:v>466</c:v>
                </c:pt>
                <c:pt idx="538">
                  <c:v>630</c:v>
                </c:pt>
                <c:pt idx="539">
                  <c:v>383</c:v>
                </c:pt>
                <c:pt idx="540">
                  <c:v>503</c:v>
                </c:pt>
                <c:pt idx="541">
                  <c:v>531</c:v>
                </c:pt>
                <c:pt idx="542">
                  <c:v>505</c:v>
                </c:pt>
                <c:pt idx="543">
                  <c:v>532</c:v>
                </c:pt>
                <c:pt idx="544">
                  <c:v>375</c:v>
                </c:pt>
                <c:pt idx="545">
                  <c:v>533</c:v>
                </c:pt>
                <c:pt idx="546">
                  <c:v>322</c:v>
                </c:pt>
                <c:pt idx="547">
                  <c:v>597</c:v>
                </c:pt>
                <c:pt idx="548">
                  <c:v>640</c:v>
                </c:pt>
                <c:pt idx="549">
                  <c:v>393</c:v>
                </c:pt>
                <c:pt idx="550">
                  <c:v>329</c:v>
                </c:pt>
                <c:pt idx="551">
                  <c:v>14</c:v>
                </c:pt>
                <c:pt idx="552">
                  <c:v>279</c:v>
                </c:pt>
                <c:pt idx="553">
                  <c:v>311</c:v>
                </c:pt>
                <c:pt idx="554">
                  <c:v>53</c:v>
                </c:pt>
                <c:pt idx="555">
                  <c:v>148</c:v>
                </c:pt>
                <c:pt idx="556">
                  <c:v>82</c:v>
                </c:pt>
                <c:pt idx="557">
                  <c:v>303</c:v>
                </c:pt>
                <c:pt idx="558">
                  <c:v>120</c:v>
                </c:pt>
                <c:pt idx="559">
                  <c:v>165</c:v>
                </c:pt>
                <c:pt idx="560">
                  <c:v>9</c:v>
                </c:pt>
                <c:pt idx="561">
                  <c:v>204</c:v>
                </c:pt>
                <c:pt idx="562">
                  <c:v>171</c:v>
                </c:pt>
                <c:pt idx="563">
                  <c:v>211</c:v>
                </c:pt>
                <c:pt idx="564">
                  <c:v>238</c:v>
                </c:pt>
                <c:pt idx="565">
                  <c:v>111</c:v>
                </c:pt>
                <c:pt idx="566">
                  <c:v>55</c:v>
                </c:pt>
                <c:pt idx="567">
                  <c:v>307</c:v>
                </c:pt>
                <c:pt idx="568">
                  <c:v>240</c:v>
                </c:pt>
                <c:pt idx="569">
                  <c:v>315</c:v>
                </c:pt>
                <c:pt idx="570">
                  <c:v>173</c:v>
                </c:pt>
                <c:pt idx="571">
                  <c:v>101</c:v>
                </c:pt>
                <c:pt idx="572">
                  <c:v>35</c:v>
                </c:pt>
                <c:pt idx="573">
                  <c:v>281</c:v>
                </c:pt>
                <c:pt idx="574">
                  <c:v>86</c:v>
                </c:pt>
                <c:pt idx="575">
                  <c:v>104</c:v>
                </c:pt>
                <c:pt idx="576">
                  <c:v>10</c:v>
                </c:pt>
                <c:pt idx="577">
                  <c:v>69</c:v>
                </c:pt>
                <c:pt idx="578">
                  <c:v>245</c:v>
                </c:pt>
                <c:pt idx="579">
                  <c:v>293</c:v>
                </c:pt>
                <c:pt idx="580">
                  <c:v>177</c:v>
                </c:pt>
                <c:pt idx="581">
                  <c:v>73</c:v>
                </c:pt>
                <c:pt idx="582">
                  <c:v>247</c:v>
                </c:pt>
                <c:pt idx="583">
                  <c:v>301</c:v>
                </c:pt>
                <c:pt idx="584">
                  <c:v>178</c:v>
                </c:pt>
                <c:pt idx="585">
                  <c:v>158</c:v>
                </c:pt>
                <c:pt idx="586">
                  <c:v>24</c:v>
                </c:pt>
                <c:pt idx="587">
                  <c:v>20</c:v>
                </c:pt>
                <c:pt idx="588">
                  <c:v>180</c:v>
                </c:pt>
                <c:pt idx="589">
                  <c:v>313</c:v>
                </c:pt>
                <c:pt idx="590">
                  <c:v>181</c:v>
                </c:pt>
                <c:pt idx="591">
                  <c:v>163</c:v>
                </c:pt>
                <c:pt idx="592">
                  <c:v>252</c:v>
                </c:pt>
                <c:pt idx="593">
                  <c:v>232</c:v>
                </c:pt>
                <c:pt idx="594">
                  <c:v>59</c:v>
                </c:pt>
                <c:pt idx="595">
                  <c:v>102</c:v>
                </c:pt>
                <c:pt idx="596">
                  <c:v>128</c:v>
                </c:pt>
                <c:pt idx="597">
                  <c:v>202</c:v>
                </c:pt>
                <c:pt idx="598">
                  <c:v>255</c:v>
                </c:pt>
                <c:pt idx="599">
                  <c:v>103</c:v>
                </c:pt>
                <c:pt idx="600">
                  <c:v>129</c:v>
                </c:pt>
                <c:pt idx="601">
                  <c:v>145</c:v>
                </c:pt>
                <c:pt idx="602">
                  <c:v>25</c:v>
                </c:pt>
                <c:pt idx="603">
                  <c:v>147</c:v>
                </c:pt>
                <c:pt idx="604">
                  <c:v>39</c:v>
                </c:pt>
                <c:pt idx="605">
                  <c:v>209</c:v>
                </c:pt>
                <c:pt idx="606">
                  <c:v>92</c:v>
                </c:pt>
                <c:pt idx="607">
                  <c:v>290</c:v>
                </c:pt>
                <c:pt idx="608">
                  <c:v>188</c:v>
                </c:pt>
                <c:pt idx="609">
                  <c:v>212</c:v>
                </c:pt>
                <c:pt idx="610">
                  <c:v>26</c:v>
                </c:pt>
                <c:pt idx="611">
                  <c:v>45</c:v>
                </c:pt>
                <c:pt idx="612">
                  <c:v>27</c:v>
                </c:pt>
                <c:pt idx="613">
                  <c:v>72</c:v>
                </c:pt>
                <c:pt idx="614">
                  <c:v>263</c:v>
                </c:pt>
                <c:pt idx="615">
                  <c:v>4</c:v>
                </c:pt>
                <c:pt idx="616">
                  <c:v>191</c:v>
                </c:pt>
                <c:pt idx="617">
                  <c:v>48</c:v>
                </c:pt>
                <c:pt idx="618">
                  <c:v>95</c:v>
                </c:pt>
                <c:pt idx="619">
                  <c:v>302</c:v>
                </c:pt>
                <c:pt idx="620">
                  <c:v>266</c:v>
                </c:pt>
                <c:pt idx="621">
                  <c:v>76</c:v>
                </c:pt>
                <c:pt idx="622">
                  <c:v>193</c:v>
                </c:pt>
                <c:pt idx="623">
                  <c:v>222</c:v>
                </c:pt>
                <c:pt idx="624">
                  <c:v>42</c:v>
                </c:pt>
                <c:pt idx="625">
                  <c:v>159</c:v>
                </c:pt>
                <c:pt idx="626">
                  <c:v>43</c:v>
                </c:pt>
                <c:pt idx="627">
                  <c:v>161</c:v>
                </c:pt>
                <c:pt idx="628">
                  <c:v>270</c:v>
                </c:pt>
                <c:pt idx="629">
                  <c:v>312</c:v>
                </c:pt>
                <c:pt idx="630">
                  <c:v>271</c:v>
                </c:pt>
                <c:pt idx="631">
                  <c:v>31</c:v>
                </c:pt>
                <c:pt idx="632">
                  <c:v>66</c:v>
                </c:pt>
                <c:pt idx="633">
                  <c:v>227</c:v>
                </c:pt>
                <c:pt idx="634">
                  <c:v>44</c:v>
                </c:pt>
                <c:pt idx="635">
                  <c:v>32</c:v>
                </c:pt>
                <c:pt idx="636">
                  <c:v>140</c:v>
                </c:pt>
                <c:pt idx="637">
                  <c:v>21</c:v>
                </c:pt>
                <c:pt idx="638">
                  <c:v>68</c:v>
                </c:pt>
                <c:pt idx="639">
                  <c:v>276</c:v>
                </c:pt>
              </c:strCache>
            </c:strRef>
          </c:cat>
          <c:val>
            <c:numRef>
              <c:f>Sheet15!$B$4:$B$644</c:f>
              <c:numCache>
                <c:formatCode>General</c:formatCode>
                <c:ptCount val="64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5-499D-8884-E41086B14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74856575"/>
        <c:axId val="159405519"/>
        <c:axId val="0"/>
      </c:bar3DChart>
      <c:catAx>
        <c:axId val="1748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5519"/>
        <c:crosses val="autoZero"/>
        <c:auto val="1"/>
        <c:lblAlgn val="ctr"/>
        <c:lblOffset val="100"/>
        <c:noMultiLvlLbl val="0"/>
      </c:catAx>
      <c:valAx>
        <c:axId val="1594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Recruitment_Summary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Recruitment_Summary!$B$1</c:f>
              <c:strCache>
                <c:ptCount val="1"/>
                <c:pt idx="0">
                  <c:v>Total_Hires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Recruitment_Summary!$A$2:$A$7</c:f>
              <c:strCache>
                <c:ptCount val="6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</c:strCache>
            </c:strRef>
          </c:cat>
          <c:val>
            <c:numRef>
              <c:f>Recruitment_Summary!$B$2:$B$7</c:f>
              <c:numCache>
                <c:formatCode>General</c:formatCode>
                <c:ptCount val="6"/>
                <c:pt idx="0">
                  <c:v>59</c:v>
                </c:pt>
                <c:pt idx="1">
                  <c:v>47</c:v>
                </c:pt>
                <c:pt idx="2">
                  <c:v>50</c:v>
                </c:pt>
                <c:pt idx="3">
                  <c:v>49</c:v>
                </c:pt>
                <c:pt idx="4">
                  <c:v>45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3-47FE-B979-3AB9CD798CA1}"/>
            </c:ext>
          </c:extLst>
        </c:ser>
        <c:ser>
          <c:idx val="1"/>
          <c:order val="1"/>
          <c:tx>
            <c:strRef>
              <c:f>Recruitment_Summary!$C$1</c:f>
              <c:strCache>
                <c:ptCount val="1"/>
                <c:pt idx="0">
                  <c:v>Average_Performance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Recruitment_Summary!$A$2:$A$7</c:f>
              <c:strCache>
                <c:ptCount val="6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</c:strCache>
            </c:strRef>
          </c:cat>
          <c:val>
            <c:numRef>
              <c:f>Recruitment_Summary!$C$2:$C$7</c:f>
              <c:numCache>
                <c:formatCode>General</c:formatCode>
                <c:ptCount val="6"/>
                <c:pt idx="0">
                  <c:v>75.42</c:v>
                </c:pt>
                <c:pt idx="1">
                  <c:v>75.930000000000007</c:v>
                </c:pt>
                <c:pt idx="2">
                  <c:v>74.25</c:v>
                </c:pt>
                <c:pt idx="3">
                  <c:v>74.55</c:v>
                </c:pt>
                <c:pt idx="4">
                  <c:v>78.790000000000006</c:v>
                </c:pt>
                <c:pt idx="5">
                  <c:v>75.69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3-47FE-B979-3AB9CD798CA1}"/>
            </c:ext>
          </c:extLst>
        </c:ser>
        <c:ser>
          <c:idx val="2"/>
          <c:order val="2"/>
          <c:tx>
            <c:strRef>
              <c:f>Recruitment_Summary!$D$1</c:f>
              <c:strCache>
                <c:ptCount val="1"/>
                <c:pt idx="0">
                  <c:v>Average_Salary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Recruitment_Summary!$A$2:$A$7</c:f>
              <c:strCache>
                <c:ptCount val="6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</c:strCache>
            </c:strRef>
          </c:cat>
          <c:val>
            <c:numRef>
              <c:f>Recruitment_Summary!$D$2:$D$7</c:f>
              <c:numCache>
                <c:formatCode>General</c:formatCode>
                <c:ptCount val="6"/>
                <c:pt idx="0">
                  <c:v>45136</c:v>
                </c:pt>
                <c:pt idx="1">
                  <c:v>47043</c:v>
                </c:pt>
                <c:pt idx="2">
                  <c:v>46460</c:v>
                </c:pt>
                <c:pt idx="3">
                  <c:v>46469</c:v>
                </c:pt>
                <c:pt idx="4">
                  <c:v>43178</c:v>
                </c:pt>
                <c:pt idx="5">
                  <c:v>43800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3-47FE-B979-3AB9CD798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468863"/>
        <c:axId val="2024209136"/>
      </c:barChart>
      <c:catAx>
        <c:axId val="26646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09136"/>
        <c:crosses val="autoZero"/>
        <c:auto val="1"/>
        <c:lblAlgn val="ctr"/>
        <c:lblOffset val="100"/>
        <c:noMultiLvlLbl val="0"/>
      </c:catAx>
      <c:valAx>
        <c:axId val="20242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6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_xlchart.v1.0</cx:f>
      </cx:numDim>
    </cx:data>
  </cx:chartData>
  <cx:chart>
    <cx:title pos="t" align="ctr" overlay="0"/>
    <cx:plotArea>
      <cx:plotAreaRegion>
        <cx:series layoutId="sunburst" uniqueId="{00000000-47EE-4683-BA63-BE18355D4E11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Salary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sunburst" uniqueId="{00000000-87D3-42CF-BA4D-7ED980EDCD59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Salary Distribution &amp; Outliers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chemeClr val="tx1"/>
              </a:solidFill>
              <a:latin typeface="Calibri"/>
            </a:rPr>
            <a:t>Salary Distribution &amp; Outliers </a:t>
          </a:r>
        </a:p>
      </cx:txPr>
    </cx:title>
    <cx:plotArea>
      <cx:plotAreaRegion>
        <cx:plotSurface>
          <cx:spPr>
            <a:ln>
              <a:solidFill>
                <a:schemeClr val="tx1">
                  <a:lumMod val="85000"/>
                  <a:lumOff val="15000"/>
                </a:schemeClr>
              </a:solidFill>
            </a:ln>
          </cx:spPr>
        </cx:plotSurface>
        <cx:series layoutId="boxWhisker" uniqueId="{00000000-213C-484A-AE17-AE06CD40488B}">
          <cx:tx>
            <cx:txData>
              <cx:f>_xlchart.v1.3</cx:f>
              <cx:v>Salary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>
                <a:solidFill>
                  <a:schemeClr val="tx1"/>
                </a:solidFill>
              </a:defRPr>
            </a:pPr>
            <a:endParaRPr lang="en-US" sz="1800" b="0" i="0" u="none" strike="noStrike" baseline="0">
              <a:solidFill>
                <a:schemeClr val="tx1"/>
              </a:solidFill>
              <a:latin typeface="Calibri"/>
            </a:endParaRPr>
          </a:p>
        </cx:txPr>
      </cx:axis>
    </cx:plotArea>
  </cx:chart>
  <cx:spPr>
    <a:solidFill>
      <a:schemeClr val="accent1">
        <a:lumMod val="20000"/>
        <a:lumOff val="80000"/>
      </a:schemeClr>
    </a:solidFill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_xlchart.v1.6</cx:f>
      </cx:numDim>
    </cx:data>
  </cx:chartData>
  <cx:chart>
    <cx:title pos="t" align="ctr" overlay="0">
      <cx:tx>
        <cx:txData>
          <cx:v>AVERAGE SALARY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chemeClr val="tx1"/>
              </a:solidFill>
              <a:latin typeface="Calibri"/>
            </a:rPr>
            <a:t>AVERAGE SALARY</a:t>
          </a:r>
        </a:p>
      </cx:txPr>
    </cx:title>
    <cx:plotArea>
      <cx:plotAreaRegion>
        <cx:plotSurface>
          <cx:spPr>
            <a:solidFill>
              <a:schemeClr val="tx2">
                <a:lumMod val="20000"/>
                <a:lumOff val="80000"/>
              </a:schemeClr>
            </a:solidFill>
            <a:ln w="3175"/>
          </cx:spPr>
        </cx:plotSurface>
        <cx:series layoutId="sunburst" uniqueId="{00000000-87D3-42CF-BA4D-7ED980EDCD59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7" Type="http://schemas.openxmlformats.org/officeDocument/2006/relationships/chart" Target="../charts/chart17.xml"/><Relationship Id="rId2" Type="http://schemas.microsoft.com/office/2014/relationships/chartEx" Target="../charts/chartEx3.xml"/><Relationship Id="rId1" Type="http://schemas.openxmlformats.org/officeDocument/2006/relationships/chart" Target="../charts/chart13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583720</xdr:colOff>
      <xdr:row>2</xdr:row>
      <xdr:rowOff>150172</xdr:rowOff>
    </xdr:from>
    <xdr:to>
      <xdr:col>10</xdr:col>
      <xdr:colOff>292435</xdr:colOff>
      <xdr:row>17</xdr:row>
      <xdr:rowOff>150172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A6A4F-8DBB-86CB-FE48-A25961676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468558</xdr:colOff>
      <xdr:row>3</xdr:row>
      <xdr:rowOff>86408</xdr:rowOff>
    </xdr:from>
    <xdr:to>
      <xdr:col>19</xdr:col>
      <xdr:colOff>169508</xdr:colOff>
      <xdr:row>18</xdr:row>
      <xdr:rowOff>86408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67FD3F-1F05-48C6-B58B-79A045744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110490</xdr:rowOff>
    </xdr:from>
    <xdr:to>
      <xdr:col>11</xdr:col>
      <xdr:colOff>411480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FCE7A-F399-7B9A-1C16-8171D0732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1</xdr:row>
      <xdr:rowOff>102870</xdr:rowOff>
    </xdr:from>
    <xdr:to>
      <xdr:col>11</xdr:col>
      <xdr:colOff>121920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5F77C-C077-78C6-1A9C-B5D5E9CDA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8</xdr:row>
      <xdr:rowOff>140970</xdr:rowOff>
    </xdr:from>
    <xdr:to>
      <xdr:col>7</xdr:col>
      <xdr:colOff>213360</xdr:colOff>
      <xdr:row>23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B2F7EB-D671-4754-A7FB-5490BE9EA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11</xdr:row>
      <xdr:rowOff>41910</xdr:rowOff>
    </xdr:from>
    <xdr:to>
      <xdr:col>6</xdr:col>
      <xdr:colOff>449580</xdr:colOff>
      <xdr:row>26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B991D5-5FEF-113B-E571-9CDB5D08B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1</xdr:row>
      <xdr:rowOff>179070</xdr:rowOff>
    </xdr:from>
    <xdr:to>
      <xdr:col>10</xdr:col>
      <xdr:colOff>129540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A6ACD-30B7-2F36-3F5D-41BF5CC57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8</xdr:row>
      <xdr:rowOff>140970</xdr:rowOff>
    </xdr:from>
    <xdr:to>
      <xdr:col>6</xdr:col>
      <xdr:colOff>441960</xdr:colOff>
      <xdr:row>23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EE128-7DA5-65EC-D901-B5E3A5381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3</xdr:row>
      <xdr:rowOff>163830</xdr:rowOff>
    </xdr:from>
    <xdr:to>
      <xdr:col>10</xdr:col>
      <xdr:colOff>22860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9616A-0202-4018-5847-C6254CB2F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</xdr:row>
      <xdr:rowOff>110490</xdr:rowOff>
    </xdr:from>
    <xdr:to>
      <xdr:col>10</xdr:col>
      <xdr:colOff>365760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08209B-1422-A95B-FB3D-63D731B74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243840</xdr:colOff>
      <xdr:row>4</xdr:row>
      <xdr:rowOff>7626</xdr:rowOff>
    </xdr:from>
    <xdr:to>
      <xdr:col>29</xdr:col>
      <xdr:colOff>548640</xdr:colOff>
      <xdr:row>19</xdr:row>
      <xdr:rowOff>7626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FCCE246-4053-AC88-72EF-20C3A19903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58120" y="73914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472440</xdr:colOff>
      <xdr:row>4</xdr:row>
      <xdr:rowOff>7626</xdr:rowOff>
    </xdr:from>
    <xdr:to>
      <xdr:col>29</xdr:col>
      <xdr:colOff>167640</xdr:colOff>
      <xdr:row>19</xdr:row>
      <xdr:rowOff>7626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09355C2-5BFC-7679-EA37-91897B47A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77120" y="73914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8</xdr:row>
      <xdr:rowOff>140970</xdr:rowOff>
    </xdr:from>
    <xdr:to>
      <xdr:col>7</xdr:col>
      <xdr:colOff>121920</xdr:colOff>
      <xdr:row>23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B168A-9DC2-62DB-54FC-2F287903E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49530</xdr:rowOff>
    </xdr:from>
    <xdr:to>
      <xdr:col>7</xdr:col>
      <xdr:colOff>160020</xdr:colOff>
      <xdr:row>24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3E6DB-1D76-71DD-F909-34F11EC8C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437745</xdr:colOff>
      <xdr:row>18</xdr:row>
      <xdr:rowOff>24661</xdr:rowOff>
    </xdr:from>
    <xdr:to>
      <xdr:col>40</xdr:col>
      <xdr:colOff>324256</xdr:colOff>
      <xdr:row>42</xdr:row>
      <xdr:rowOff>16213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D2396F-91D7-4A2A-981F-67739EC63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278781</xdr:colOff>
      <xdr:row>42</xdr:row>
      <xdr:rowOff>102583</xdr:rowOff>
    </xdr:from>
    <xdr:to>
      <xdr:col>23</xdr:col>
      <xdr:colOff>111513</xdr:colOff>
      <xdr:row>84</xdr:row>
      <xdr:rowOff>55755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8AC0CCB-3F62-4706-9B4D-04B6748207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32381" y="7783543"/>
              <a:ext cx="4099932" cy="7634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41518</xdr:colOff>
      <xdr:row>37</xdr:row>
      <xdr:rowOff>38483</xdr:rowOff>
    </xdr:from>
    <xdr:to>
      <xdr:col>16</xdr:col>
      <xdr:colOff>223023</xdr:colOff>
      <xdr:row>61</xdr:row>
      <xdr:rowOff>30053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D5D57AA-489E-4768-B533-070E5798B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9518" y="6805043"/>
              <a:ext cx="6887105" cy="4380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417285</xdr:colOff>
      <xdr:row>9</xdr:row>
      <xdr:rowOff>163286</xdr:rowOff>
    </xdr:from>
    <xdr:to>
      <xdr:col>12</xdr:col>
      <xdr:colOff>108857</xdr:colOff>
      <xdr:row>17</xdr:row>
      <xdr:rowOff>90714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1D8233D-96B5-8ACC-8E94-388A0113AD63}"/>
            </a:ext>
          </a:extLst>
        </xdr:cNvPr>
        <xdr:cNvSpPr/>
      </xdr:nvSpPr>
      <xdr:spPr>
        <a:xfrm>
          <a:off x="10286999" y="1796143"/>
          <a:ext cx="4009572" cy="1378857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bg1"/>
              </a:solidFill>
            </a:rPr>
            <a:t>AVERAGE SALARY</a:t>
          </a:r>
        </a:p>
        <a:p>
          <a:pPr algn="ctr"/>
          <a:r>
            <a:rPr lang="en-IN" sz="2800" b="1">
              <a:solidFill>
                <a:schemeClr val="bg1"/>
              </a:solidFill>
            </a:rPr>
            <a:t>₹45,356.67</a:t>
          </a:r>
        </a:p>
      </xdr:txBody>
    </xdr:sp>
    <xdr:clientData/>
  </xdr:twoCellAnchor>
  <xdr:twoCellAnchor>
    <xdr:from>
      <xdr:col>12</xdr:col>
      <xdr:colOff>326569</xdr:colOff>
      <xdr:row>9</xdr:row>
      <xdr:rowOff>145143</xdr:rowOff>
    </xdr:from>
    <xdr:to>
      <xdr:col>19</xdr:col>
      <xdr:colOff>36283</xdr:colOff>
      <xdr:row>17</xdr:row>
      <xdr:rowOff>90715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A9CC2D1-8A63-4972-8A60-BC6E7553EAA4}"/>
            </a:ext>
          </a:extLst>
        </xdr:cNvPr>
        <xdr:cNvSpPr/>
      </xdr:nvSpPr>
      <xdr:spPr>
        <a:xfrm>
          <a:off x="14514283" y="1778000"/>
          <a:ext cx="4027714" cy="13970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MEDIAN SALARY</a:t>
          </a:r>
        </a:p>
        <a:p>
          <a:pPr algn="ctr"/>
          <a:r>
            <a:rPr lang="en-IN" sz="2800" b="1"/>
            <a:t>₹44,000</a:t>
          </a:r>
        </a:p>
      </xdr:txBody>
    </xdr:sp>
    <xdr:clientData/>
  </xdr:twoCellAnchor>
  <xdr:twoCellAnchor>
    <xdr:from>
      <xdr:col>19</xdr:col>
      <xdr:colOff>282663</xdr:colOff>
      <xdr:row>10</xdr:row>
      <xdr:rowOff>0</xdr:rowOff>
    </xdr:from>
    <xdr:to>
      <xdr:col>25</xdr:col>
      <xdr:colOff>598711</xdr:colOff>
      <xdr:row>17</xdr:row>
      <xdr:rowOff>127000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D4D835-69DB-4929-AB08-C3043343DDDC}"/>
            </a:ext>
          </a:extLst>
        </xdr:cNvPr>
        <xdr:cNvSpPr/>
      </xdr:nvSpPr>
      <xdr:spPr>
        <a:xfrm>
          <a:off x="18788377" y="1814286"/>
          <a:ext cx="4017191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HIGHEST SALARY</a:t>
          </a:r>
        </a:p>
        <a:p>
          <a:pPr algn="ctr"/>
          <a:r>
            <a:rPr lang="en-IN" sz="2800" b="1"/>
            <a:t>₹77,000</a:t>
          </a:r>
        </a:p>
      </xdr:txBody>
    </xdr:sp>
    <xdr:clientData/>
  </xdr:twoCellAnchor>
  <xdr:twoCellAnchor>
    <xdr:from>
      <xdr:col>26</xdr:col>
      <xdr:colOff>254013</xdr:colOff>
      <xdr:row>9</xdr:row>
      <xdr:rowOff>163285</xdr:rowOff>
    </xdr:from>
    <xdr:to>
      <xdr:col>32</xdr:col>
      <xdr:colOff>580583</xdr:colOff>
      <xdr:row>17</xdr:row>
      <xdr:rowOff>108855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F4BD666-90C2-41FD-AA1E-4A95AAB2CE63}"/>
            </a:ext>
          </a:extLst>
        </xdr:cNvPr>
        <xdr:cNvSpPr/>
      </xdr:nvSpPr>
      <xdr:spPr>
        <a:xfrm>
          <a:off x="23077727" y="1796142"/>
          <a:ext cx="4027713" cy="13969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LOWEST SALARY</a:t>
          </a:r>
        </a:p>
        <a:p>
          <a:pPr algn="ctr"/>
          <a:r>
            <a:rPr lang="en-IN" sz="2800" b="1"/>
            <a:t>₹18,000</a:t>
          </a:r>
        </a:p>
      </xdr:txBody>
    </xdr:sp>
    <xdr:clientData/>
  </xdr:twoCellAnchor>
  <xdr:twoCellAnchor>
    <xdr:from>
      <xdr:col>33</xdr:col>
      <xdr:colOff>235865</xdr:colOff>
      <xdr:row>9</xdr:row>
      <xdr:rowOff>163285</xdr:rowOff>
    </xdr:from>
    <xdr:to>
      <xdr:col>39</xdr:col>
      <xdr:colOff>598721</xdr:colOff>
      <xdr:row>17</xdr:row>
      <xdr:rowOff>126998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25807A3-26B2-4036-8B1D-7BE464E3E5E5}"/>
            </a:ext>
          </a:extLst>
        </xdr:cNvPr>
        <xdr:cNvSpPr/>
      </xdr:nvSpPr>
      <xdr:spPr>
        <a:xfrm>
          <a:off x="27377579" y="1796142"/>
          <a:ext cx="4063999" cy="14151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HIGH PERFORMERS</a:t>
          </a:r>
        </a:p>
        <a:p>
          <a:pPr algn="ctr"/>
          <a:r>
            <a:rPr lang="en-IN" sz="2800" b="1"/>
            <a:t>118</a:t>
          </a:r>
        </a:p>
      </xdr:txBody>
    </xdr:sp>
    <xdr:clientData/>
  </xdr:twoCellAnchor>
  <xdr:twoCellAnchor>
    <xdr:from>
      <xdr:col>5</xdr:col>
      <xdr:colOff>38099</xdr:colOff>
      <xdr:row>18</xdr:row>
      <xdr:rowOff>88901</xdr:rowOff>
    </xdr:from>
    <xdr:to>
      <xdr:col>16</xdr:col>
      <xdr:colOff>324255</xdr:colOff>
      <xdr:row>36</xdr:row>
      <xdr:rowOff>162128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AFD6E8E-D552-42A0-AADF-F6196BC8B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223025</xdr:colOff>
      <xdr:row>42</xdr:row>
      <xdr:rowOff>81065</xdr:rowOff>
    </xdr:from>
    <xdr:to>
      <xdr:col>40</xdr:col>
      <xdr:colOff>291830</xdr:colOff>
      <xdr:row>84</xdr:row>
      <xdr:rowOff>32425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C18A64-3DF1-4D8C-9895-8CA958DD1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389106</xdr:colOff>
      <xdr:row>18</xdr:row>
      <xdr:rowOff>81064</xdr:rowOff>
    </xdr:from>
    <xdr:to>
      <xdr:col>27</xdr:col>
      <xdr:colOff>210766</xdr:colOff>
      <xdr:row>41</xdr:row>
      <xdr:rowOff>111512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E1E5223-5E8E-46A8-8803-049132AD8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57733</xdr:colOff>
      <xdr:row>61</xdr:row>
      <xdr:rowOff>111512</xdr:rowOff>
    </xdr:from>
    <xdr:to>
      <xdr:col>16</xdr:col>
      <xdr:colOff>260195</xdr:colOff>
      <xdr:row>84</xdr:row>
      <xdr:rowOff>71968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28456E0-A83B-4D74-ABFA-D765C53EA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65688</xdr:colOff>
      <xdr:row>6</xdr:row>
      <xdr:rowOff>118240</xdr:rowOff>
    </xdr:from>
    <xdr:to>
      <xdr:col>9</xdr:col>
      <xdr:colOff>131379</xdr:colOff>
      <xdr:row>26</xdr:row>
      <xdr:rowOff>131378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5CA29-3164-4155-BC2A-A53EC55D2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</xdr:row>
      <xdr:rowOff>157656</xdr:rowOff>
    </xdr:from>
    <xdr:to>
      <xdr:col>9</xdr:col>
      <xdr:colOff>78827</xdr:colOff>
      <xdr:row>56</xdr:row>
      <xdr:rowOff>89338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75D977-5C6D-4374-BF76-73EC40B23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275896</xdr:colOff>
      <xdr:row>6</xdr:row>
      <xdr:rowOff>105104</xdr:rowOff>
    </xdr:from>
    <xdr:to>
      <xdr:col>17</xdr:col>
      <xdr:colOff>13138</xdr:colOff>
      <xdr:row>26</xdr:row>
      <xdr:rowOff>91964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82B55C-C856-482C-93C7-DCDEB5BA5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144517</xdr:colOff>
      <xdr:row>6</xdr:row>
      <xdr:rowOff>26276</xdr:rowOff>
    </xdr:from>
    <xdr:to>
      <xdr:col>26</xdr:col>
      <xdr:colOff>512378</xdr:colOff>
      <xdr:row>26</xdr:row>
      <xdr:rowOff>144516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E47555-BA57-41A9-88DD-9D8D35E97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39412</xdr:colOff>
      <xdr:row>26</xdr:row>
      <xdr:rowOff>91966</xdr:rowOff>
    </xdr:from>
    <xdr:to>
      <xdr:col>9</xdr:col>
      <xdr:colOff>131378</xdr:colOff>
      <xdr:row>41</xdr:row>
      <xdr:rowOff>76201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7087F1-296E-42CF-AF7C-DE4B29B79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275896</xdr:colOff>
      <xdr:row>27</xdr:row>
      <xdr:rowOff>52552</xdr:rowOff>
    </xdr:from>
    <xdr:to>
      <xdr:col>18</xdr:col>
      <xdr:colOff>157655</xdr:colOff>
      <xdr:row>55</xdr:row>
      <xdr:rowOff>91965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6DCE3E-2757-462A-8B66-D98EA5793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236483</xdr:colOff>
      <xdr:row>27</xdr:row>
      <xdr:rowOff>39414</xdr:rowOff>
    </xdr:from>
    <xdr:to>
      <xdr:col>26</xdr:col>
      <xdr:colOff>459827</xdr:colOff>
      <xdr:row>55</xdr:row>
      <xdr:rowOff>76201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D117A7-E08D-459D-ABF0-A93B964D0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2.912785763889" createdVersion="8" refreshedVersion="8" minRefreshableVersion="3" recordCount="300" xr:uid="{492EFFEF-DF69-451E-B892-1916481D5EE5}">
  <cacheSource type="worksheet">
    <worksheetSource name="Table1"/>
  </cacheSource>
  <cacheFields count="17">
    <cacheField name="Employee_ID" numFmtId="0">
      <sharedItems containsSemiMixedTypes="0" containsString="0" containsNumber="1" containsInteger="1" minValue="1" maxValue="300"/>
    </cacheField>
    <cacheField name="Employee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1" maxValue="58"/>
    </cacheField>
    <cacheField name="Department" numFmtId="0">
      <sharedItems count="7">
        <s v="Marketing"/>
        <s v="IT"/>
        <s v="Customer Support"/>
        <s v="HR"/>
        <s v="Sales"/>
        <s v="Finance"/>
        <s v="Operations"/>
      </sharedItems>
    </cacheField>
    <cacheField name="Position" numFmtId="0">
      <sharedItems count="22">
        <s v="Marketing Executive"/>
        <s v="Data Analyst"/>
        <s v="Support Executive"/>
        <s v="HR Executive"/>
        <s v="Business Development Executive"/>
        <s v="Sales Manager"/>
        <s v="Financial Analyst"/>
        <s v="Recruiter"/>
        <s v="Marketing Manager"/>
        <s v="Software Developer"/>
        <s v="Customer Success Executive"/>
        <s v="Sales Executive"/>
        <s v="Finance Manager"/>
        <s v="QA Engineer"/>
        <s v="Operations Manager"/>
        <s v="HR Manager"/>
        <s v="Digital Marketing Analyst"/>
        <s v="Support Lead"/>
        <s v="System Administrator"/>
        <s v="Operations Executive"/>
        <s v="Process Analyst"/>
        <s v="Accountant"/>
      </sharedItems>
    </cacheField>
    <cacheField name="Salary" numFmtId="0">
      <sharedItems containsSemiMixedTypes="0" containsString="0" containsNumber="1" containsInteger="1" minValue="18000" maxValue="77000"/>
    </cacheField>
    <cacheField name="Hire_Date" numFmtId="164">
      <sharedItems containsSemiMixedTypes="0" containsNonDate="0" containsDate="1" containsString="0" minDate="2019-01-15T00:00:00" maxDate="2026-09-06T00:00:00"/>
    </cacheField>
    <cacheField name="Years_of_Service" numFmtId="0">
      <sharedItems containsSemiMixedTypes="0" containsString="0" containsNumber="1" minValue="0.1" maxValue="7.7"/>
    </cacheField>
    <cacheField name="Recruitment_Source" numFmtId="0">
      <sharedItems/>
    </cacheField>
    <cacheField name="Performance_Score" numFmtId="0">
      <sharedItems containsSemiMixedTypes="0" containsString="0" containsNumber="1" minValue="55" maxValue="98"/>
    </cacheField>
    <cacheField name="Attendance_Percentage" numFmtId="0">
      <sharedItems containsSemiMixedTypes="0" containsString="0" containsNumber="1" minValue="82" maxValue="99.5"/>
    </cacheField>
    <cacheField name="Absence_Days" numFmtId="0">
      <sharedItems containsSemiMixedTypes="0" containsString="0" containsNumber="1" containsInteger="1" minValue="0" maxValue="24"/>
    </cacheField>
    <cacheField name="Leave_Days" numFmtId="0">
      <sharedItems containsSemiMixedTypes="0" containsString="0" containsNumber="1" containsInteger="1" minValue="0" maxValue="18"/>
    </cacheField>
    <cacheField name="Employment_Status" numFmtId="0">
      <sharedItems/>
    </cacheField>
    <cacheField name="Termination_Date" numFmtId="164">
      <sharedItems containsNonDate="0" containsDate="1" containsString="0" containsBlank="1" minDate="2024-11-17T00:00:00" maxDate="2026-09-29T00:00:00"/>
    </cacheField>
    <cacheField name="Location" numFmtId="0">
      <sharedItems count="5">
        <s v="North"/>
        <s v="East"/>
        <s v="Central"/>
        <s v="South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3.186559837966" createdVersion="8" refreshedVersion="8" minRefreshableVersion="3" recordCount="640" xr:uid="{B43704A9-6175-46B2-B876-DDA185D94621}">
  <cacheSource type="worksheet">
    <worksheetSource name="Table3"/>
  </cacheSource>
  <cacheFields count="9">
    <cacheField name="Leave_ID" numFmtId="0">
      <sharedItems containsSemiMixedTypes="0" containsString="0" containsNumber="1" containsInteger="1" minValue="1" maxValue="640"/>
    </cacheField>
    <cacheField name="Employee_ID" numFmtId="0">
      <sharedItems containsSemiMixedTypes="0" containsString="0" containsNumber="1" containsInteger="1" minValue="1" maxValue="300"/>
    </cacheField>
    <cacheField name="Leave_Date" numFmtId="164">
      <sharedItems containsSemiMixedTypes="0" containsNonDate="0" containsDate="1" containsString="0" minDate="2025-10-01T00:00:00" maxDate="2026-10-01T00:00:00" count="309">
        <d v="2026-06-12T00:00:00"/>
        <d v="2026-02-13T00:00:00"/>
        <d v="2026-05-13T00:00:00"/>
        <d v="2026-03-15T00:00:00"/>
        <d v="2026-03-08T00:00:00"/>
        <d v="2026-08-13T00:00:00"/>
        <d v="2025-11-16T00:00:00"/>
        <d v="2026-03-24T00:00:00"/>
        <d v="2025-11-23T00:00:00"/>
        <d v="2026-01-24T00:00:00"/>
        <d v="2026-07-08T00:00:00"/>
        <d v="2026-01-23T00:00:00"/>
        <d v="2026-05-14T00:00:00"/>
        <d v="2026-03-01T00:00:00"/>
        <d v="2026-01-04T00:00:00"/>
        <d v="2026-09-27T00:00:00"/>
        <d v="2026-04-05T00:00:00"/>
        <d v="2026-04-01T00:00:00"/>
        <d v="2026-07-03T00:00:00"/>
        <d v="2026-07-02T00:00:00"/>
        <d v="2026-01-25T00:00:00"/>
        <d v="2026-02-15T00:00:00"/>
        <d v="2025-10-12T00:00:00"/>
        <d v="2026-06-02T00:00:00"/>
        <d v="2026-07-19T00:00:00"/>
        <d v="2026-06-09T00:00:00"/>
        <d v="2026-09-04T00:00:00"/>
        <d v="2026-03-19T00:00:00"/>
        <d v="2026-07-04T00:00:00"/>
        <d v="2026-07-28T00:00:00"/>
        <d v="2025-11-02T00:00:00"/>
        <d v="2026-08-04T00:00:00"/>
        <d v="2025-12-01T00:00:00"/>
        <d v="2026-04-25T00:00:00"/>
        <d v="2026-09-22T00:00:00"/>
        <d v="2025-11-19T00:00:00"/>
        <d v="2026-02-07T00:00:00"/>
        <d v="2026-02-11T00:00:00"/>
        <d v="2026-03-29T00:00:00"/>
        <d v="2026-02-09T00:00:00"/>
        <d v="2025-10-31T00:00:00"/>
        <d v="2025-10-01T00:00:00"/>
        <d v="2026-04-15T00:00:00"/>
        <d v="2026-04-10T00:00:00"/>
        <d v="2026-08-22T00:00:00"/>
        <d v="2026-01-20T00:00:00"/>
        <d v="2026-06-17T00:00:00"/>
        <d v="2025-10-20T00:00:00"/>
        <d v="2025-11-25T00:00:00"/>
        <d v="2026-06-23T00:00:00"/>
        <d v="2026-01-07T00:00:00"/>
        <d v="2026-04-18T00:00:00"/>
        <d v="2025-11-03T00:00:00"/>
        <d v="2025-12-12T00:00:00"/>
        <d v="2026-09-03T00:00:00"/>
        <d v="2026-06-27T00:00:00"/>
        <d v="2026-03-14T00:00:00"/>
        <d v="2026-08-17T00:00:00"/>
        <d v="2026-04-12T00:00:00"/>
        <d v="2026-09-16T00:00:00"/>
        <d v="2026-07-01T00:00:00"/>
        <d v="2026-01-05T00:00:00"/>
        <d v="2026-06-18T00:00:00"/>
        <d v="2026-01-18T00:00:00"/>
        <d v="2026-09-30T00:00:00"/>
        <d v="2026-01-14T00:00:00"/>
        <d v="2026-02-01T00:00:00"/>
        <d v="2026-04-09T00:00:00"/>
        <d v="2026-08-03T00:00:00"/>
        <d v="2026-09-29T00:00:00"/>
        <d v="2026-04-28T00:00:00"/>
        <d v="2025-12-05T00:00:00"/>
        <d v="2025-11-29T00:00:00"/>
        <d v="2026-01-02T00:00:00"/>
        <d v="2026-02-23T00:00:00"/>
        <d v="2026-01-12T00:00:00"/>
        <d v="2026-05-12T00:00:00"/>
        <d v="2026-08-02T00:00:00"/>
        <d v="2026-03-12T00:00:00"/>
        <d v="2026-01-11T00:00:00"/>
        <d v="2025-12-18T00:00:00"/>
        <d v="2026-01-03T00:00:00"/>
        <d v="2025-11-05T00:00:00"/>
        <d v="2025-12-22T00:00:00"/>
        <d v="2025-11-27T00:00:00"/>
        <d v="2025-10-09T00:00:00"/>
        <d v="2025-10-04T00:00:00"/>
        <d v="2025-10-30T00:00:00"/>
        <d v="2026-07-07T00:00:00"/>
        <d v="2026-07-20T00:00:00"/>
        <d v="2026-04-17T00:00:00"/>
        <d v="2026-08-10T00:00:00"/>
        <d v="2025-12-13T00:00:00"/>
        <d v="2026-03-03T00:00:00"/>
        <d v="2026-04-29T00:00:00"/>
        <d v="2026-05-02T00:00:00"/>
        <d v="2026-03-16T00:00:00"/>
        <d v="2026-02-03T00:00:00"/>
        <d v="2026-08-30T00:00:00"/>
        <d v="2025-10-27T00:00:00"/>
        <d v="2026-07-10T00:00:00"/>
        <d v="2026-05-10T00:00:00"/>
        <d v="2026-04-16T00:00:00"/>
        <d v="2026-08-25T00:00:00"/>
        <d v="2026-06-07T00:00:00"/>
        <d v="2025-12-17T00:00:00"/>
        <d v="2026-08-16T00:00:00"/>
        <d v="2026-03-23T00:00:00"/>
        <d v="2025-12-21T00:00:00"/>
        <d v="2025-11-30T00:00:00"/>
        <d v="2025-11-28T00:00:00"/>
        <d v="2026-04-14T00:00:00"/>
        <d v="2025-10-11T00:00:00"/>
        <d v="2026-09-09T00:00:00"/>
        <d v="2026-04-08T00:00:00"/>
        <d v="2026-08-21T00:00:00"/>
        <d v="2026-08-05T00:00:00"/>
        <d v="2026-07-30T00:00:00"/>
        <d v="2026-03-13T00:00:00"/>
        <d v="2026-02-12T00:00:00"/>
        <d v="2025-10-21T00:00:00"/>
        <d v="2025-10-06T00:00:00"/>
        <d v="2026-05-29T00:00:00"/>
        <d v="2026-06-20T00:00:00"/>
        <d v="2026-03-27T00:00:00"/>
        <d v="2026-02-14T00:00:00"/>
        <d v="2026-09-07T00:00:00"/>
        <d v="2025-11-24T00:00:00"/>
        <d v="2025-11-08T00:00:00"/>
        <d v="2025-11-06T00:00:00"/>
        <d v="2026-09-06T00:00:00"/>
        <d v="2026-09-26T00:00:00"/>
        <d v="2026-09-17T00:00:00"/>
        <d v="2025-11-10T00:00:00"/>
        <d v="2026-09-12T00:00:00"/>
        <d v="2026-01-10T00:00:00"/>
        <d v="2026-04-21T00:00:00"/>
        <d v="2026-08-24T00:00:00"/>
        <d v="2026-03-26T00:00:00"/>
        <d v="2026-02-22T00:00:00"/>
        <d v="2026-09-11T00:00:00"/>
        <d v="2025-12-27T00:00:00"/>
        <d v="2026-05-25T00:00:00"/>
        <d v="2026-05-26T00:00:00"/>
        <d v="2025-10-08T00:00:00"/>
        <d v="2026-04-19T00:00:00"/>
        <d v="2026-03-22T00:00:00"/>
        <d v="2026-06-13T00:00:00"/>
        <d v="2025-11-04T00:00:00"/>
        <d v="2026-02-26T00:00:00"/>
        <d v="2026-01-19T00:00:00"/>
        <d v="2026-03-07T00:00:00"/>
        <d v="2026-06-29T00:00:00"/>
        <d v="2026-03-17T00:00:00"/>
        <d v="2026-02-21T00:00:00"/>
        <d v="2026-07-16T00:00:00"/>
        <d v="2026-06-19T00:00:00"/>
        <d v="2026-06-05T00:00:00"/>
        <d v="2026-06-06T00:00:00"/>
        <d v="2026-01-08T00:00:00"/>
        <d v="2026-09-24T00:00:00"/>
        <d v="2026-01-13T00:00:00"/>
        <d v="2025-10-15T00:00:00"/>
        <d v="2025-12-15T00:00:00"/>
        <d v="2025-12-20T00:00:00"/>
        <d v="2026-02-18T00:00:00"/>
        <d v="2026-05-21T00:00:00"/>
        <d v="2026-08-27T00:00:00"/>
        <d v="2026-07-17T00:00:00"/>
        <d v="2025-11-22T00:00:00"/>
        <d v="2026-04-03T00:00:00"/>
        <d v="2026-03-25T00:00:00"/>
        <d v="2026-09-21T00:00:00"/>
        <d v="2026-01-31T00:00:00"/>
        <d v="2026-08-26T00:00:00"/>
        <d v="2026-01-28T00:00:00"/>
        <d v="2026-07-09T00:00:00"/>
        <d v="2026-07-29T00:00:00"/>
        <d v="2026-07-26T00:00:00"/>
        <d v="2026-04-07T00:00:00"/>
        <d v="2026-07-12T00:00:00"/>
        <d v="2026-05-20T00:00:00"/>
        <d v="2026-04-26T00:00:00"/>
        <d v="2025-10-22T00:00:00"/>
        <d v="2026-03-05T00:00:00"/>
        <d v="2026-07-18T00:00:00"/>
        <d v="2025-10-07T00:00:00"/>
        <d v="2026-07-15T00:00:00"/>
        <d v="2026-08-12T00:00:00"/>
        <d v="2025-10-26T00:00:00"/>
        <d v="2025-12-29T00:00:00"/>
        <d v="2026-01-29T00:00:00"/>
        <d v="2026-06-03T00:00:00"/>
        <d v="2026-04-30T00:00:00"/>
        <d v="2026-09-19T00:00:00"/>
        <d v="2026-05-11T00:00:00"/>
        <d v="2026-02-24T00:00:00"/>
        <d v="2025-12-23T00:00:00"/>
        <d v="2025-12-14T00:00:00"/>
        <d v="2026-09-14T00:00:00"/>
        <d v="2026-07-21T00:00:00"/>
        <d v="2025-10-03T00:00:00"/>
        <d v="2026-07-23T00:00:00"/>
        <d v="2025-10-13T00:00:00"/>
        <d v="2025-10-17T00:00:00"/>
        <d v="2025-10-16T00:00:00"/>
        <d v="2026-08-20T00:00:00"/>
        <d v="2025-11-18T00:00:00"/>
        <d v="2026-06-15T00:00:00"/>
        <d v="2026-02-28T00:00:00"/>
        <d v="2025-11-09T00:00:00"/>
        <d v="2026-06-10T00:00:00"/>
        <d v="2025-12-11T00:00:00"/>
        <d v="2026-04-06T00:00:00"/>
        <d v="2026-05-31T00:00:00"/>
        <d v="2026-09-25T00:00:00"/>
        <d v="2025-11-14T00:00:00"/>
        <d v="2026-04-24T00:00:00"/>
        <d v="2026-07-13T00:00:00"/>
        <d v="2026-09-02T00:00:00"/>
        <d v="2026-06-26T00:00:00"/>
        <d v="2026-09-05T00:00:00"/>
        <d v="2025-11-20T00:00:00"/>
        <d v="2025-11-07T00:00:00"/>
        <d v="2026-08-11T00:00:00"/>
        <d v="2025-11-13T00:00:00"/>
        <d v="2026-02-20T00:00:00"/>
        <d v="2026-08-29T00:00:00"/>
        <d v="2026-08-06T00:00:00"/>
        <d v="2026-06-30T00:00:00"/>
        <d v="2026-02-16T00:00:00"/>
        <d v="2026-07-11T00:00:00"/>
        <d v="2026-07-25T00:00:00"/>
        <d v="2026-08-23T00:00:00"/>
        <d v="2026-08-07T00:00:00"/>
        <d v="2026-04-11T00:00:00"/>
        <d v="2026-02-08T00:00:00"/>
        <d v="2026-02-19T00:00:00"/>
        <d v="2026-03-10T00:00:00"/>
        <d v="2025-10-28T00:00:00"/>
        <d v="2026-05-09T00:00:00"/>
        <d v="2026-01-21T00:00:00"/>
        <d v="2025-11-21T00:00:00"/>
        <d v="2026-05-15T00:00:00"/>
        <d v="2026-04-13T00:00:00"/>
        <d v="2026-09-23T00:00:00"/>
        <d v="2026-01-15T00:00:00"/>
        <d v="2026-01-27T00:00:00"/>
        <d v="2026-02-02T00:00:00"/>
        <d v="2026-05-06T00:00:00"/>
        <d v="2026-01-26T00:00:00"/>
        <d v="2026-09-28T00:00:00"/>
        <d v="2026-06-24T00:00:00"/>
        <d v="2026-06-16T00:00:00"/>
        <d v="2025-12-25T00:00:00"/>
        <d v="2025-12-07T00:00:00"/>
        <d v="2026-06-08T00:00:00"/>
        <d v="2026-05-27T00:00:00"/>
        <d v="2026-04-27T00:00:00"/>
        <d v="2025-10-19T00:00:00"/>
        <d v="2026-08-31T00:00:00"/>
        <d v="2026-03-31T00:00:00"/>
        <d v="2026-08-15T00:00:00"/>
        <d v="2026-06-21T00:00:00"/>
        <d v="2025-12-08T00:00:00"/>
        <d v="2025-12-24T00:00:00"/>
        <d v="2025-12-19T00:00:00"/>
        <d v="2026-04-23T00:00:00"/>
        <d v="2025-11-11T00:00:00"/>
        <d v="2026-05-01T00:00:00"/>
        <d v="2026-02-27T00:00:00"/>
        <d v="2025-11-12T00:00:00"/>
        <d v="2026-04-20T00:00:00"/>
        <d v="2026-05-03T00:00:00"/>
        <d v="2026-01-16T00:00:00"/>
        <d v="2025-12-04T00:00:00"/>
        <d v="2026-03-20T00:00:00"/>
        <d v="2026-03-04T00:00:00"/>
        <d v="2026-01-01T00:00:00"/>
        <d v="2026-06-14T00:00:00"/>
        <d v="2026-08-08T00:00:00"/>
        <d v="2026-04-22T00:00:00"/>
        <d v="2026-09-01T00:00:00"/>
        <d v="2026-02-10T00:00:00"/>
        <d v="2026-04-04T00:00:00"/>
        <d v="2026-07-05T00:00:00"/>
        <d v="2025-12-02T00:00:00"/>
        <d v="2026-08-14T00:00:00"/>
        <d v="2025-12-10T00:00:00"/>
        <d v="2026-03-09T00:00:00"/>
        <d v="2026-05-04T00:00:00"/>
        <d v="2025-12-03T00:00:00"/>
        <d v="2026-07-22T00:00:00"/>
        <d v="2026-08-28T00:00:00"/>
        <d v="2026-03-30T00:00:00"/>
        <d v="2025-10-02T00:00:00"/>
        <d v="2025-11-01T00:00:00"/>
        <d v="2026-05-19T00:00:00"/>
        <d v="2026-05-30T00:00:00"/>
        <d v="2025-10-24T00:00:00"/>
        <d v="2025-10-23T00:00:00"/>
        <d v="2026-01-22T00:00:00"/>
        <d v="2026-01-30T00:00:00"/>
        <d v="2026-09-18T00:00:00"/>
        <d v="2025-11-15T00:00:00"/>
        <d v="2026-05-07T00:00:00"/>
        <d v="2026-08-18T00:00:00"/>
        <d v="2025-12-28T00:00:00"/>
        <d v="2025-12-31T00:00:00"/>
      </sharedItems>
      <fieldGroup par="8"/>
    </cacheField>
    <cacheField name="Leave_Type" numFmtId="0">
      <sharedItems count="4">
        <s v="Sick Leave"/>
        <s v="Emergency Leave"/>
        <s v="Annual Leave"/>
        <s v="Casual Leave"/>
      </sharedItems>
    </cacheField>
    <cacheField name="Leave_Days" numFmtId="0">
      <sharedItems containsSemiMixedTypes="0" containsString="0" containsNumber="1" containsInteger="1" minValue="1" maxValue="4"/>
    </cacheField>
    <cacheField name="Status" numFmtId="0">
      <sharedItems count="3">
        <s v="Approved"/>
        <s v="Rejected"/>
        <s v="Pending"/>
      </sharedItems>
    </cacheField>
    <cacheField name="Months (Leave_Date)" numFmtId="0" databaseField="0">
      <fieldGroup base="2">
        <rangePr groupBy="months" startDate="2025-10-01T00:00:00" endDate="2026-10-01T00:00:00"/>
        <groupItems count="14">
          <s v="&lt;01-10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0-2026"/>
        </groupItems>
      </fieldGroup>
    </cacheField>
    <cacheField name="Quarters (Leave_Date)" numFmtId="0" databaseField="0">
      <fieldGroup base="2">
        <rangePr groupBy="quarters" startDate="2025-10-01T00:00:00" endDate="2026-10-01T00:00:00"/>
        <groupItems count="6">
          <s v="&lt;01-10-2025"/>
          <s v="Qtr1"/>
          <s v="Qtr2"/>
          <s v="Qtr3"/>
          <s v="Qtr4"/>
          <s v="&gt;01-10-2026"/>
        </groupItems>
      </fieldGroup>
    </cacheField>
    <cacheField name="Years (Leave_Date)" numFmtId="0" databaseField="0">
      <fieldGroup base="2">
        <rangePr groupBy="years" startDate="2025-10-01T00:00:00" endDate="2026-10-01T00:00:00"/>
        <groupItems count="4">
          <s v="&lt;01-10-2025"/>
          <s v="2025"/>
          <s v="2026"/>
          <s v="&gt;01-10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3.204902083336" createdVersion="8" refreshedVersion="8" minRefreshableVersion="3" recordCount="640" xr:uid="{5BE1E272-F72A-40AC-B751-22E0D7F5064F}">
  <cacheSource type="worksheet">
    <worksheetSource ref="A1:F641" sheet="table 5"/>
  </cacheSource>
  <cacheFields count="6">
    <cacheField name="Employee_ID" numFmtId="0">
      <sharedItems containsSemiMixedTypes="0" containsString="0" containsNumber="1" containsInteger="1" minValue="1" maxValue="640" count="6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</sharedItems>
    </cacheField>
    <cacheField name="Leave_Date" numFmtId="164">
      <sharedItems containsSemiMixedTypes="0" containsNonDate="0" containsDate="1" containsString="0" minDate="2025-10-01T00:00:00" maxDate="2026-10-01T00:00:00"/>
    </cacheField>
    <cacheField name="Leave_Type" numFmtId="0">
      <sharedItems/>
    </cacheField>
    <cacheField name="Leave_Days" numFmtId="0">
      <sharedItems containsSemiMixedTypes="0" containsString="0" containsNumber="1" containsInteger="1" minValue="1" maxValue="4"/>
    </cacheField>
    <cacheField name="Department" numFmtId="0">
      <sharedItems count="8">
        <s v="Marketing"/>
        <s v="IT"/>
        <s v="Customer Support"/>
        <s v="HR"/>
        <s v="Sales"/>
        <s v="Finance"/>
        <s v="Operations"/>
        <s v="Not Found"/>
      </sharedItems>
    </cacheField>
    <cacheField name="Status" numFmtId="0">
      <sharedItems count="3">
        <s v="Approved"/>
        <s v="Rejecte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3.213800347221" createdVersion="8" refreshedVersion="8" minRefreshableVersion="3" recordCount="640" xr:uid="{DE7E91C4-FA6B-40A1-A93B-D09F96D032F3}">
  <cacheSource type="worksheet">
    <worksheetSource name="Table37"/>
  </cacheSource>
  <cacheFields count="9">
    <cacheField name="Leave_ID" numFmtId="0">
      <sharedItems containsSemiMixedTypes="0" containsString="0" containsNumber="1" containsInteger="1" minValue="1" maxValue="640"/>
    </cacheField>
    <cacheField name="Employee_ID" numFmtId="0">
      <sharedItems containsSemiMixedTypes="0" containsString="0" containsNumber="1" containsInteger="1" minValue="1" maxValue="300" count="248">
        <n v="1"/>
        <n v="2"/>
        <n v="3"/>
        <n v="4"/>
        <n v="5"/>
        <n v="6"/>
        <n v="7"/>
        <n v="8"/>
        <n v="9"/>
        <n v="11"/>
        <n v="12"/>
        <n v="13"/>
        <n v="15"/>
        <n v="16"/>
        <n v="17"/>
        <n v="18"/>
        <n v="19"/>
        <n v="21"/>
        <n v="22"/>
        <n v="23"/>
        <n v="24"/>
        <n v="25"/>
        <n v="26"/>
        <n v="27"/>
        <n v="28"/>
        <n v="30"/>
        <n v="31"/>
        <n v="32"/>
        <n v="33"/>
        <n v="34"/>
        <n v="35"/>
        <n v="36"/>
        <n v="37"/>
        <n v="38"/>
        <n v="39"/>
        <n v="42"/>
        <n v="44"/>
        <n v="45"/>
        <n v="46"/>
        <n v="48"/>
        <n v="49"/>
        <n v="51"/>
        <n v="52"/>
        <n v="53"/>
        <n v="54"/>
        <n v="55"/>
        <n v="56"/>
        <n v="57"/>
        <n v="58"/>
        <n v="59"/>
        <n v="60"/>
        <n v="61"/>
        <n v="63"/>
        <n v="64"/>
        <n v="66"/>
        <n v="68"/>
        <n v="69"/>
        <n v="70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10"/>
        <n v="111"/>
        <n v="112"/>
        <n v="113"/>
        <n v="115"/>
        <n v="116"/>
        <n v="117"/>
        <n v="119"/>
        <n v="120"/>
        <n v="121"/>
        <n v="122"/>
        <n v="124"/>
        <n v="125"/>
        <n v="126"/>
        <n v="128"/>
        <n v="129"/>
        <n v="131"/>
        <n v="134"/>
        <n v="135"/>
        <n v="136"/>
        <n v="137"/>
        <n v="139"/>
        <n v="140"/>
        <n v="142"/>
        <n v="143"/>
        <n v="144"/>
        <n v="146"/>
        <n v="148"/>
        <n v="149"/>
        <n v="150"/>
        <n v="151"/>
        <n v="152"/>
        <n v="153"/>
        <n v="154"/>
        <n v="155"/>
        <n v="156"/>
        <n v="158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6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4"/>
        <n v="215"/>
        <n v="216"/>
        <n v="217"/>
        <n v="218"/>
        <n v="219"/>
        <n v="223"/>
        <n v="224"/>
        <n v="226"/>
        <n v="229"/>
        <n v="230"/>
        <n v="231"/>
        <n v="232"/>
        <n v="234"/>
        <n v="235"/>
        <n v="236"/>
        <n v="237"/>
        <n v="238"/>
        <n v="239"/>
        <n v="240"/>
        <n v="241"/>
        <n v="242"/>
        <n v="243"/>
        <n v="245"/>
        <n v="246"/>
        <n v="249"/>
        <n v="250"/>
        <n v="253"/>
        <n v="254"/>
        <n v="255"/>
        <n v="256"/>
        <n v="257"/>
        <n v="258"/>
        <n v="259"/>
        <n v="260"/>
        <n v="263"/>
        <n v="265"/>
        <n v="267"/>
        <n v="269"/>
        <n v="271"/>
        <n v="272"/>
        <n v="273"/>
        <n v="274"/>
        <n v="275"/>
        <n v="276"/>
        <n v="277"/>
        <n v="278"/>
        <n v="279"/>
        <n v="280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</sharedItems>
    </cacheField>
    <cacheField name="Leave_Date" numFmtId="164">
      <sharedItems containsSemiMixedTypes="0" containsNonDate="0" containsDate="1" containsString="0" minDate="2025-10-01T00:00:00" maxDate="2026-10-01T00:00:00"/>
    </cacheField>
    <cacheField name="Leave_Type" numFmtId="0">
      <sharedItems/>
    </cacheField>
    <cacheField name="Leave_Days" numFmtId="0">
      <sharedItems containsSemiMixedTypes="0" containsString="0" containsNumber="1" containsInteger="1" minValue="1" maxValue="4"/>
    </cacheField>
    <cacheField name="Department" numFmtId="0">
      <sharedItems/>
    </cacheField>
    <cacheField name="Status" numFmtId="0">
      <sharedItems count="3">
        <s v="Approved"/>
        <s v="Rejected"/>
        <s v="Pending"/>
      </sharedItems>
    </cacheField>
    <cacheField name="Average" numFmtId="0">
      <sharedItems containsSemiMixedTypes="0" containsString="0" containsNumber="1" minValue="1" maxValue="2.5078299776286355"/>
    </cacheField>
    <cacheField name="Percentage" numFmtId="0">
      <sharedItems containsSemiMixedTypes="0" containsString="0" containsNumber="1" minValue="50" maxValue="83.333333333333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s v="Employee_001"/>
    <s v="Male"/>
    <n v="38"/>
    <x v="0"/>
    <x v="0"/>
    <n v="48000"/>
    <d v="2021-09-30T00:00:00"/>
    <n v="5"/>
    <s v="Campus Recruitment"/>
    <n v="84.1"/>
    <n v="97.6"/>
    <n v="13"/>
    <n v="1"/>
    <s v="Active"/>
    <m/>
    <x v="0"/>
  </r>
  <r>
    <n v="2"/>
    <s v="Employee_002"/>
    <s v="Male"/>
    <n v="53"/>
    <x v="1"/>
    <x v="1"/>
    <n v="74000"/>
    <d v="2025-10-01T00:00:00"/>
    <n v="1"/>
    <s v="Indeed"/>
    <n v="56.1"/>
    <n v="85.5"/>
    <n v="14"/>
    <n v="18"/>
    <s v="Resigned"/>
    <d v="2025-08-03T00:00:00"/>
    <x v="1"/>
  </r>
  <r>
    <n v="3"/>
    <s v="Employee_003"/>
    <s v="Male"/>
    <n v="48"/>
    <x v="2"/>
    <x v="2"/>
    <n v="35000"/>
    <d v="2022-10-25T00:00:00"/>
    <n v="4"/>
    <s v="LinkedIn"/>
    <n v="87.8"/>
    <n v="83.8"/>
    <n v="11"/>
    <n v="11"/>
    <s v="Active"/>
    <m/>
    <x v="2"/>
  </r>
  <r>
    <n v="4"/>
    <s v="Employee_004"/>
    <s v="Female"/>
    <n v="55"/>
    <x v="3"/>
    <x v="3"/>
    <n v="51000"/>
    <d v="2020-05-26T00:00:00"/>
    <n v="6.4"/>
    <s v="Naukri"/>
    <n v="96.8"/>
    <n v="88.6"/>
    <n v="19"/>
    <n v="11"/>
    <s v="Resigned"/>
    <d v="2025-12-10T00:00:00"/>
    <x v="2"/>
  </r>
  <r>
    <n v="5"/>
    <s v="Employee_005"/>
    <s v="Male"/>
    <n v="23"/>
    <x v="4"/>
    <x v="4"/>
    <n v="43000"/>
    <d v="2026-06-01T00:00:00"/>
    <n v="0.4"/>
    <s v="Company Website"/>
    <n v="58.4"/>
    <n v="86.1"/>
    <n v="8"/>
    <n v="14"/>
    <s v="Active"/>
    <m/>
    <x v="1"/>
  </r>
  <r>
    <n v="6"/>
    <s v="Employee_006"/>
    <s v="Female"/>
    <n v="34"/>
    <x v="4"/>
    <x v="5"/>
    <n v="49000"/>
    <d v="2026-07-08T00:00:00"/>
    <n v="0.2"/>
    <s v="Campus Recruitment"/>
    <n v="66.5"/>
    <n v="98.4"/>
    <n v="20"/>
    <n v="5"/>
    <s v="Active"/>
    <m/>
    <x v="2"/>
  </r>
  <r>
    <n v="7"/>
    <s v="Employee_007"/>
    <s v="Male"/>
    <n v="50"/>
    <x v="0"/>
    <x v="0"/>
    <n v="43000"/>
    <d v="2023-04-04T00:00:00"/>
    <n v="3.5"/>
    <s v="LinkedIn"/>
    <n v="84.6"/>
    <n v="85.8"/>
    <n v="7"/>
    <n v="1"/>
    <s v="Active"/>
    <m/>
    <x v="1"/>
  </r>
  <r>
    <n v="8"/>
    <s v="Employee_008"/>
    <s v="Male"/>
    <n v="34"/>
    <x v="5"/>
    <x v="6"/>
    <n v="77000"/>
    <d v="2025-05-12T00:00:00"/>
    <n v="1.4"/>
    <s v="Company Website"/>
    <n v="92.7"/>
    <n v="87.5"/>
    <n v="20"/>
    <n v="14"/>
    <s v="Active"/>
    <m/>
    <x v="3"/>
  </r>
  <r>
    <n v="9"/>
    <s v="Employee_009"/>
    <s v="Male"/>
    <n v="56"/>
    <x v="3"/>
    <x v="3"/>
    <n v="43000"/>
    <d v="2025-01-16T00:00:00"/>
    <n v="1.7"/>
    <s v="Indeed"/>
    <n v="93.6"/>
    <n v="89"/>
    <n v="16"/>
    <n v="15"/>
    <s v="Active"/>
    <m/>
    <x v="0"/>
  </r>
  <r>
    <n v="10"/>
    <s v="Employee_010"/>
    <s v="Male"/>
    <n v="30"/>
    <x v="2"/>
    <x v="2"/>
    <n v="46000"/>
    <d v="2026-01-14T00:00:00"/>
    <n v="0.7"/>
    <s v="Company Website"/>
    <n v="61.9"/>
    <n v="93.9"/>
    <n v="12"/>
    <n v="14"/>
    <s v="Resigned"/>
    <d v="2026-08-02T00:00:00"/>
    <x v="2"/>
  </r>
  <r>
    <n v="11"/>
    <s v="Employee_011"/>
    <s v="Male"/>
    <n v="28"/>
    <x v="3"/>
    <x v="7"/>
    <n v="57000"/>
    <d v="2026-08-24T00:00:00"/>
    <n v="0.1"/>
    <s v="Company Website"/>
    <n v="88"/>
    <n v="88"/>
    <n v="5"/>
    <n v="14"/>
    <s v="Active"/>
    <m/>
    <x v="0"/>
  </r>
  <r>
    <n v="12"/>
    <s v="Employee_012"/>
    <s v="Female"/>
    <n v="53"/>
    <x v="0"/>
    <x v="8"/>
    <n v="34000"/>
    <d v="2021-01-01T00:00:00"/>
    <n v="5.8"/>
    <s v="Naukri"/>
    <n v="76.8"/>
    <n v="83.9"/>
    <n v="16"/>
    <n v="6"/>
    <s v="Active"/>
    <m/>
    <x v="3"/>
  </r>
  <r>
    <n v="13"/>
    <s v="Employee_013"/>
    <s v="Male"/>
    <n v="41"/>
    <x v="3"/>
    <x v="3"/>
    <n v="67000"/>
    <d v="2024-06-24T00:00:00"/>
    <n v="2.2999999999999998"/>
    <s v="Indeed"/>
    <n v="92.8"/>
    <n v="96.6"/>
    <n v="1"/>
    <n v="7"/>
    <s v="Active"/>
    <m/>
    <x v="2"/>
  </r>
  <r>
    <n v="14"/>
    <s v="Employee_014"/>
    <s v="Female"/>
    <n v="25"/>
    <x v="1"/>
    <x v="9"/>
    <n v="58000"/>
    <d v="2024-12-21T00:00:00"/>
    <n v="1.8"/>
    <s v="Campus Recruitment"/>
    <n v="87.9"/>
    <n v="84.2"/>
    <n v="5"/>
    <n v="8"/>
    <s v="Active"/>
    <m/>
    <x v="2"/>
  </r>
  <r>
    <n v="15"/>
    <s v="Employee_015"/>
    <s v="Female"/>
    <n v="34"/>
    <x v="2"/>
    <x v="10"/>
    <n v="36000"/>
    <d v="2025-01-17T00:00:00"/>
    <n v="1.7"/>
    <s v="Company Website"/>
    <n v="85.7"/>
    <n v="89"/>
    <n v="16"/>
    <n v="14"/>
    <s v="Active"/>
    <m/>
    <x v="0"/>
  </r>
  <r>
    <n v="16"/>
    <s v="Employee_016"/>
    <s v="Male"/>
    <n v="42"/>
    <x v="4"/>
    <x v="11"/>
    <n v="27000"/>
    <d v="2019-03-28T00:00:00"/>
    <n v="7.5"/>
    <s v="LinkedIn"/>
    <n v="80.3"/>
    <n v="86"/>
    <n v="2"/>
    <n v="1"/>
    <s v="Active"/>
    <m/>
    <x v="3"/>
  </r>
  <r>
    <n v="17"/>
    <s v="Employee_017"/>
    <s v="Female"/>
    <n v="25"/>
    <x v="1"/>
    <x v="9"/>
    <n v="56000"/>
    <d v="2024-10-06T00:00:00"/>
    <n v="2"/>
    <s v="Company Website"/>
    <n v="64.2"/>
    <n v="84.3"/>
    <n v="7"/>
    <n v="15"/>
    <s v="Resigned"/>
    <d v="2025-02-23T00:00:00"/>
    <x v="4"/>
  </r>
  <r>
    <n v="18"/>
    <s v="Employee_018"/>
    <s v="Male"/>
    <n v="48"/>
    <x v="4"/>
    <x v="11"/>
    <n v="55000"/>
    <d v="2022-12-22T00:00:00"/>
    <n v="3.8"/>
    <s v="Naukri"/>
    <n v="73.2"/>
    <n v="90.2"/>
    <n v="20"/>
    <n v="3"/>
    <s v="Active"/>
    <m/>
    <x v="0"/>
  </r>
  <r>
    <n v="19"/>
    <s v="Employee_019"/>
    <s v="Female"/>
    <n v="27"/>
    <x v="5"/>
    <x v="12"/>
    <n v="57000"/>
    <d v="2021-10-15T00:00:00"/>
    <n v="5"/>
    <s v="Indeed"/>
    <n v="61"/>
    <n v="85.2"/>
    <n v="2"/>
    <n v="14"/>
    <s v="Active"/>
    <m/>
    <x v="2"/>
  </r>
  <r>
    <n v="20"/>
    <s v="Employee_020"/>
    <s v="Male"/>
    <n v="26"/>
    <x v="1"/>
    <x v="9"/>
    <n v="69000"/>
    <d v="2021-08-26T00:00:00"/>
    <n v="5.0999999999999996"/>
    <s v="Company Website"/>
    <n v="62.2"/>
    <n v="90.5"/>
    <n v="1"/>
    <n v="5"/>
    <s v="Active"/>
    <m/>
    <x v="4"/>
  </r>
  <r>
    <n v="21"/>
    <s v="Employee_021"/>
    <s v="Female"/>
    <n v="50"/>
    <x v="1"/>
    <x v="13"/>
    <n v="28000"/>
    <d v="2022-03-14T00:00:00"/>
    <n v="4.5999999999999996"/>
    <s v="Indeed"/>
    <n v="97.8"/>
    <n v="91.7"/>
    <n v="6"/>
    <n v="9"/>
    <s v="Active"/>
    <m/>
    <x v="3"/>
  </r>
  <r>
    <n v="22"/>
    <s v="Employee_022"/>
    <s v="Female"/>
    <n v="24"/>
    <x v="1"/>
    <x v="9"/>
    <n v="69000"/>
    <d v="2019-07-25T00:00:00"/>
    <n v="7.2"/>
    <s v="LinkedIn"/>
    <n v="80.099999999999994"/>
    <n v="90.8"/>
    <n v="16"/>
    <n v="2"/>
    <s v="Resigned"/>
    <d v="2026-04-28T00:00:00"/>
    <x v="3"/>
  </r>
  <r>
    <n v="23"/>
    <s v="Employee_023"/>
    <s v="Male"/>
    <n v="46"/>
    <x v="1"/>
    <x v="9"/>
    <n v="69000"/>
    <d v="2020-05-06T00:00:00"/>
    <n v="6.4"/>
    <s v="Company Website"/>
    <n v="79.900000000000006"/>
    <n v="82.7"/>
    <n v="21"/>
    <n v="18"/>
    <s v="Active"/>
    <m/>
    <x v="2"/>
  </r>
  <r>
    <n v="24"/>
    <s v="Employee_024"/>
    <s v="Female"/>
    <n v="34"/>
    <x v="6"/>
    <x v="14"/>
    <n v="38000"/>
    <d v="2026-07-06T00:00:00"/>
    <n v="0.3"/>
    <s v="Indeed"/>
    <n v="85.8"/>
    <n v="86.2"/>
    <n v="21"/>
    <n v="9"/>
    <s v="Active"/>
    <m/>
    <x v="4"/>
  </r>
  <r>
    <n v="25"/>
    <s v="Employee_025"/>
    <s v="Male"/>
    <n v="50"/>
    <x v="3"/>
    <x v="3"/>
    <n v="77000"/>
    <d v="2025-12-19T00:00:00"/>
    <n v="0.8"/>
    <s v="Indeed"/>
    <n v="58.2"/>
    <n v="85.7"/>
    <n v="11"/>
    <n v="2"/>
    <s v="Active"/>
    <m/>
    <x v="3"/>
  </r>
  <r>
    <n v="26"/>
    <s v="Employee_026"/>
    <s v="Male"/>
    <n v="49"/>
    <x v="3"/>
    <x v="15"/>
    <n v="44000"/>
    <d v="2025-02-03T00:00:00"/>
    <n v="1.7"/>
    <s v="Naukri"/>
    <n v="85.3"/>
    <n v="92.7"/>
    <n v="17"/>
    <n v="9"/>
    <s v="Resigned"/>
    <d v="2026-09-28T00:00:00"/>
    <x v="0"/>
  </r>
  <r>
    <n v="27"/>
    <s v="Employee_027"/>
    <s v="Male"/>
    <n v="27"/>
    <x v="4"/>
    <x v="5"/>
    <n v="46000"/>
    <d v="2025-03-16T00:00:00"/>
    <n v="1.6"/>
    <s v="Campus Recruitment"/>
    <n v="64.099999999999994"/>
    <n v="88"/>
    <n v="15"/>
    <n v="8"/>
    <s v="Active"/>
    <m/>
    <x v="0"/>
  </r>
  <r>
    <n v="28"/>
    <s v="Employee_028"/>
    <s v="Female"/>
    <n v="23"/>
    <x v="1"/>
    <x v="13"/>
    <n v="63000"/>
    <d v="2019-01-15T00:00:00"/>
    <n v="7.7"/>
    <s v="Indeed"/>
    <n v="69.3"/>
    <n v="84.3"/>
    <n v="23"/>
    <n v="14"/>
    <s v="Active"/>
    <m/>
    <x v="2"/>
  </r>
  <r>
    <n v="29"/>
    <s v="Employee_029"/>
    <s v="Male"/>
    <n v="28"/>
    <x v="0"/>
    <x v="16"/>
    <n v="60000"/>
    <d v="2019-11-05T00:00:00"/>
    <n v="6.9"/>
    <s v="Campus Recruitment"/>
    <n v="61.4"/>
    <n v="82.6"/>
    <n v="17"/>
    <n v="4"/>
    <s v="Active"/>
    <m/>
    <x v="4"/>
  </r>
  <r>
    <n v="30"/>
    <s v="Employee_030"/>
    <s v="Female"/>
    <n v="44"/>
    <x v="4"/>
    <x v="11"/>
    <n v="37000"/>
    <d v="2019-06-13T00:00:00"/>
    <n v="7.3"/>
    <s v="Naukri"/>
    <n v="93.7"/>
    <n v="85.7"/>
    <n v="3"/>
    <n v="11"/>
    <s v="Active"/>
    <m/>
    <x v="2"/>
  </r>
  <r>
    <n v="31"/>
    <s v="Employee_031"/>
    <s v="Male"/>
    <n v="36"/>
    <x v="2"/>
    <x v="17"/>
    <n v="50000"/>
    <d v="2020-10-27T00:00:00"/>
    <n v="5.9"/>
    <s v="Company Website"/>
    <n v="92.9"/>
    <n v="82.4"/>
    <n v="21"/>
    <n v="7"/>
    <s v="Active"/>
    <m/>
    <x v="1"/>
  </r>
  <r>
    <n v="32"/>
    <s v="Employee_032"/>
    <s v="Male"/>
    <n v="45"/>
    <x v="4"/>
    <x v="4"/>
    <n v="39000"/>
    <d v="2019-06-08T00:00:00"/>
    <n v="7.3"/>
    <s v="Employee Referral"/>
    <n v="91.9"/>
    <n v="85.9"/>
    <n v="9"/>
    <n v="7"/>
    <s v="Active"/>
    <m/>
    <x v="3"/>
  </r>
  <r>
    <n v="33"/>
    <s v="Employee_033"/>
    <s v="Female"/>
    <n v="42"/>
    <x v="1"/>
    <x v="1"/>
    <n v="75000"/>
    <d v="2022-02-15T00:00:00"/>
    <n v="4.5999999999999996"/>
    <s v="Naukri"/>
    <n v="67"/>
    <n v="93.2"/>
    <n v="17"/>
    <n v="10"/>
    <s v="Active"/>
    <m/>
    <x v="0"/>
  </r>
  <r>
    <n v="34"/>
    <s v="Employee_034"/>
    <s v="Male"/>
    <n v="58"/>
    <x v="1"/>
    <x v="18"/>
    <n v="31000"/>
    <d v="2021-12-23T00:00:00"/>
    <n v="4.8"/>
    <s v="Naukri"/>
    <n v="56.6"/>
    <n v="92.4"/>
    <n v="10"/>
    <n v="13"/>
    <s v="Active"/>
    <m/>
    <x v="2"/>
  </r>
  <r>
    <n v="35"/>
    <s v="Employee_035"/>
    <s v="Female"/>
    <n v="57"/>
    <x v="6"/>
    <x v="19"/>
    <n v="42000"/>
    <d v="2021-02-17T00:00:00"/>
    <n v="5.6"/>
    <s v="Indeed"/>
    <n v="55.1"/>
    <n v="98.2"/>
    <n v="11"/>
    <n v="13"/>
    <s v="Resigned"/>
    <d v="2024-11-19T00:00:00"/>
    <x v="0"/>
  </r>
  <r>
    <n v="36"/>
    <s v="Employee_036"/>
    <s v="Female"/>
    <n v="28"/>
    <x v="0"/>
    <x v="16"/>
    <n v="61000"/>
    <d v="2022-05-15T00:00:00"/>
    <n v="4.4000000000000004"/>
    <s v="Company Website"/>
    <n v="76.8"/>
    <n v="93.7"/>
    <n v="22"/>
    <n v="9"/>
    <s v="Active"/>
    <m/>
    <x v="2"/>
  </r>
  <r>
    <n v="37"/>
    <s v="Employee_037"/>
    <s v="Female"/>
    <n v="45"/>
    <x v="4"/>
    <x v="11"/>
    <n v="41000"/>
    <d v="2026-08-06T00:00:00"/>
    <n v="0.2"/>
    <s v="Employee Referral"/>
    <n v="79.5"/>
    <n v="89.1"/>
    <n v="9"/>
    <n v="6"/>
    <s v="Active"/>
    <m/>
    <x v="4"/>
  </r>
  <r>
    <n v="38"/>
    <s v="Employee_038"/>
    <s v="Female"/>
    <n v="50"/>
    <x v="2"/>
    <x v="10"/>
    <n v="31000"/>
    <d v="2023-12-15T00:00:00"/>
    <n v="2.8"/>
    <s v="Naukri"/>
    <n v="74"/>
    <n v="85.7"/>
    <n v="5"/>
    <n v="2"/>
    <s v="Active"/>
    <m/>
    <x v="1"/>
  </r>
  <r>
    <n v="39"/>
    <s v="Employee_039"/>
    <s v="Female"/>
    <n v="26"/>
    <x v="6"/>
    <x v="20"/>
    <n v="39000"/>
    <d v="2021-08-20T00:00:00"/>
    <n v="5.0999999999999996"/>
    <s v="Company Website"/>
    <n v="63.6"/>
    <n v="82.4"/>
    <n v="19"/>
    <n v="2"/>
    <s v="Active"/>
    <m/>
    <x v="4"/>
  </r>
  <r>
    <n v="40"/>
    <s v="Employee_040"/>
    <s v="Male"/>
    <n v="45"/>
    <x v="5"/>
    <x v="12"/>
    <n v="44000"/>
    <d v="2024-07-17T00:00:00"/>
    <n v="2.2000000000000002"/>
    <s v="LinkedIn"/>
    <n v="72.2"/>
    <n v="84.6"/>
    <n v="24"/>
    <n v="13"/>
    <s v="Active"/>
    <m/>
    <x v="3"/>
  </r>
  <r>
    <n v="41"/>
    <s v="Employee_041"/>
    <s v="Female"/>
    <n v="24"/>
    <x v="4"/>
    <x v="4"/>
    <n v="42000"/>
    <d v="2025-04-02T00:00:00"/>
    <n v="1.5"/>
    <s v="Campus Recruitment"/>
    <n v="74.599999999999994"/>
    <n v="96"/>
    <n v="10"/>
    <n v="14"/>
    <s v="Resigned"/>
    <d v="2025-03-13T00:00:00"/>
    <x v="2"/>
  </r>
  <r>
    <n v="42"/>
    <s v="Employee_042"/>
    <s v="Female"/>
    <n v="56"/>
    <x v="2"/>
    <x v="10"/>
    <n v="51000"/>
    <d v="2024-01-01T00:00:00"/>
    <n v="2.8"/>
    <s v="Company Website"/>
    <n v="93.6"/>
    <n v="95"/>
    <n v="8"/>
    <n v="7"/>
    <s v="Active"/>
    <m/>
    <x v="1"/>
  </r>
  <r>
    <n v="43"/>
    <s v="Employee_043"/>
    <s v="Female"/>
    <n v="36"/>
    <x v="2"/>
    <x v="10"/>
    <n v="24000"/>
    <d v="2022-01-29T00:00:00"/>
    <n v="4.7"/>
    <s v="Indeed"/>
    <n v="65.099999999999994"/>
    <n v="87.9"/>
    <n v="4"/>
    <n v="7"/>
    <s v="Resigned"/>
    <d v="2026-07-16T00:00:00"/>
    <x v="4"/>
  </r>
  <r>
    <n v="44"/>
    <s v="Employee_044"/>
    <s v="Male"/>
    <n v="25"/>
    <x v="0"/>
    <x v="0"/>
    <n v="51000"/>
    <d v="2023-08-27T00:00:00"/>
    <n v="3.1"/>
    <s v="LinkedIn"/>
    <n v="72.5"/>
    <n v="91.5"/>
    <n v="6"/>
    <n v="13"/>
    <s v="Active"/>
    <m/>
    <x v="4"/>
  </r>
  <r>
    <n v="45"/>
    <s v="Employee_045"/>
    <s v="Male"/>
    <n v="57"/>
    <x v="2"/>
    <x v="10"/>
    <n v="18000"/>
    <d v="2023-04-08T00:00:00"/>
    <n v="3.5"/>
    <s v="Campus Recruitment"/>
    <n v="67.8"/>
    <n v="88.8"/>
    <n v="23"/>
    <n v="17"/>
    <s v="Active"/>
    <m/>
    <x v="2"/>
  </r>
  <r>
    <n v="46"/>
    <s v="Employee_046"/>
    <s v="Male"/>
    <n v="38"/>
    <x v="4"/>
    <x v="5"/>
    <n v="45000"/>
    <d v="2023-11-21T00:00:00"/>
    <n v="2.9"/>
    <s v="Naukri"/>
    <n v="75.900000000000006"/>
    <n v="88.8"/>
    <n v="5"/>
    <n v="14"/>
    <s v="Active"/>
    <m/>
    <x v="3"/>
  </r>
  <r>
    <n v="47"/>
    <s v="Employee_047"/>
    <s v="Male"/>
    <n v="46"/>
    <x v="6"/>
    <x v="20"/>
    <n v="40000"/>
    <d v="2025-08-21T00:00:00"/>
    <n v="1.1000000000000001"/>
    <s v="Indeed"/>
    <n v="82.6"/>
    <n v="84.4"/>
    <n v="1"/>
    <n v="8"/>
    <s v="Active"/>
    <m/>
    <x v="4"/>
  </r>
  <r>
    <n v="48"/>
    <s v="Employee_048"/>
    <s v="Female"/>
    <n v="41"/>
    <x v="3"/>
    <x v="3"/>
    <n v="44000"/>
    <d v="2022-10-14T00:00:00"/>
    <n v="4"/>
    <s v="Employee Referral"/>
    <n v="87.7"/>
    <n v="88.6"/>
    <n v="2"/>
    <n v="15"/>
    <s v="Active"/>
    <m/>
    <x v="0"/>
  </r>
  <r>
    <n v="49"/>
    <s v="Employee_049"/>
    <s v="Male"/>
    <n v="43"/>
    <x v="0"/>
    <x v="8"/>
    <n v="35000"/>
    <d v="2021-07-07T00:00:00"/>
    <n v="5.3"/>
    <s v="Indeed"/>
    <n v="83"/>
    <n v="95.2"/>
    <n v="0"/>
    <n v="4"/>
    <s v="Active"/>
    <m/>
    <x v="3"/>
  </r>
  <r>
    <n v="50"/>
    <s v="Employee_050"/>
    <s v="Male"/>
    <n v="57"/>
    <x v="4"/>
    <x v="5"/>
    <n v="28000"/>
    <d v="2021-06-11T00:00:00"/>
    <n v="5.3"/>
    <s v="Indeed"/>
    <n v="75"/>
    <n v="86.5"/>
    <n v="19"/>
    <n v="3"/>
    <s v="Active"/>
    <m/>
    <x v="3"/>
  </r>
  <r>
    <n v="51"/>
    <s v="Employee_051"/>
    <s v="Male"/>
    <n v="40"/>
    <x v="3"/>
    <x v="3"/>
    <n v="34000"/>
    <d v="2025-06-16T00:00:00"/>
    <n v="1.3"/>
    <s v="Campus Recruitment"/>
    <n v="72.099999999999994"/>
    <n v="94.5"/>
    <n v="22"/>
    <n v="7"/>
    <s v="Active"/>
    <m/>
    <x v="0"/>
  </r>
  <r>
    <n v="52"/>
    <s v="Employee_052"/>
    <s v="Male"/>
    <n v="57"/>
    <x v="0"/>
    <x v="16"/>
    <n v="23000"/>
    <d v="2019-06-18T00:00:00"/>
    <n v="7.3"/>
    <s v="LinkedIn"/>
    <n v="69.900000000000006"/>
    <n v="89.5"/>
    <n v="16"/>
    <n v="10"/>
    <s v="Active"/>
    <m/>
    <x v="0"/>
  </r>
  <r>
    <n v="53"/>
    <s v="Employee_053"/>
    <s v="Female"/>
    <n v="27"/>
    <x v="2"/>
    <x v="17"/>
    <n v="46000"/>
    <d v="2023-11-11T00:00:00"/>
    <n v="2.9"/>
    <s v="Indeed"/>
    <n v="90.6"/>
    <n v="94.4"/>
    <n v="23"/>
    <n v="16"/>
    <s v="Active"/>
    <m/>
    <x v="1"/>
  </r>
  <r>
    <n v="54"/>
    <s v="Employee_054"/>
    <s v="Female"/>
    <n v="50"/>
    <x v="6"/>
    <x v="20"/>
    <n v="39000"/>
    <d v="2023-11-20T00:00:00"/>
    <n v="2.9"/>
    <s v="Indeed"/>
    <n v="90.5"/>
    <n v="92.4"/>
    <n v="2"/>
    <n v="8"/>
    <s v="Active"/>
    <m/>
    <x v="4"/>
  </r>
  <r>
    <n v="55"/>
    <s v="Employee_055"/>
    <s v="Female"/>
    <n v="42"/>
    <x v="4"/>
    <x v="5"/>
    <n v="33000"/>
    <d v="2019-04-28T00:00:00"/>
    <n v="7.4"/>
    <s v="Employee Referral"/>
    <n v="76"/>
    <n v="88.2"/>
    <n v="8"/>
    <n v="8"/>
    <s v="Active"/>
    <m/>
    <x v="2"/>
  </r>
  <r>
    <n v="56"/>
    <s v="Employee_056"/>
    <s v="Male"/>
    <n v="36"/>
    <x v="1"/>
    <x v="1"/>
    <n v="55000"/>
    <d v="2023-07-23T00:00:00"/>
    <n v="3.2"/>
    <s v="Naukri"/>
    <n v="76"/>
    <n v="95.3"/>
    <n v="22"/>
    <n v="15"/>
    <s v="Active"/>
    <m/>
    <x v="4"/>
  </r>
  <r>
    <n v="57"/>
    <s v="Employee_057"/>
    <s v="Male"/>
    <n v="39"/>
    <x v="2"/>
    <x v="2"/>
    <n v="31000"/>
    <d v="2021-06-26T00:00:00"/>
    <n v="5.3"/>
    <s v="Employee Referral"/>
    <n v="83.6"/>
    <n v="88.5"/>
    <n v="13"/>
    <n v="17"/>
    <s v="Resigned"/>
    <d v="2025-04-11T00:00:00"/>
    <x v="1"/>
  </r>
  <r>
    <n v="58"/>
    <s v="Employee_058"/>
    <s v="Female"/>
    <n v="38"/>
    <x v="3"/>
    <x v="7"/>
    <n v="49000"/>
    <d v="2022-06-09T00:00:00"/>
    <n v="4.3"/>
    <s v="Employee Referral"/>
    <n v="65.8"/>
    <n v="84.1"/>
    <n v="3"/>
    <n v="17"/>
    <s v="Active"/>
    <m/>
    <x v="3"/>
  </r>
  <r>
    <n v="59"/>
    <s v="Employee_059"/>
    <s v="Female"/>
    <n v="38"/>
    <x v="4"/>
    <x v="11"/>
    <n v="53000"/>
    <d v="2025-08-11T00:00:00"/>
    <n v="1.2"/>
    <s v="Employee Referral"/>
    <n v="67.2"/>
    <n v="83.8"/>
    <n v="7"/>
    <n v="11"/>
    <s v="Active"/>
    <m/>
    <x v="3"/>
  </r>
  <r>
    <n v="60"/>
    <s v="Employee_060"/>
    <s v="Male"/>
    <n v="38"/>
    <x v="3"/>
    <x v="3"/>
    <n v="43000"/>
    <d v="2019-07-06T00:00:00"/>
    <n v="7.3"/>
    <s v="Naukri"/>
    <n v="96.9"/>
    <n v="91.7"/>
    <n v="24"/>
    <n v="15"/>
    <s v="Active"/>
    <m/>
    <x v="0"/>
  </r>
  <r>
    <n v="61"/>
    <s v="Employee_061"/>
    <s v="Female"/>
    <n v="51"/>
    <x v="2"/>
    <x v="2"/>
    <n v="31000"/>
    <d v="2024-05-14T00:00:00"/>
    <n v="2.4"/>
    <s v="LinkedIn"/>
    <n v="57.2"/>
    <n v="98.5"/>
    <n v="2"/>
    <n v="12"/>
    <s v="Active"/>
    <m/>
    <x v="4"/>
  </r>
  <r>
    <n v="62"/>
    <s v="Employee_062"/>
    <s v="Male"/>
    <n v="30"/>
    <x v="1"/>
    <x v="9"/>
    <n v="57000"/>
    <d v="2025-04-24T00:00:00"/>
    <n v="1.5"/>
    <s v="LinkedIn"/>
    <n v="95.8"/>
    <n v="83.5"/>
    <n v="17"/>
    <n v="13"/>
    <s v="Active"/>
    <m/>
    <x v="2"/>
  </r>
  <r>
    <n v="63"/>
    <s v="Employee_063"/>
    <s v="Male"/>
    <n v="54"/>
    <x v="6"/>
    <x v="20"/>
    <n v="33000"/>
    <d v="2023-04-08T00:00:00"/>
    <n v="3.5"/>
    <s v="Campus Recruitment"/>
    <n v="92"/>
    <n v="99.3"/>
    <n v="19"/>
    <n v="1"/>
    <s v="Active"/>
    <m/>
    <x v="2"/>
  </r>
  <r>
    <n v="64"/>
    <s v="Employee_064"/>
    <s v="Male"/>
    <n v="34"/>
    <x v="0"/>
    <x v="0"/>
    <n v="49000"/>
    <d v="2021-12-19T00:00:00"/>
    <n v="4.8"/>
    <s v="Campus Recruitment"/>
    <n v="83.4"/>
    <n v="84.7"/>
    <n v="2"/>
    <n v="5"/>
    <s v="Active"/>
    <m/>
    <x v="0"/>
  </r>
  <r>
    <n v="65"/>
    <s v="Employee_065"/>
    <s v="Female"/>
    <n v="39"/>
    <x v="5"/>
    <x v="6"/>
    <n v="54000"/>
    <d v="2019-05-14T00:00:00"/>
    <n v="7.4"/>
    <s v="Employee Referral"/>
    <n v="85.2"/>
    <n v="89.9"/>
    <n v="20"/>
    <n v="18"/>
    <s v="Active"/>
    <m/>
    <x v="3"/>
  </r>
  <r>
    <n v="66"/>
    <s v="Employee_066"/>
    <s v="Male"/>
    <n v="30"/>
    <x v="5"/>
    <x v="21"/>
    <n v="69000"/>
    <d v="2021-12-24T00:00:00"/>
    <n v="4.8"/>
    <s v="Employee Referral"/>
    <n v="90.5"/>
    <n v="83.2"/>
    <n v="19"/>
    <n v="18"/>
    <s v="Active"/>
    <m/>
    <x v="1"/>
  </r>
  <r>
    <n v="67"/>
    <s v="Employee_067"/>
    <s v="Female"/>
    <n v="40"/>
    <x v="5"/>
    <x v="21"/>
    <n v="64000"/>
    <d v="2023-07-07T00:00:00"/>
    <n v="3.3"/>
    <s v="Company Website"/>
    <n v="76.2"/>
    <n v="83.4"/>
    <n v="23"/>
    <n v="10"/>
    <s v="Active"/>
    <m/>
    <x v="2"/>
  </r>
  <r>
    <n v="68"/>
    <s v="Employee_068"/>
    <s v="Male"/>
    <n v="35"/>
    <x v="3"/>
    <x v="3"/>
    <n v="40000"/>
    <d v="2026-07-24T00:00:00"/>
    <n v="0.2"/>
    <s v="Naukri"/>
    <n v="90.9"/>
    <n v="92.1"/>
    <n v="8"/>
    <n v="18"/>
    <s v="Active"/>
    <m/>
    <x v="0"/>
  </r>
  <r>
    <n v="69"/>
    <s v="Employee_069"/>
    <s v="Female"/>
    <n v="54"/>
    <x v="2"/>
    <x v="2"/>
    <n v="30000"/>
    <d v="2026-04-22T00:00:00"/>
    <n v="0.5"/>
    <s v="LinkedIn"/>
    <n v="97.9"/>
    <n v="89.6"/>
    <n v="15"/>
    <n v="11"/>
    <s v="Active"/>
    <m/>
    <x v="4"/>
  </r>
  <r>
    <n v="70"/>
    <s v="Employee_070"/>
    <s v="Male"/>
    <n v="31"/>
    <x v="3"/>
    <x v="15"/>
    <n v="47000"/>
    <d v="2022-09-12T00:00:00"/>
    <n v="4.0999999999999996"/>
    <s v="Campus Recruitment"/>
    <n v="72.7"/>
    <n v="90.7"/>
    <n v="1"/>
    <n v="14"/>
    <s v="Active"/>
    <m/>
    <x v="0"/>
  </r>
  <r>
    <n v="71"/>
    <s v="Employee_071"/>
    <s v="Female"/>
    <n v="28"/>
    <x v="3"/>
    <x v="15"/>
    <n v="57000"/>
    <d v="2023-07-14T00:00:00"/>
    <n v="3.2"/>
    <s v="Company Website"/>
    <n v="55"/>
    <n v="97.2"/>
    <n v="1"/>
    <n v="6"/>
    <s v="Active"/>
    <m/>
    <x v="2"/>
  </r>
  <r>
    <n v="72"/>
    <s v="Employee_072"/>
    <s v="Female"/>
    <n v="49"/>
    <x v="3"/>
    <x v="7"/>
    <n v="31000"/>
    <d v="2019-07-31T00:00:00"/>
    <n v="7.2"/>
    <s v="Company Website"/>
    <n v="63.8"/>
    <n v="91.6"/>
    <n v="22"/>
    <n v="15"/>
    <s v="Active"/>
    <m/>
    <x v="0"/>
  </r>
  <r>
    <n v="73"/>
    <s v="Employee_073"/>
    <s v="Male"/>
    <n v="40"/>
    <x v="1"/>
    <x v="1"/>
    <n v="67000"/>
    <d v="2025-03-06T00:00:00"/>
    <n v="1.6"/>
    <s v="Company Website"/>
    <n v="64.7"/>
    <n v="96.7"/>
    <n v="3"/>
    <n v="4"/>
    <s v="Active"/>
    <m/>
    <x v="4"/>
  </r>
  <r>
    <n v="74"/>
    <s v="Employee_074"/>
    <s v="Female"/>
    <n v="47"/>
    <x v="0"/>
    <x v="16"/>
    <n v="46000"/>
    <d v="2024-05-30T00:00:00"/>
    <n v="2.4"/>
    <s v="Company Website"/>
    <n v="97.2"/>
    <n v="86.3"/>
    <n v="6"/>
    <n v="16"/>
    <s v="Resigned"/>
    <d v="2026-05-11T00:00:00"/>
    <x v="3"/>
  </r>
  <r>
    <n v="75"/>
    <s v="Employee_075"/>
    <s v="Female"/>
    <n v="47"/>
    <x v="2"/>
    <x v="2"/>
    <n v="44000"/>
    <d v="2022-10-24T00:00:00"/>
    <n v="4"/>
    <s v="Campus Recruitment"/>
    <n v="90.3"/>
    <n v="86.9"/>
    <n v="18"/>
    <n v="15"/>
    <s v="Active"/>
    <m/>
    <x v="3"/>
  </r>
  <r>
    <n v="76"/>
    <s v="Employee_076"/>
    <s v="Female"/>
    <n v="43"/>
    <x v="5"/>
    <x v="12"/>
    <n v="46000"/>
    <d v="2022-09-23T00:00:00"/>
    <n v="4"/>
    <s v="Employee Referral"/>
    <n v="78.7"/>
    <n v="91.5"/>
    <n v="6"/>
    <n v="7"/>
    <s v="Active"/>
    <m/>
    <x v="2"/>
  </r>
  <r>
    <n v="77"/>
    <s v="Employee_077"/>
    <s v="Female"/>
    <n v="23"/>
    <x v="5"/>
    <x v="21"/>
    <n v="51000"/>
    <d v="2022-07-27T00:00:00"/>
    <n v="4.2"/>
    <s v="Company Website"/>
    <n v="89.9"/>
    <n v="88.8"/>
    <n v="1"/>
    <n v="4"/>
    <s v="Active"/>
    <m/>
    <x v="2"/>
  </r>
  <r>
    <n v="78"/>
    <s v="Employee_078"/>
    <s v="Male"/>
    <n v="49"/>
    <x v="6"/>
    <x v="14"/>
    <n v="28000"/>
    <d v="2020-02-13T00:00:00"/>
    <n v="6.6"/>
    <s v="Company Website"/>
    <n v="77.599999999999994"/>
    <n v="90"/>
    <n v="20"/>
    <n v="4"/>
    <s v="Active"/>
    <m/>
    <x v="0"/>
  </r>
  <r>
    <n v="79"/>
    <s v="Employee_079"/>
    <s v="Female"/>
    <n v="46"/>
    <x v="5"/>
    <x v="6"/>
    <n v="60000"/>
    <d v="2026-04-15T00:00:00"/>
    <n v="0.5"/>
    <s v="Naukri"/>
    <n v="84"/>
    <n v="91.3"/>
    <n v="22"/>
    <n v="15"/>
    <s v="Active"/>
    <m/>
    <x v="2"/>
  </r>
  <r>
    <n v="80"/>
    <s v="Employee_080"/>
    <s v="Male"/>
    <n v="39"/>
    <x v="1"/>
    <x v="9"/>
    <n v="60000"/>
    <d v="2021-07-20T00:00:00"/>
    <n v="5.2"/>
    <s v="Naukri"/>
    <n v="87.1"/>
    <n v="89.6"/>
    <n v="22"/>
    <n v="3"/>
    <s v="Active"/>
    <m/>
    <x v="4"/>
  </r>
  <r>
    <n v="81"/>
    <s v="Employee_081"/>
    <s v="Female"/>
    <n v="22"/>
    <x v="4"/>
    <x v="4"/>
    <n v="40000"/>
    <d v="2019-07-08T00:00:00"/>
    <n v="7.2"/>
    <s v="Campus Recruitment"/>
    <n v="70.400000000000006"/>
    <n v="89.5"/>
    <n v="13"/>
    <n v="18"/>
    <s v="Active"/>
    <m/>
    <x v="3"/>
  </r>
  <r>
    <n v="82"/>
    <s v="Employee_082"/>
    <s v="Male"/>
    <n v="45"/>
    <x v="4"/>
    <x v="11"/>
    <n v="44000"/>
    <d v="2025-12-13T00:00:00"/>
    <n v="0.8"/>
    <s v="Indeed"/>
    <n v="84.4"/>
    <n v="90.7"/>
    <n v="14"/>
    <n v="8"/>
    <s v="Resigned"/>
    <d v="2026-05-13T00:00:00"/>
    <x v="4"/>
  </r>
  <r>
    <n v="83"/>
    <s v="Employee_083"/>
    <s v="Male"/>
    <n v="50"/>
    <x v="3"/>
    <x v="7"/>
    <n v="42000"/>
    <d v="2022-03-24T00:00:00"/>
    <n v="4.5"/>
    <s v="Naukri"/>
    <n v="74"/>
    <n v="88"/>
    <n v="13"/>
    <n v="8"/>
    <s v="Resigned"/>
    <d v="2025-12-04T00:00:00"/>
    <x v="4"/>
  </r>
  <r>
    <n v="84"/>
    <s v="Employee_084"/>
    <s v="Male"/>
    <n v="45"/>
    <x v="2"/>
    <x v="17"/>
    <n v="31000"/>
    <d v="2024-06-02T00:00:00"/>
    <n v="2.2999999999999998"/>
    <s v="Campus Recruitment"/>
    <n v="59.6"/>
    <n v="88.7"/>
    <n v="9"/>
    <n v="9"/>
    <s v="Active"/>
    <m/>
    <x v="0"/>
  </r>
  <r>
    <n v="85"/>
    <s v="Employee_085"/>
    <s v="Female"/>
    <n v="38"/>
    <x v="2"/>
    <x v="10"/>
    <n v="24000"/>
    <d v="2019-02-03T00:00:00"/>
    <n v="7.7"/>
    <s v="Employee Referral"/>
    <n v="87"/>
    <n v="82.9"/>
    <n v="24"/>
    <n v="7"/>
    <s v="Resigned"/>
    <d v="2025-05-16T00:00:00"/>
    <x v="2"/>
  </r>
  <r>
    <n v="86"/>
    <s v="Employee_086"/>
    <s v="Male"/>
    <n v="33"/>
    <x v="2"/>
    <x v="17"/>
    <n v="31000"/>
    <d v="2025-12-18T00:00:00"/>
    <n v="0.8"/>
    <s v="Naukri"/>
    <n v="65.8"/>
    <n v="95.2"/>
    <n v="3"/>
    <n v="1"/>
    <s v="Active"/>
    <m/>
    <x v="1"/>
  </r>
  <r>
    <n v="87"/>
    <s v="Employee_087"/>
    <s v="Male"/>
    <n v="58"/>
    <x v="2"/>
    <x v="17"/>
    <n v="35000"/>
    <d v="2023-02-03T00:00:00"/>
    <n v="3.7"/>
    <s v="Indeed"/>
    <n v="67.7"/>
    <n v="95.1"/>
    <n v="4"/>
    <n v="17"/>
    <s v="Active"/>
    <m/>
    <x v="1"/>
  </r>
  <r>
    <n v="88"/>
    <s v="Employee_088"/>
    <s v="Female"/>
    <n v="31"/>
    <x v="6"/>
    <x v="20"/>
    <n v="38000"/>
    <d v="2021-11-18T00:00:00"/>
    <n v="4.9000000000000004"/>
    <s v="Naukri"/>
    <n v="94.3"/>
    <n v="98.5"/>
    <n v="10"/>
    <n v="3"/>
    <s v="Active"/>
    <m/>
    <x v="4"/>
  </r>
  <r>
    <n v="89"/>
    <s v="Employee_089"/>
    <s v="Male"/>
    <n v="46"/>
    <x v="1"/>
    <x v="1"/>
    <n v="40000"/>
    <d v="2025-04-01T00:00:00"/>
    <n v="1.5"/>
    <s v="Employee Referral"/>
    <n v="55.6"/>
    <n v="91.4"/>
    <n v="21"/>
    <n v="8"/>
    <s v="Active"/>
    <m/>
    <x v="2"/>
  </r>
  <r>
    <n v="90"/>
    <s v="Employee_090"/>
    <s v="Female"/>
    <n v="27"/>
    <x v="5"/>
    <x v="12"/>
    <n v="67000"/>
    <d v="2026-07-27T00:00:00"/>
    <n v="0.2"/>
    <s v="Employee Referral"/>
    <n v="65.099999999999994"/>
    <n v="82.4"/>
    <n v="19"/>
    <n v="7"/>
    <s v="Active"/>
    <m/>
    <x v="0"/>
  </r>
  <r>
    <n v="91"/>
    <s v="Employee_091"/>
    <s v="Female"/>
    <n v="47"/>
    <x v="0"/>
    <x v="16"/>
    <n v="61000"/>
    <d v="2020-04-22T00:00:00"/>
    <n v="6.5"/>
    <s v="Indeed"/>
    <n v="68.099999999999994"/>
    <n v="90.6"/>
    <n v="17"/>
    <n v="4"/>
    <s v="Active"/>
    <m/>
    <x v="4"/>
  </r>
  <r>
    <n v="92"/>
    <s v="Employee_092"/>
    <s v="Female"/>
    <n v="58"/>
    <x v="5"/>
    <x v="6"/>
    <n v="73000"/>
    <d v="2020-09-24T00:00:00"/>
    <n v="6"/>
    <s v="Campus Recruitment"/>
    <n v="93.1"/>
    <n v="93.5"/>
    <n v="13"/>
    <n v="8"/>
    <s v="Active"/>
    <m/>
    <x v="0"/>
  </r>
  <r>
    <n v="93"/>
    <s v="Employee_093"/>
    <s v="Male"/>
    <n v="49"/>
    <x v="0"/>
    <x v="16"/>
    <n v="64000"/>
    <d v="2023-12-27T00:00:00"/>
    <n v="2.8"/>
    <s v="Employee Referral"/>
    <n v="59.3"/>
    <n v="94"/>
    <n v="1"/>
    <n v="12"/>
    <s v="Resigned"/>
    <d v="2024-12-15T00:00:00"/>
    <x v="1"/>
  </r>
  <r>
    <n v="94"/>
    <s v="Employee_094"/>
    <s v="Female"/>
    <n v="26"/>
    <x v="4"/>
    <x v="11"/>
    <n v="36000"/>
    <d v="2026-06-07T00:00:00"/>
    <n v="0.3"/>
    <s v="LinkedIn"/>
    <n v="64.099999999999994"/>
    <n v="93.2"/>
    <n v="10"/>
    <n v="7"/>
    <s v="Active"/>
    <m/>
    <x v="3"/>
  </r>
  <r>
    <n v="95"/>
    <s v="Employee_095"/>
    <s v="Male"/>
    <n v="25"/>
    <x v="2"/>
    <x v="10"/>
    <n v="37000"/>
    <d v="2025-03-20T00:00:00"/>
    <n v="1.5"/>
    <s v="Campus Recruitment"/>
    <n v="92.4"/>
    <n v="87.7"/>
    <n v="0"/>
    <n v="8"/>
    <s v="Active"/>
    <m/>
    <x v="3"/>
  </r>
  <r>
    <n v="96"/>
    <s v="Employee_096"/>
    <s v="Female"/>
    <n v="32"/>
    <x v="4"/>
    <x v="4"/>
    <n v="48000"/>
    <d v="2020-03-26T00:00:00"/>
    <n v="6.5"/>
    <s v="Employee Referral"/>
    <n v="83.4"/>
    <n v="82.5"/>
    <n v="7"/>
    <n v="18"/>
    <s v="Active"/>
    <m/>
    <x v="1"/>
  </r>
  <r>
    <n v="97"/>
    <s v="Employee_097"/>
    <s v="Female"/>
    <n v="24"/>
    <x v="1"/>
    <x v="1"/>
    <n v="54000"/>
    <d v="2020-06-03T00:00:00"/>
    <n v="6.3"/>
    <s v="Campus Recruitment"/>
    <n v="87.1"/>
    <n v="90.3"/>
    <n v="18"/>
    <n v="3"/>
    <s v="Active"/>
    <m/>
    <x v="4"/>
  </r>
  <r>
    <n v="98"/>
    <s v="Employee_098"/>
    <s v="Male"/>
    <n v="54"/>
    <x v="6"/>
    <x v="19"/>
    <n v="31000"/>
    <d v="2022-05-20T00:00:00"/>
    <n v="4.4000000000000004"/>
    <s v="Company Website"/>
    <n v="74.7"/>
    <n v="98.9"/>
    <n v="12"/>
    <n v="13"/>
    <s v="Active"/>
    <m/>
    <x v="0"/>
  </r>
  <r>
    <n v="99"/>
    <s v="Employee_099"/>
    <s v="Female"/>
    <n v="25"/>
    <x v="5"/>
    <x v="12"/>
    <n v="49000"/>
    <d v="2019-11-27T00:00:00"/>
    <n v="6.9"/>
    <s v="Naukri"/>
    <n v="60.4"/>
    <n v="92.9"/>
    <n v="10"/>
    <n v="12"/>
    <s v="Resigned"/>
    <d v="2025-03-24T00:00:00"/>
    <x v="2"/>
  </r>
  <r>
    <n v="100"/>
    <s v="Employee_100"/>
    <s v="Female"/>
    <n v="53"/>
    <x v="6"/>
    <x v="14"/>
    <n v="47000"/>
    <d v="2025-10-15T00:00:00"/>
    <n v="1"/>
    <s v="Naukri"/>
    <n v="73.5"/>
    <n v="95.9"/>
    <n v="20"/>
    <n v="17"/>
    <s v="Active"/>
    <m/>
    <x v="3"/>
  </r>
  <r>
    <n v="101"/>
    <s v="Employee_101"/>
    <s v="Male"/>
    <n v="47"/>
    <x v="5"/>
    <x v="6"/>
    <n v="57000"/>
    <d v="2022-10-20T00:00:00"/>
    <n v="4"/>
    <s v="Naukri"/>
    <n v="86.4"/>
    <n v="87.5"/>
    <n v="8"/>
    <n v="11"/>
    <s v="Active"/>
    <m/>
    <x v="3"/>
  </r>
  <r>
    <n v="102"/>
    <s v="Employee_102"/>
    <s v="Male"/>
    <n v="26"/>
    <x v="0"/>
    <x v="16"/>
    <n v="36000"/>
    <d v="2019-12-16T00:00:00"/>
    <n v="6.8"/>
    <s v="Indeed"/>
    <n v="59"/>
    <n v="83.7"/>
    <n v="17"/>
    <n v="1"/>
    <s v="Active"/>
    <m/>
    <x v="2"/>
  </r>
  <r>
    <n v="103"/>
    <s v="Employee_103"/>
    <s v="Female"/>
    <n v="28"/>
    <x v="6"/>
    <x v="20"/>
    <n v="34000"/>
    <d v="2023-08-10T00:00:00"/>
    <n v="3.2"/>
    <s v="Employee Referral"/>
    <n v="87.3"/>
    <n v="97.2"/>
    <n v="19"/>
    <n v="9"/>
    <s v="Active"/>
    <m/>
    <x v="1"/>
  </r>
  <r>
    <n v="104"/>
    <s v="Employee_104"/>
    <s v="Male"/>
    <n v="51"/>
    <x v="1"/>
    <x v="1"/>
    <n v="69000"/>
    <d v="2021-07-07T00:00:00"/>
    <n v="5.3"/>
    <s v="LinkedIn"/>
    <n v="91.4"/>
    <n v="88.1"/>
    <n v="24"/>
    <n v="8"/>
    <s v="Resigned"/>
    <d v="2025-09-25T00:00:00"/>
    <x v="2"/>
  </r>
  <r>
    <n v="105"/>
    <s v="Employee_105"/>
    <s v="Male"/>
    <n v="38"/>
    <x v="4"/>
    <x v="5"/>
    <n v="48000"/>
    <d v="2019-04-29T00:00:00"/>
    <n v="7.4"/>
    <s v="Indeed"/>
    <n v="68.3"/>
    <n v="87.9"/>
    <n v="4"/>
    <n v="18"/>
    <s v="Active"/>
    <m/>
    <x v="4"/>
  </r>
  <r>
    <n v="106"/>
    <s v="Employee_106"/>
    <s v="Male"/>
    <n v="26"/>
    <x v="1"/>
    <x v="1"/>
    <n v="72000"/>
    <d v="2024-12-12T00:00:00"/>
    <n v="1.8"/>
    <s v="Indeed"/>
    <n v="64.3"/>
    <n v="89.3"/>
    <n v="11"/>
    <n v="9"/>
    <s v="Active"/>
    <m/>
    <x v="1"/>
  </r>
  <r>
    <n v="107"/>
    <s v="Employee_107"/>
    <s v="Male"/>
    <n v="24"/>
    <x v="2"/>
    <x v="10"/>
    <n v="42000"/>
    <d v="2020-09-29T00:00:00"/>
    <n v="6"/>
    <s v="Company Website"/>
    <n v="84"/>
    <n v="86.8"/>
    <n v="19"/>
    <n v="14"/>
    <s v="Active"/>
    <m/>
    <x v="4"/>
  </r>
  <r>
    <n v="108"/>
    <s v="Employee_108"/>
    <s v="Male"/>
    <n v="43"/>
    <x v="3"/>
    <x v="3"/>
    <n v="56000"/>
    <d v="2023-10-27T00:00:00"/>
    <n v="2.9"/>
    <s v="Campus Recruitment"/>
    <n v="59.8"/>
    <n v="93.9"/>
    <n v="21"/>
    <n v="9"/>
    <s v="Resigned"/>
    <d v="2025-05-26T00:00:00"/>
    <x v="0"/>
  </r>
  <r>
    <n v="109"/>
    <s v="Employee_109"/>
    <s v="Male"/>
    <n v="21"/>
    <x v="4"/>
    <x v="5"/>
    <n v="39000"/>
    <d v="2021-04-17T00:00:00"/>
    <n v="5.5"/>
    <s v="LinkedIn"/>
    <n v="60.9"/>
    <n v="86.5"/>
    <n v="0"/>
    <n v="15"/>
    <s v="Active"/>
    <m/>
    <x v="4"/>
  </r>
  <r>
    <n v="110"/>
    <s v="Employee_110"/>
    <s v="Female"/>
    <n v="55"/>
    <x v="4"/>
    <x v="11"/>
    <n v="48000"/>
    <d v="2021-07-31T00:00:00"/>
    <n v="5.2"/>
    <s v="LinkedIn"/>
    <n v="76.5"/>
    <n v="96.6"/>
    <n v="12"/>
    <n v="1"/>
    <s v="Active"/>
    <m/>
    <x v="4"/>
  </r>
  <r>
    <n v="111"/>
    <s v="Employee_111"/>
    <s v="Male"/>
    <n v="41"/>
    <x v="1"/>
    <x v="13"/>
    <n v="43000"/>
    <d v="2025-06-16T00:00:00"/>
    <n v="1.3"/>
    <s v="LinkedIn"/>
    <n v="82.5"/>
    <n v="87.1"/>
    <n v="10"/>
    <n v="5"/>
    <s v="Active"/>
    <m/>
    <x v="2"/>
  </r>
  <r>
    <n v="112"/>
    <s v="Employee_112"/>
    <s v="Female"/>
    <n v="26"/>
    <x v="5"/>
    <x v="12"/>
    <n v="57000"/>
    <d v="2023-11-24T00:00:00"/>
    <n v="2.9"/>
    <s v="Campus Recruitment"/>
    <n v="91.3"/>
    <n v="86.3"/>
    <n v="2"/>
    <n v="12"/>
    <s v="Resigned"/>
    <d v="2025-08-22T00:00:00"/>
    <x v="1"/>
  </r>
  <r>
    <n v="113"/>
    <s v="Employee_113"/>
    <s v="Male"/>
    <n v="42"/>
    <x v="0"/>
    <x v="16"/>
    <n v="58000"/>
    <d v="2020-11-19T00:00:00"/>
    <n v="5.9"/>
    <s v="Employee Referral"/>
    <n v="77.8"/>
    <n v="85.4"/>
    <n v="23"/>
    <n v="4"/>
    <s v="Active"/>
    <m/>
    <x v="3"/>
  </r>
  <r>
    <n v="114"/>
    <s v="Employee_114"/>
    <s v="Female"/>
    <n v="33"/>
    <x v="1"/>
    <x v="1"/>
    <n v="62000"/>
    <d v="2020-12-11T00:00:00"/>
    <n v="5.8"/>
    <s v="Indeed"/>
    <n v="80.900000000000006"/>
    <n v="95.3"/>
    <n v="24"/>
    <n v="15"/>
    <s v="Active"/>
    <m/>
    <x v="4"/>
  </r>
  <r>
    <n v="115"/>
    <s v="Employee_115"/>
    <s v="Female"/>
    <n v="57"/>
    <x v="2"/>
    <x v="10"/>
    <n v="28000"/>
    <d v="2026-03-18T00:00:00"/>
    <n v="0.6"/>
    <s v="Company Website"/>
    <n v="92.2"/>
    <n v="93"/>
    <n v="2"/>
    <n v="15"/>
    <s v="Active"/>
    <m/>
    <x v="4"/>
  </r>
  <r>
    <n v="116"/>
    <s v="Employee_116"/>
    <s v="Female"/>
    <n v="58"/>
    <x v="0"/>
    <x v="16"/>
    <n v="35000"/>
    <d v="2019-08-19T00:00:00"/>
    <n v="7.1"/>
    <s v="Company Website"/>
    <n v="70.099999999999994"/>
    <n v="83.3"/>
    <n v="1"/>
    <n v="1"/>
    <s v="Active"/>
    <m/>
    <x v="1"/>
  </r>
  <r>
    <n v="117"/>
    <s v="Employee_117"/>
    <s v="Male"/>
    <n v="26"/>
    <x v="2"/>
    <x v="17"/>
    <n v="29000"/>
    <d v="2025-11-24T00:00:00"/>
    <n v="0.9"/>
    <s v="Company Website"/>
    <n v="80"/>
    <n v="98.7"/>
    <n v="18"/>
    <n v="6"/>
    <s v="Active"/>
    <m/>
    <x v="1"/>
  </r>
  <r>
    <n v="118"/>
    <s v="Employee_118"/>
    <s v="Male"/>
    <n v="24"/>
    <x v="6"/>
    <x v="14"/>
    <n v="37000"/>
    <d v="2024-01-20T00:00:00"/>
    <n v="2.7"/>
    <s v="Naukri"/>
    <n v="59.5"/>
    <n v="97.7"/>
    <n v="2"/>
    <n v="16"/>
    <s v="Active"/>
    <m/>
    <x v="3"/>
  </r>
  <r>
    <n v="119"/>
    <s v="Employee_119"/>
    <s v="Female"/>
    <n v="49"/>
    <x v="1"/>
    <x v="1"/>
    <n v="47000"/>
    <d v="2024-11-16T00:00:00"/>
    <n v="1.9"/>
    <s v="Employee Referral"/>
    <n v="71"/>
    <n v="87"/>
    <n v="21"/>
    <n v="1"/>
    <s v="Active"/>
    <m/>
    <x v="1"/>
  </r>
  <r>
    <n v="120"/>
    <s v="Employee_120"/>
    <s v="Male"/>
    <n v="56"/>
    <x v="1"/>
    <x v="18"/>
    <n v="53000"/>
    <d v="2026-08-10T00:00:00"/>
    <n v="0.2"/>
    <s v="Indeed"/>
    <n v="71.599999999999994"/>
    <n v="86.4"/>
    <n v="10"/>
    <n v="2"/>
    <s v="Active"/>
    <m/>
    <x v="2"/>
  </r>
  <r>
    <n v="121"/>
    <s v="Employee_121"/>
    <s v="Female"/>
    <n v="40"/>
    <x v="0"/>
    <x v="0"/>
    <n v="42000"/>
    <d v="2026-05-11T00:00:00"/>
    <n v="0.4"/>
    <s v="Campus Recruitment"/>
    <n v="80.599999999999994"/>
    <n v="98.4"/>
    <n v="12"/>
    <n v="10"/>
    <s v="Active"/>
    <m/>
    <x v="3"/>
  </r>
  <r>
    <n v="122"/>
    <s v="Employee_122"/>
    <s v="Male"/>
    <n v="48"/>
    <x v="0"/>
    <x v="8"/>
    <n v="36000"/>
    <d v="2024-09-13T00:00:00"/>
    <n v="2.1"/>
    <s v="Indeed"/>
    <n v="70.599999999999994"/>
    <n v="88.3"/>
    <n v="10"/>
    <n v="15"/>
    <s v="Active"/>
    <m/>
    <x v="3"/>
  </r>
  <r>
    <n v="123"/>
    <s v="Employee_123"/>
    <s v="Male"/>
    <n v="25"/>
    <x v="4"/>
    <x v="11"/>
    <n v="44000"/>
    <d v="2022-04-26T00:00:00"/>
    <n v="4.4000000000000004"/>
    <s v="Naukri"/>
    <n v="88.1"/>
    <n v="96.6"/>
    <n v="10"/>
    <n v="4"/>
    <s v="Resigned"/>
    <d v="2026-08-29T00:00:00"/>
    <x v="2"/>
  </r>
  <r>
    <n v="124"/>
    <s v="Employee_124"/>
    <s v="Male"/>
    <n v="32"/>
    <x v="5"/>
    <x v="21"/>
    <n v="47000"/>
    <d v="2026-01-02T00:00:00"/>
    <n v="0.8"/>
    <s v="LinkedIn"/>
    <n v="89.8"/>
    <n v="84.9"/>
    <n v="13"/>
    <n v="11"/>
    <s v="Active"/>
    <m/>
    <x v="3"/>
  </r>
  <r>
    <n v="125"/>
    <s v="Employee_125"/>
    <s v="Female"/>
    <n v="49"/>
    <x v="5"/>
    <x v="12"/>
    <n v="42000"/>
    <d v="2021-08-16T00:00:00"/>
    <n v="5.0999999999999996"/>
    <s v="Employee Referral"/>
    <n v="89.8"/>
    <n v="90.2"/>
    <n v="21"/>
    <n v="18"/>
    <s v="Active"/>
    <m/>
    <x v="4"/>
  </r>
  <r>
    <n v="126"/>
    <s v="Employee_126"/>
    <s v="Female"/>
    <n v="53"/>
    <x v="5"/>
    <x v="6"/>
    <n v="49000"/>
    <d v="2024-11-30T00:00:00"/>
    <n v="1.9"/>
    <s v="Campus Recruitment"/>
    <n v="73"/>
    <n v="84.8"/>
    <n v="4"/>
    <n v="8"/>
    <s v="Active"/>
    <m/>
    <x v="0"/>
  </r>
  <r>
    <n v="127"/>
    <s v="Employee_127"/>
    <s v="Female"/>
    <n v="56"/>
    <x v="0"/>
    <x v="16"/>
    <n v="43000"/>
    <d v="2020-02-25T00:00:00"/>
    <n v="6.6"/>
    <s v="Employee Referral"/>
    <n v="60.4"/>
    <n v="83.5"/>
    <n v="14"/>
    <n v="16"/>
    <s v="Active"/>
    <m/>
    <x v="3"/>
  </r>
  <r>
    <n v="128"/>
    <s v="Employee_128"/>
    <s v="Male"/>
    <n v="35"/>
    <x v="2"/>
    <x v="17"/>
    <n v="26000"/>
    <d v="2024-01-22T00:00:00"/>
    <n v="2.7"/>
    <s v="LinkedIn"/>
    <n v="93"/>
    <n v="98.3"/>
    <n v="12"/>
    <n v="16"/>
    <s v="Active"/>
    <m/>
    <x v="1"/>
  </r>
  <r>
    <n v="129"/>
    <s v="Employee_129"/>
    <s v="Male"/>
    <n v="44"/>
    <x v="4"/>
    <x v="5"/>
    <n v="63000"/>
    <d v="2021-07-08T00:00:00"/>
    <n v="5.2"/>
    <s v="Indeed"/>
    <n v="91.1"/>
    <n v="93.4"/>
    <n v="1"/>
    <n v="9"/>
    <s v="Active"/>
    <m/>
    <x v="4"/>
  </r>
  <r>
    <n v="130"/>
    <s v="Employee_130"/>
    <s v="Female"/>
    <n v="49"/>
    <x v="0"/>
    <x v="0"/>
    <n v="50000"/>
    <d v="2025-11-25T00:00:00"/>
    <n v="0.9"/>
    <s v="Indeed"/>
    <n v="55.2"/>
    <n v="83.4"/>
    <n v="4"/>
    <n v="17"/>
    <s v="Active"/>
    <m/>
    <x v="2"/>
  </r>
  <r>
    <n v="131"/>
    <s v="Employee_131"/>
    <s v="Male"/>
    <n v="39"/>
    <x v="6"/>
    <x v="14"/>
    <n v="42000"/>
    <d v="2021-08-31T00:00:00"/>
    <n v="5.0999999999999996"/>
    <s v="LinkedIn"/>
    <n v="73.099999999999994"/>
    <n v="95.9"/>
    <n v="3"/>
    <n v="15"/>
    <s v="Active"/>
    <m/>
    <x v="2"/>
  </r>
  <r>
    <n v="132"/>
    <s v="Employee_132"/>
    <s v="Male"/>
    <n v="30"/>
    <x v="6"/>
    <x v="19"/>
    <n v="45000"/>
    <d v="2022-04-08T00:00:00"/>
    <n v="4.5"/>
    <s v="Campus Recruitment"/>
    <n v="73.5"/>
    <n v="92.8"/>
    <n v="13"/>
    <n v="5"/>
    <s v="Active"/>
    <m/>
    <x v="0"/>
  </r>
  <r>
    <n v="133"/>
    <s v="Employee_133"/>
    <s v="Male"/>
    <n v="54"/>
    <x v="6"/>
    <x v="14"/>
    <n v="18000"/>
    <d v="2025-02-06T00:00:00"/>
    <n v="1.7"/>
    <s v="LinkedIn"/>
    <n v="78.8"/>
    <n v="88.8"/>
    <n v="20"/>
    <n v="12"/>
    <s v="Active"/>
    <m/>
    <x v="1"/>
  </r>
  <r>
    <n v="134"/>
    <s v="Employee_134"/>
    <s v="Male"/>
    <n v="43"/>
    <x v="3"/>
    <x v="7"/>
    <n v="43000"/>
    <d v="2019-10-04T00:00:00"/>
    <n v="7"/>
    <s v="Campus Recruitment"/>
    <n v="69.8"/>
    <n v="94.8"/>
    <n v="23"/>
    <n v="10"/>
    <s v="Active"/>
    <m/>
    <x v="3"/>
  </r>
  <r>
    <n v="135"/>
    <s v="Employee_135"/>
    <s v="Female"/>
    <n v="32"/>
    <x v="1"/>
    <x v="18"/>
    <n v="36000"/>
    <d v="2026-09-05T00:00:00"/>
    <n v="0.1"/>
    <s v="Naukri"/>
    <n v="82.2"/>
    <n v="96.2"/>
    <n v="24"/>
    <n v="14"/>
    <s v="Active"/>
    <m/>
    <x v="0"/>
  </r>
  <r>
    <n v="136"/>
    <s v="Employee_136"/>
    <s v="Male"/>
    <n v="33"/>
    <x v="3"/>
    <x v="3"/>
    <n v="48000"/>
    <d v="2019-06-21T00:00:00"/>
    <n v="7.3"/>
    <s v="Campus Recruitment"/>
    <n v="68.599999999999994"/>
    <n v="87.4"/>
    <n v="15"/>
    <n v="8"/>
    <s v="Active"/>
    <m/>
    <x v="0"/>
  </r>
  <r>
    <n v="137"/>
    <s v="Employee_137"/>
    <s v="Male"/>
    <n v="39"/>
    <x v="2"/>
    <x v="10"/>
    <n v="37000"/>
    <d v="2023-01-02T00:00:00"/>
    <n v="3.8"/>
    <s v="Company Website"/>
    <n v="83.2"/>
    <n v="86.8"/>
    <n v="12"/>
    <n v="14"/>
    <s v="Active"/>
    <m/>
    <x v="4"/>
  </r>
  <r>
    <n v="138"/>
    <s v="Employee_138"/>
    <s v="Female"/>
    <n v="52"/>
    <x v="3"/>
    <x v="3"/>
    <n v="42000"/>
    <d v="2023-02-13T00:00:00"/>
    <n v="3.6"/>
    <s v="Naukri"/>
    <n v="94.7"/>
    <n v="91.1"/>
    <n v="13"/>
    <n v="2"/>
    <s v="Active"/>
    <m/>
    <x v="4"/>
  </r>
  <r>
    <n v="139"/>
    <s v="Employee_139"/>
    <s v="Female"/>
    <n v="41"/>
    <x v="6"/>
    <x v="19"/>
    <n v="55000"/>
    <d v="2020-02-25T00:00:00"/>
    <n v="6.6"/>
    <s v="Indeed"/>
    <n v="68.2"/>
    <n v="92.5"/>
    <n v="22"/>
    <n v="14"/>
    <s v="Active"/>
    <m/>
    <x v="1"/>
  </r>
  <r>
    <n v="140"/>
    <s v="Employee_140"/>
    <s v="Female"/>
    <n v="48"/>
    <x v="5"/>
    <x v="21"/>
    <n v="60000"/>
    <d v="2022-01-29T00:00:00"/>
    <n v="4.7"/>
    <s v="LinkedIn"/>
    <n v="82.5"/>
    <n v="95.9"/>
    <n v="21"/>
    <n v="12"/>
    <s v="Active"/>
    <m/>
    <x v="1"/>
  </r>
  <r>
    <n v="141"/>
    <s v="Employee_141"/>
    <s v="Male"/>
    <n v="22"/>
    <x v="6"/>
    <x v="20"/>
    <n v="51000"/>
    <d v="2020-08-07T00:00:00"/>
    <n v="6.2"/>
    <s v="Naukri"/>
    <n v="73.8"/>
    <n v="84.2"/>
    <n v="11"/>
    <n v="11"/>
    <s v="Active"/>
    <m/>
    <x v="4"/>
  </r>
  <r>
    <n v="142"/>
    <s v="Employee_142"/>
    <s v="Male"/>
    <n v="49"/>
    <x v="6"/>
    <x v="19"/>
    <n v="31000"/>
    <d v="2023-02-28T00:00:00"/>
    <n v="3.6"/>
    <s v="Campus Recruitment"/>
    <n v="71"/>
    <n v="95.4"/>
    <n v="11"/>
    <n v="12"/>
    <s v="Resigned"/>
    <d v="2026-05-19T00:00:00"/>
    <x v="1"/>
  </r>
  <r>
    <n v="143"/>
    <s v="Employee_143"/>
    <s v="Male"/>
    <n v="28"/>
    <x v="0"/>
    <x v="16"/>
    <n v="44000"/>
    <d v="2019-04-17T00:00:00"/>
    <n v="7.5"/>
    <s v="Employee Referral"/>
    <n v="71.599999999999994"/>
    <n v="91.8"/>
    <n v="22"/>
    <n v="14"/>
    <s v="Active"/>
    <m/>
    <x v="3"/>
  </r>
  <r>
    <n v="144"/>
    <s v="Employee_144"/>
    <s v="Female"/>
    <n v="33"/>
    <x v="6"/>
    <x v="14"/>
    <n v="31000"/>
    <d v="2020-05-17T00:00:00"/>
    <n v="6.4"/>
    <s v="Naukri"/>
    <n v="60.8"/>
    <n v="83.3"/>
    <n v="14"/>
    <n v="2"/>
    <s v="Active"/>
    <m/>
    <x v="1"/>
  </r>
  <r>
    <n v="145"/>
    <s v="Employee_145"/>
    <s v="Male"/>
    <n v="56"/>
    <x v="0"/>
    <x v="16"/>
    <n v="43000"/>
    <d v="2025-01-29T00:00:00"/>
    <n v="1.7"/>
    <s v="Employee Referral"/>
    <n v="61.8"/>
    <n v="94.4"/>
    <n v="16"/>
    <n v="7"/>
    <s v="Active"/>
    <m/>
    <x v="0"/>
  </r>
  <r>
    <n v="146"/>
    <s v="Employee_146"/>
    <s v="Male"/>
    <n v="52"/>
    <x v="4"/>
    <x v="11"/>
    <n v="49000"/>
    <d v="2019-04-18T00:00:00"/>
    <n v="7.5"/>
    <s v="Campus Recruitment"/>
    <n v="70.5"/>
    <n v="92"/>
    <n v="4"/>
    <n v="2"/>
    <s v="Active"/>
    <m/>
    <x v="0"/>
  </r>
  <r>
    <n v="147"/>
    <s v="Employee_147"/>
    <s v="Female"/>
    <n v="54"/>
    <x v="3"/>
    <x v="15"/>
    <n v="47000"/>
    <d v="2023-08-10T00:00:00"/>
    <n v="3.2"/>
    <s v="Company Website"/>
    <n v="58.2"/>
    <n v="99"/>
    <n v="14"/>
    <n v="16"/>
    <s v="Active"/>
    <m/>
    <x v="1"/>
  </r>
  <r>
    <n v="148"/>
    <s v="Employee_148"/>
    <s v="Male"/>
    <n v="29"/>
    <x v="4"/>
    <x v="4"/>
    <n v="24000"/>
    <d v="2023-11-08T00:00:00"/>
    <n v="2.9"/>
    <s v="Campus Recruitment"/>
    <n v="76.599999999999994"/>
    <n v="97.2"/>
    <n v="4"/>
    <n v="9"/>
    <s v="Active"/>
    <m/>
    <x v="3"/>
  </r>
  <r>
    <n v="149"/>
    <s v="Employee_149"/>
    <s v="Male"/>
    <n v="43"/>
    <x v="4"/>
    <x v="5"/>
    <n v="56000"/>
    <d v="2024-10-26T00:00:00"/>
    <n v="1.9"/>
    <s v="Indeed"/>
    <n v="65.8"/>
    <n v="93.1"/>
    <n v="20"/>
    <n v="9"/>
    <s v="Resigned"/>
    <d v="2025-12-29T00:00:00"/>
    <x v="2"/>
  </r>
  <r>
    <n v="150"/>
    <s v="Employee_150"/>
    <s v="Male"/>
    <n v="58"/>
    <x v="6"/>
    <x v="19"/>
    <n v="31000"/>
    <d v="2025-07-06T00:00:00"/>
    <n v="1.3"/>
    <s v="Campus Recruitment"/>
    <n v="61.6"/>
    <n v="93.5"/>
    <n v="1"/>
    <n v="0"/>
    <s v="Resigned"/>
    <d v="2025-10-26T00:00:00"/>
    <x v="0"/>
  </r>
  <r>
    <n v="151"/>
    <s v="Employee_151"/>
    <s v="Male"/>
    <n v="57"/>
    <x v="1"/>
    <x v="18"/>
    <n v="52000"/>
    <d v="2023-09-03T00:00:00"/>
    <n v="3.1"/>
    <s v="Company Website"/>
    <n v="93.2"/>
    <n v="91.5"/>
    <n v="7"/>
    <n v="12"/>
    <s v="Active"/>
    <m/>
    <x v="1"/>
  </r>
  <r>
    <n v="152"/>
    <s v="Employee_152"/>
    <s v="Male"/>
    <n v="31"/>
    <x v="5"/>
    <x v="21"/>
    <n v="50000"/>
    <d v="2023-12-06T00:00:00"/>
    <n v="2.8"/>
    <s v="Campus Recruitment"/>
    <n v="72.900000000000006"/>
    <n v="90.1"/>
    <n v="4"/>
    <n v="10"/>
    <s v="Active"/>
    <m/>
    <x v="1"/>
  </r>
  <r>
    <n v="153"/>
    <s v="Employee_153"/>
    <s v="Female"/>
    <n v="29"/>
    <x v="0"/>
    <x v="16"/>
    <n v="41000"/>
    <d v="2023-02-26T00:00:00"/>
    <n v="3.6"/>
    <s v="Indeed"/>
    <n v="65.400000000000006"/>
    <n v="84.1"/>
    <n v="4"/>
    <n v="3"/>
    <s v="Active"/>
    <m/>
    <x v="0"/>
  </r>
  <r>
    <n v="154"/>
    <s v="Employee_154"/>
    <s v="Female"/>
    <n v="36"/>
    <x v="3"/>
    <x v="15"/>
    <n v="44000"/>
    <d v="2020-10-16T00:00:00"/>
    <n v="6"/>
    <s v="Indeed"/>
    <n v="90"/>
    <n v="98.3"/>
    <n v="24"/>
    <n v="5"/>
    <s v="Active"/>
    <m/>
    <x v="4"/>
  </r>
  <r>
    <n v="155"/>
    <s v="Employee_155"/>
    <s v="Female"/>
    <n v="40"/>
    <x v="6"/>
    <x v="14"/>
    <n v="65000"/>
    <d v="2024-07-30T00:00:00"/>
    <n v="2.2000000000000002"/>
    <s v="Campus Recruitment"/>
    <n v="76.7"/>
    <n v="98.9"/>
    <n v="11"/>
    <n v="1"/>
    <s v="Active"/>
    <m/>
    <x v="0"/>
  </r>
  <r>
    <n v="156"/>
    <s v="Employee_156"/>
    <s v="Female"/>
    <n v="39"/>
    <x v="3"/>
    <x v="15"/>
    <n v="48000"/>
    <d v="2025-01-07T00:00:00"/>
    <n v="1.7"/>
    <s v="Employee Referral"/>
    <n v="55.4"/>
    <n v="83.9"/>
    <n v="23"/>
    <n v="11"/>
    <s v="Active"/>
    <m/>
    <x v="4"/>
  </r>
  <r>
    <n v="157"/>
    <s v="Employee_157"/>
    <s v="Female"/>
    <n v="24"/>
    <x v="3"/>
    <x v="3"/>
    <n v="36000"/>
    <d v="2025-05-24T00:00:00"/>
    <n v="1.4"/>
    <s v="Campus Recruitment"/>
    <n v="67.400000000000006"/>
    <n v="88.8"/>
    <n v="8"/>
    <n v="3"/>
    <s v="Active"/>
    <m/>
    <x v="3"/>
  </r>
  <r>
    <n v="158"/>
    <s v="Employee_158"/>
    <s v="Female"/>
    <n v="42"/>
    <x v="1"/>
    <x v="13"/>
    <n v="50000"/>
    <d v="2025-04-03T00:00:00"/>
    <n v="1.5"/>
    <s v="Campus Recruitment"/>
    <n v="95.4"/>
    <n v="95.2"/>
    <n v="16"/>
    <n v="12"/>
    <s v="Active"/>
    <m/>
    <x v="2"/>
  </r>
  <r>
    <n v="159"/>
    <s v="Employee_159"/>
    <s v="Male"/>
    <n v="29"/>
    <x v="1"/>
    <x v="9"/>
    <n v="59000"/>
    <d v="2022-09-26T00:00:00"/>
    <n v="4"/>
    <s v="Employee Referral"/>
    <n v="61.4"/>
    <n v="97.6"/>
    <n v="19"/>
    <n v="10"/>
    <s v="Active"/>
    <m/>
    <x v="3"/>
  </r>
  <r>
    <n v="160"/>
    <s v="Employee_160"/>
    <s v="Female"/>
    <n v="58"/>
    <x v="5"/>
    <x v="12"/>
    <n v="38000"/>
    <d v="2022-10-09T00:00:00"/>
    <n v="4"/>
    <s v="Naukri"/>
    <n v="76.8"/>
    <n v="90.9"/>
    <n v="18"/>
    <n v="9"/>
    <s v="Active"/>
    <m/>
    <x v="4"/>
  </r>
  <r>
    <n v="161"/>
    <s v="Employee_161"/>
    <s v="Female"/>
    <n v="42"/>
    <x v="2"/>
    <x v="2"/>
    <n v="42000"/>
    <d v="2026-07-22T00:00:00"/>
    <n v="0.2"/>
    <s v="Campus Recruitment"/>
    <n v="68.2"/>
    <n v="97.7"/>
    <n v="15"/>
    <n v="8"/>
    <s v="Active"/>
    <m/>
    <x v="2"/>
  </r>
  <r>
    <n v="162"/>
    <s v="Employee_162"/>
    <s v="Male"/>
    <n v="58"/>
    <x v="6"/>
    <x v="19"/>
    <n v="49000"/>
    <d v="2024-05-21T00:00:00"/>
    <n v="2.4"/>
    <s v="Indeed"/>
    <n v="62.3"/>
    <n v="93"/>
    <n v="21"/>
    <n v="7"/>
    <s v="Resigned"/>
    <d v="2025-09-12T00:00:00"/>
    <x v="0"/>
  </r>
  <r>
    <n v="163"/>
    <s v="Employee_163"/>
    <s v="Male"/>
    <n v="33"/>
    <x v="6"/>
    <x v="20"/>
    <n v="33000"/>
    <d v="2019-03-19T00:00:00"/>
    <n v="7.6"/>
    <s v="Company Website"/>
    <n v="72.8"/>
    <n v="85.6"/>
    <n v="23"/>
    <n v="1"/>
    <s v="Resigned"/>
    <d v="2025-01-18T00:00:00"/>
    <x v="3"/>
  </r>
  <r>
    <n v="164"/>
    <s v="Employee_164"/>
    <s v="Female"/>
    <n v="51"/>
    <x v="6"/>
    <x v="19"/>
    <n v="46000"/>
    <d v="2024-11-22T00:00:00"/>
    <n v="1.9"/>
    <s v="Campus Recruitment"/>
    <n v="71.2"/>
    <n v="98.7"/>
    <n v="10"/>
    <n v="17"/>
    <s v="Active"/>
    <m/>
    <x v="1"/>
  </r>
  <r>
    <n v="165"/>
    <s v="Employee_165"/>
    <s v="Female"/>
    <n v="51"/>
    <x v="0"/>
    <x v="8"/>
    <n v="53000"/>
    <d v="2021-02-26T00:00:00"/>
    <n v="5.6"/>
    <s v="Employee Referral"/>
    <n v="67.8"/>
    <n v="98.5"/>
    <n v="22"/>
    <n v="6"/>
    <s v="Active"/>
    <m/>
    <x v="4"/>
  </r>
  <r>
    <n v="166"/>
    <s v="Employee_166"/>
    <s v="Female"/>
    <n v="56"/>
    <x v="3"/>
    <x v="15"/>
    <n v="42000"/>
    <d v="2022-01-25T00:00:00"/>
    <n v="4.7"/>
    <s v="Company Website"/>
    <n v="67.400000000000006"/>
    <n v="92"/>
    <n v="11"/>
    <n v="4"/>
    <s v="Resigned"/>
    <d v="2025-09-13T00:00:00"/>
    <x v="1"/>
  </r>
  <r>
    <n v="167"/>
    <s v="Employee_167"/>
    <s v="Male"/>
    <n v="43"/>
    <x v="1"/>
    <x v="18"/>
    <n v="43000"/>
    <d v="2023-12-17T00:00:00"/>
    <n v="2.8"/>
    <s v="Campus Recruitment"/>
    <n v="64.2"/>
    <n v="96.5"/>
    <n v="22"/>
    <n v="8"/>
    <s v="Active"/>
    <m/>
    <x v="3"/>
  </r>
  <r>
    <n v="168"/>
    <s v="Employee_168"/>
    <s v="Male"/>
    <n v="24"/>
    <x v="1"/>
    <x v="1"/>
    <n v="38000"/>
    <d v="2026-07-06T00:00:00"/>
    <n v="0.3"/>
    <s v="LinkedIn"/>
    <n v="93.9"/>
    <n v="85.9"/>
    <n v="3"/>
    <n v="13"/>
    <s v="Active"/>
    <m/>
    <x v="1"/>
  </r>
  <r>
    <n v="169"/>
    <s v="Employee_169"/>
    <s v="Male"/>
    <n v="29"/>
    <x v="0"/>
    <x v="16"/>
    <n v="73000"/>
    <d v="2019-01-22T00:00:00"/>
    <n v="7.7"/>
    <s v="Company Website"/>
    <n v="61.8"/>
    <n v="93.4"/>
    <n v="20"/>
    <n v="6"/>
    <s v="Active"/>
    <m/>
    <x v="1"/>
  </r>
  <r>
    <n v="170"/>
    <s v="Employee_170"/>
    <s v="Male"/>
    <n v="26"/>
    <x v="3"/>
    <x v="15"/>
    <n v="38000"/>
    <d v="2026-04-25T00:00:00"/>
    <n v="0.5"/>
    <s v="Indeed"/>
    <n v="79.7"/>
    <n v="91.4"/>
    <n v="13"/>
    <n v="5"/>
    <s v="Active"/>
    <m/>
    <x v="0"/>
  </r>
  <r>
    <n v="171"/>
    <s v="Employee_171"/>
    <s v="Female"/>
    <n v="32"/>
    <x v="2"/>
    <x v="17"/>
    <n v="36000"/>
    <d v="2022-03-31T00:00:00"/>
    <n v="4.5"/>
    <s v="Employee Referral"/>
    <n v="79.400000000000006"/>
    <n v="83.9"/>
    <n v="14"/>
    <n v="17"/>
    <s v="Active"/>
    <m/>
    <x v="2"/>
  </r>
  <r>
    <n v="172"/>
    <s v="Employee_172"/>
    <s v="Female"/>
    <n v="38"/>
    <x v="5"/>
    <x v="21"/>
    <n v="50000"/>
    <d v="2021-02-28T00:00:00"/>
    <n v="5.6"/>
    <s v="Naukri"/>
    <n v="89.8"/>
    <n v="87.8"/>
    <n v="8"/>
    <n v="5"/>
    <s v="Active"/>
    <m/>
    <x v="0"/>
  </r>
  <r>
    <n v="173"/>
    <s v="Employee_173"/>
    <s v="Female"/>
    <n v="57"/>
    <x v="0"/>
    <x v="16"/>
    <n v="46000"/>
    <d v="2026-07-25T00:00:00"/>
    <n v="0.2"/>
    <s v="Campus Recruitment"/>
    <n v="91.8"/>
    <n v="97.7"/>
    <n v="10"/>
    <n v="2"/>
    <s v="Active"/>
    <m/>
    <x v="4"/>
  </r>
  <r>
    <n v="174"/>
    <s v="Employee_174"/>
    <s v="Male"/>
    <n v="29"/>
    <x v="0"/>
    <x v="0"/>
    <n v="39000"/>
    <d v="2024-05-09T00:00:00"/>
    <n v="2.4"/>
    <s v="Company Website"/>
    <n v="68.900000000000006"/>
    <n v="86.3"/>
    <n v="7"/>
    <n v="14"/>
    <s v="Active"/>
    <m/>
    <x v="1"/>
  </r>
  <r>
    <n v="175"/>
    <s v="Employee_175"/>
    <s v="Male"/>
    <n v="37"/>
    <x v="3"/>
    <x v="15"/>
    <n v="40000"/>
    <d v="2026-05-01T00:00:00"/>
    <n v="0.4"/>
    <s v="Company Website"/>
    <n v="83.7"/>
    <n v="90.1"/>
    <n v="21"/>
    <n v="16"/>
    <s v="Active"/>
    <m/>
    <x v="1"/>
  </r>
  <r>
    <n v="176"/>
    <s v="Employee_176"/>
    <s v="Female"/>
    <n v="44"/>
    <x v="0"/>
    <x v="0"/>
    <n v="51000"/>
    <d v="2025-11-22T00:00:00"/>
    <n v="0.9"/>
    <s v="Indeed"/>
    <n v="64.5"/>
    <n v="98.8"/>
    <n v="14"/>
    <n v="11"/>
    <s v="Active"/>
    <m/>
    <x v="4"/>
  </r>
  <r>
    <n v="177"/>
    <s v="Employee_177"/>
    <s v="Female"/>
    <n v="55"/>
    <x v="0"/>
    <x v="8"/>
    <n v="53000"/>
    <d v="2026-06-13T00:00:00"/>
    <n v="0.3"/>
    <s v="Campus Recruitment"/>
    <n v="84.3"/>
    <n v="92.4"/>
    <n v="14"/>
    <n v="16"/>
    <s v="Active"/>
    <m/>
    <x v="1"/>
  </r>
  <r>
    <n v="178"/>
    <s v="Employee_178"/>
    <s v="Male"/>
    <n v="56"/>
    <x v="1"/>
    <x v="9"/>
    <n v="36000"/>
    <d v="2024-09-01T00:00:00"/>
    <n v="2.1"/>
    <s v="Employee Referral"/>
    <n v="63.7"/>
    <n v="91.4"/>
    <n v="16"/>
    <n v="14"/>
    <s v="Active"/>
    <m/>
    <x v="0"/>
  </r>
  <r>
    <n v="179"/>
    <s v="Employee_179"/>
    <s v="Female"/>
    <n v="26"/>
    <x v="0"/>
    <x v="0"/>
    <n v="42000"/>
    <d v="2024-09-21T00:00:00"/>
    <n v="2"/>
    <s v="Campus Recruitment"/>
    <n v="60.7"/>
    <n v="89.3"/>
    <n v="14"/>
    <n v="9"/>
    <s v="Resigned"/>
    <d v="2026-08-08T00:00:00"/>
    <x v="0"/>
  </r>
  <r>
    <n v="180"/>
    <s v="Employee_180"/>
    <s v="Male"/>
    <n v="34"/>
    <x v="5"/>
    <x v="6"/>
    <n v="53000"/>
    <d v="2025-06-26T00:00:00"/>
    <n v="1.3"/>
    <s v="Campus Recruitment"/>
    <n v="58.1"/>
    <n v="89.4"/>
    <n v="1"/>
    <n v="2"/>
    <s v="Active"/>
    <m/>
    <x v="4"/>
  </r>
  <r>
    <n v="181"/>
    <s v="Employee_181"/>
    <s v="Female"/>
    <n v="32"/>
    <x v="1"/>
    <x v="18"/>
    <n v="58000"/>
    <d v="2020-07-08T00:00:00"/>
    <n v="6.2"/>
    <s v="Company Website"/>
    <n v="82.8"/>
    <n v="89.4"/>
    <n v="12"/>
    <n v="12"/>
    <s v="Active"/>
    <m/>
    <x v="0"/>
  </r>
  <r>
    <n v="182"/>
    <s v="Employee_182"/>
    <s v="Male"/>
    <n v="43"/>
    <x v="0"/>
    <x v="8"/>
    <n v="18000"/>
    <d v="2020-04-30T00:00:00"/>
    <n v="6.4"/>
    <s v="Naukri"/>
    <n v="62.7"/>
    <n v="91.4"/>
    <n v="7"/>
    <n v="0"/>
    <s v="Resigned"/>
    <d v="2026-05-29T00:00:00"/>
    <x v="0"/>
  </r>
  <r>
    <n v="183"/>
    <s v="Employee_183"/>
    <s v="Female"/>
    <n v="55"/>
    <x v="3"/>
    <x v="15"/>
    <n v="48000"/>
    <d v="2023-04-03T00:00:00"/>
    <n v="3.5"/>
    <s v="LinkedIn"/>
    <n v="69.900000000000006"/>
    <n v="86.8"/>
    <n v="21"/>
    <n v="13"/>
    <s v="Active"/>
    <m/>
    <x v="2"/>
  </r>
  <r>
    <n v="184"/>
    <s v="Employee_184"/>
    <s v="Male"/>
    <n v="34"/>
    <x v="2"/>
    <x v="2"/>
    <n v="30000"/>
    <d v="2019-10-03T00:00:00"/>
    <n v="7"/>
    <s v="Naukri"/>
    <n v="59.3"/>
    <n v="82.6"/>
    <n v="1"/>
    <n v="7"/>
    <s v="Resigned"/>
    <d v="2024-11-17T00:00:00"/>
    <x v="0"/>
  </r>
  <r>
    <n v="185"/>
    <s v="Employee_185"/>
    <s v="Male"/>
    <n v="55"/>
    <x v="5"/>
    <x v="6"/>
    <n v="52000"/>
    <d v="2021-06-08T00:00:00"/>
    <n v="5.3"/>
    <s v="Naukri"/>
    <n v="61"/>
    <n v="99.4"/>
    <n v="18"/>
    <n v="10"/>
    <s v="Active"/>
    <m/>
    <x v="2"/>
  </r>
  <r>
    <n v="186"/>
    <s v="Employee_186"/>
    <s v="Female"/>
    <n v="36"/>
    <x v="6"/>
    <x v="20"/>
    <n v="26000"/>
    <d v="2022-05-21T00:00:00"/>
    <n v="4.4000000000000004"/>
    <s v="Company Website"/>
    <n v="92.7"/>
    <n v="99.2"/>
    <n v="9"/>
    <n v="8"/>
    <s v="Resigned"/>
    <d v="2026-02-22T00:00:00"/>
    <x v="0"/>
  </r>
  <r>
    <n v="187"/>
    <s v="Employee_187"/>
    <s v="Male"/>
    <n v="48"/>
    <x v="6"/>
    <x v="20"/>
    <n v="18000"/>
    <d v="2025-03-26T00:00:00"/>
    <n v="1.5"/>
    <s v="Naukri"/>
    <n v="95.5"/>
    <n v="93.7"/>
    <n v="13"/>
    <n v="13"/>
    <s v="Resigned"/>
    <d v="2025-11-14T00:00:00"/>
    <x v="3"/>
  </r>
  <r>
    <n v="188"/>
    <s v="Employee_188"/>
    <s v="Male"/>
    <n v="55"/>
    <x v="3"/>
    <x v="15"/>
    <n v="45000"/>
    <d v="2024-04-23T00:00:00"/>
    <n v="2.5"/>
    <s v="Company Website"/>
    <n v="65.400000000000006"/>
    <n v="85.9"/>
    <n v="1"/>
    <n v="17"/>
    <s v="Active"/>
    <m/>
    <x v="4"/>
  </r>
  <r>
    <n v="189"/>
    <s v="Employee_189"/>
    <s v="Male"/>
    <n v="45"/>
    <x v="5"/>
    <x v="12"/>
    <n v="51000"/>
    <d v="2021-09-21T00:00:00"/>
    <n v="5"/>
    <s v="LinkedIn"/>
    <n v="58.4"/>
    <n v="89.9"/>
    <n v="17"/>
    <n v="6"/>
    <s v="Active"/>
    <m/>
    <x v="0"/>
  </r>
  <r>
    <n v="190"/>
    <s v="Employee_190"/>
    <s v="Male"/>
    <n v="25"/>
    <x v="3"/>
    <x v="15"/>
    <n v="53000"/>
    <d v="2021-02-09T00:00:00"/>
    <n v="5.7"/>
    <s v="Company Website"/>
    <n v="89.6"/>
    <n v="92.3"/>
    <n v="6"/>
    <n v="10"/>
    <s v="Resigned"/>
    <d v="2026-02-26T00:00:00"/>
    <x v="1"/>
  </r>
  <r>
    <n v="191"/>
    <s v="Employee_191"/>
    <s v="Male"/>
    <n v="28"/>
    <x v="1"/>
    <x v="1"/>
    <n v="71000"/>
    <d v="2024-05-15T00:00:00"/>
    <n v="2.4"/>
    <s v="Campus Recruitment"/>
    <n v="85.3"/>
    <n v="88.9"/>
    <n v="10"/>
    <n v="9"/>
    <s v="Active"/>
    <m/>
    <x v="4"/>
  </r>
  <r>
    <n v="192"/>
    <s v="Employee_192"/>
    <s v="Female"/>
    <n v="40"/>
    <x v="5"/>
    <x v="12"/>
    <n v="42000"/>
    <d v="2021-12-07T00:00:00"/>
    <n v="4.8"/>
    <s v="LinkedIn"/>
    <n v="70.5"/>
    <n v="97.4"/>
    <n v="23"/>
    <n v="15"/>
    <s v="Active"/>
    <m/>
    <x v="1"/>
  </r>
  <r>
    <n v="193"/>
    <s v="Employee_193"/>
    <s v="Female"/>
    <n v="47"/>
    <x v="4"/>
    <x v="5"/>
    <n v="35000"/>
    <d v="2019-07-07T00:00:00"/>
    <n v="7.3"/>
    <s v="Naukri"/>
    <n v="61.3"/>
    <n v="86.6"/>
    <n v="13"/>
    <n v="9"/>
    <s v="Resigned"/>
    <d v="2025-02-20T00:00:00"/>
    <x v="3"/>
  </r>
  <r>
    <n v="194"/>
    <s v="Employee_194"/>
    <s v="Male"/>
    <n v="45"/>
    <x v="4"/>
    <x v="5"/>
    <n v="39000"/>
    <d v="2025-05-22T00:00:00"/>
    <n v="1.4"/>
    <s v="Employee Referral"/>
    <n v="90.8"/>
    <n v="90.7"/>
    <n v="24"/>
    <n v="15"/>
    <s v="Active"/>
    <m/>
    <x v="4"/>
  </r>
  <r>
    <n v="195"/>
    <s v="Employee_195"/>
    <s v="Female"/>
    <n v="31"/>
    <x v="5"/>
    <x v="21"/>
    <n v="49000"/>
    <d v="2020-07-27T00:00:00"/>
    <n v="6.2"/>
    <s v="Campus Recruitment"/>
    <n v="94.4"/>
    <n v="91.5"/>
    <n v="1"/>
    <n v="2"/>
    <s v="Active"/>
    <m/>
    <x v="0"/>
  </r>
  <r>
    <n v="196"/>
    <s v="Employee_196"/>
    <s v="Female"/>
    <n v="29"/>
    <x v="2"/>
    <x v="2"/>
    <n v="26000"/>
    <d v="2026-01-27T00:00:00"/>
    <n v="0.7"/>
    <s v="Indeed"/>
    <n v="65"/>
    <n v="94.4"/>
    <n v="16"/>
    <n v="14"/>
    <s v="Active"/>
    <m/>
    <x v="1"/>
  </r>
  <r>
    <n v="197"/>
    <s v="Employee_197"/>
    <s v="Female"/>
    <n v="22"/>
    <x v="1"/>
    <x v="13"/>
    <n v="42000"/>
    <d v="2019-01-28T00:00:00"/>
    <n v="7.7"/>
    <s v="LinkedIn"/>
    <n v="55.7"/>
    <n v="94.6"/>
    <n v="16"/>
    <n v="13"/>
    <s v="Resigned"/>
    <d v="2025-12-17T00:00:00"/>
    <x v="3"/>
  </r>
  <r>
    <n v="198"/>
    <s v="Employee_198"/>
    <s v="Male"/>
    <n v="36"/>
    <x v="1"/>
    <x v="9"/>
    <n v="52000"/>
    <d v="2021-02-25T00:00:00"/>
    <n v="5.6"/>
    <s v="Employee Referral"/>
    <n v="81.7"/>
    <n v="86.4"/>
    <n v="12"/>
    <n v="2"/>
    <s v="Active"/>
    <m/>
    <x v="1"/>
  </r>
  <r>
    <n v="199"/>
    <s v="Employee_199"/>
    <s v="Male"/>
    <n v="35"/>
    <x v="5"/>
    <x v="6"/>
    <n v="43000"/>
    <d v="2022-05-13T00:00:00"/>
    <n v="4.4000000000000004"/>
    <s v="LinkedIn"/>
    <n v="83.1"/>
    <n v="97"/>
    <n v="12"/>
    <n v="12"/>
    <s v="Active"/>
    <m/>
    <x v="4"/>
  </r>
  <r>
    <n v="200"/>
    <s v="Employee_200"/>
    <s v="Male"/>
    <n v="21"/>
    <x v="6"/>
    <x v="14"/>
    <n v="26000"/>
    <d v="2020-12-02T00:00:00"/>
    <n v="5.8"/>
    <s v="Campus Recruitment"/>
    <n v="58.6"/>
    <n v="96.8"/>
    <n v="3"/>
    <n v="16"/>
    <s v="Active"/>
    <m/>
    <x v="0"/>
  </r>
  <r>
    <n v="201"/>
    <s v="Employee_201"/>
    <s v="Female"/>
    <n v="38"/>
    <x v="4"/>
    <x v="11"/>
    <n v="54000"/>
    <d v="2019-07-10T00:00:00"/>
    <n v="7.2"/>
    <s v="Indeed"/>
    <n v="67.099999999999994"/>
    <n v="91.5"/>
    <n v="10"/>
    <n v="0"/>
    <s v="Active"/>
    <m/>
    <x v="3"/>
  </r>
  <r>
    <n v="202"/>
    <s v="Employee_202"/>
    <s v="Female"/>
    <n v="25"/>
    <x v="6"/>
    <x v="19"/>
    <n v="36000"/>
    <d v="2022-05-10T00:00:00"/>
    <n v="4.4000000000000004"/>
    <s v="Naukri"/>
    <n v="62"/>
    <n v="86.2"/>
    <n v="17"/>
    <n v="10"/>
    <s v="Active"/>
    <m/>
    <x v="4"/>
  </r>
  <r>
    <n v="203"/>
    <s v="Employee_203"/>
    <s v="Male"/>
    <n v="26"/>
    <x v="2"/>
    <x v="10"/>
    <n v="35000"/>
    <d v="2024-08-13T00:00:00"/>
    <n v="2.1"/>
    <s v="Employee Referral"/>
    <n v="59.2"/>
    <n v="86.1"/>
    <n v="19"/>
    <n v="12"/>
    <s v="Active"/>
    <m/>
    <x v="1"/>
  </r>
  <r>
    <n v="204"/>
    <s v="Employee_204"/>
    <s v="Female"/>
    <n v="52"/>
    <x v="1"/>
    <x v="18"/>
    <n v="43000"/>
    <d v="2021-07-23T00:00:00"/>
    <n v="5.2"/>
    <s v="Indeed"/>
    <n v="70.3"/>
    <n v="98.5"/>
    <n v="21"/>
    <n v="18"/>
    <s v="Active"/>
    <m/>
    <x v="4"/>
  </r>
  <r>
    <n v="205"/>
    <s v="Employee_205"/>
    <s v="Male"/>
    <n v="25"/>
    <x v="1"/>
    <x v="18"/>
    <n v="53000"/>
    <d v="2019-12-03T00:00:00"/>
    <n v="6.8"/>
    <s v="Employee Referral"/>
    <n v="88.7"/>
    <n v="84.7"/>
    <n v="11"/>
    <n v="3"/>
    <s v="Active"/>
    <m/>
    <x v="0"/>
  </r>
  <r>
    <n v="206"/>
    <s v="Employee_206"/>
    <s v="Female"/>
    <n v="44"/>
    <x v="1"/>
    <x v="18"/>
    <n v="66000"/>
    <d v="2022-01-09T00:00:00"/>
    <n v="4.7"/>
    <s v="Company Website"/>
    <n v="59.4"/>
    <n v="83.5"/>
    <n v="17"/>
    <n v="17"/>
    <s v="Active"/>
    <m/>
    <x v="2"/>
  </r>
  <r>
    <n v="207"/>
    <s v="Employee_207"/>
    <s v="Male"/>
    <n v="26"/>
    <x v="5"/>
    <x v="21"/>
    <n v="37000"/>
    <d v="2022-12-20T00:00:00"/>
    <n v="3.8"/>
    <s v="Employee Referral"/>
    <n v="88.7"/>
    <n v="97.1"/>
    <n v="13"/>
    <n v="12"/>
    <s v="Active"/>
    <m/>
    <x v="0"/>
  </r>
  <r>
    <n v="208"/>
    <s v="Employee_208"/>
    <s v="Male"/>
    <n v="57"/>
    <x v="0"/>
    <x v="8"/>
    <n v="41000"/>
    <d v="2024-11-04T00:00:00"/>
    <n v="1.9"/>
    <s v="Employee Referral"/>
    <n v="62.3"/>
    <n v="88.7"/>
    <n v="9"/>
    <n v="8"/>
    <s v="Active"/>
    <m/>
    <x v="4"/>
  </r>
  <r>
    <n v="209"/>
    <s v="Employee_209"/>
    <s v="Male"/>
    <n v="48"/>
    <x v="4"/>
    <x v="11"/>
    <n v="32000"/>
    <d v="2022-02-04T00:00:00"/>
    <n v="4.7"/>
    <s v="Naukri"/>
    <n v="58.3"/>
    <n v="86.4"/>
    <n v="20"/>
    <n v="15"/>
    <s v="Active"/>
    <m/>
    <x v="2"/>
  </r>
  <r>
    <n v="210"/>
    <s v="Employee_210"/>
    <s v="Female"/>
    <n v="27"/>
    <x v="6"/>
    <x v="19"/>
    <n v="48000"/>
    <d v="2020-07-08T00:00:00"/>
    <n v="6.2"/>
    <s v="Campus Recruitment"/>
    <n v="68.099999999999994"/>
    <n v="98.6"/>
    <n v="12"/>
    <n v="10"/>
    <s v="Active"/>
    <m/>
    <x v="4"/>
  </r>
  <r>
    <n v="211"/>
    <s v="Employee_211"/>
    <s v="Male"/>
    <n v="40"/>
    <x v="3"/>
    <x v="15"/>
    <n v="32000"/>
    <d v="2022-08-06T00:00:00"/>
    <n v="4.2"/>
    <s v="Employee Referral"/>
    <n v="75.599999999999994"/>
    <n v="85.1"/>
    <n v="9"/>
    <n v="15"/>
    <s v="Active"/>
    <m/>
    <x v="2"/>
  </r>
  <r>
    <n v="212"/>
    <s v="Employee_212"/>
    <s v="Female"/>
    <n v="45"/>
    <x v="2"/>
    <x v="2"/>
    <n v="28000"/>
    <d v="2022-02-22T00:00:00"/>
    <n v="4.5999999999999996"/>
    <s v="Campus Recruitment"/>
    <n v="90.1"/>
    <n v="88.9"/>
    <n v="6"/>
    <n v="18"/>
    <s v="Active"/>
    <m/>
    <x v="2"/>
  </r>
  <r>
    <n v="213"/>
    <s v="Employee_213"/>
    <s v="Male"/>
    <n v="50"/>
    <x v="4"/>
    <x v="4"/>
    <n v="34000"/>
    <d v="2021-05-08T00:00:00"/>
    <n v="5.4"/>
    <s v="Naukri"/>
    <n v="84.8"/>
    <n v="96.3"/>
    <n v="15"/>
    <n v="4"/>
    <s v="Active"/>
    <m/>
    <x v="1"/>
  </r>
  <r>
    <n v="214"/>
    <s v="Employee_214"/>
    <s v="Male"/>
    <n v="48"/>
    <x v="4"/>
    <x v="5"/>
    <n v="44000"/>
    <d v="2023-03-25T00:00:00"/>
    <n v="3.5"/>
    <s v="Campus Recruitment"/>
    <n v="58.2"/>
    <n v="99.3"/>
    <n v="12"/>
    <n v="17"/>
    <s v="Active"/>
    <m/>
    <x v="2"/>
  </r>
  <r>
    <n v="215"/>
    <s v="Employee_215"/>
    <s v="Female"/>
    <n v="55"/>
    <x v="2"/>
    <x v="10"/>
    <n v="37000"/>
    <d v="2019-05-31T00:00:00"/>
    <n v="7.4"/>
    <s v="LinkedIn"/>
    <n v="93.5"/>
    <n v="91.4"/>
    <n v="24"/>
    <n v="7"/>
    <s v="Active"/>
    <m/>
    <x v="1"/>
  </r>
  <r>
    <n v="216"/>
    <s v="Employee_216"/>
    <s v="Male"/>
    <n v="57"/>
    <x v="4"/>
    <x v="4"/>
    <n v="33000"/>
    <d v="2026-03-27T00:00:00"/>
    <n v="0.5"/>
    <s v="Company Website"/>
    <n v="84.1"/>
    <n v="89"/>
    <n v="3"/>
    <n v="0"/>
    <s v="Active"/>
    <m/>
    <x v="0"/>
  </r>
  <r>
    <n v="217"/>
    <s v="Employee_217"/>
    <s v="Male"/>
    <n v="49"/>
    <x v="3"/>
    <x v="3"/>
    <n v="31000"/>
    <d v="2023-03-13T00:00:00"/>
    <n v="3.6"/>
    <s v="LinkedIn"/>
    <n v="80.3"/>
    <n v="90.8"/>
    <n v="15"/>
    <n v="3"/>
    <s v="Active"/>
    <m/>
    <x v="1"/>
  </r>
  <r>
    <n v="218"/>
    <s v="Employee_218"/>
    <s v="Male"/>
    <n v="30"/>
    <x v="5"/>
    <x v="21"/>
    <n v="64000"/>
    <d v="2022-11-27T00:00:00"/>
    <n v="3.9"/>
    <s v="Campus Recruitment"/>
    <n v="68.400000000000006"/>
    <n v="90"/>
    <n v="15"/>
    <n v="11"/>
    <s v="Active"/>
    <m/>
    <x v="4"/>
  </r>
  <r>
    <n v="219"/>
    <s v="Employee_219"/>
    <s v="Female"/>
    <n v="41"/>
    <x v="1"/>
    <x v="13"/>
    <n v="48000"/>
    <d v="2019-10-03T00:00:00"/>
    <n v="7"/>
    <s v="Naukri"/>
    <n v="59.9"/>
    <n v="96.9"/>
    <n v="5"/>
    <n v="7"/>
    <s v="Active"/>
    <m/>
    <x v="2"/>
  </r>
  <r>
    <n v="220"/>
    <s v="Employee_220"/>
    <s v="Male"/>
    <n v="42"/>
    <x v="4"/>
    <x v="4"/>
    <n v="58000"/>
    <d v="2025-04-12T00:00:00"/>
    <n v="1.5"/>
    <s v="Naukri"/>
    <n v="73.3"/>
    <n v="90.1"/>
    <n v="5"/>
    <n v="5"/>
    <s v="Active"/>
    <m/>
    <x v="4"/>
  </r>
  <r>
    <n v="221"/>
    <s v="Employee_221"/>
    <s v="Male"/>
    <n v="49"/>
    <x v="5"/>
    <x v="21"/>
    <n v="51000"/>
    <d v="2025-08-22T00:00:00"/>
    <n v="1.1000000000000001"/>
    <s v="Campus Recruitment"/>
    <n v="64.2"/>
    <n v="86.9"/>
    <n v="3"/>
    <n v="17"/>
    <s v="Active"/>
    <m/>
    <x v="3"/>
  </r>
  <r>
    <n v="222"/>
    <s v="Employee_222"/>
    <s v="Male"/>
    <n v="50"/>
    <x v="3"/>
    <x v="15"/>
    <n v="45000"/>
    <d v="2020-04-11T00:00:00"/>
    <n v="6.5"/>
    <s v="Employee Referral"/>
    <n v="66.3"/>
    <n v="97.1"/>
    <n v="19"/>
    <n v="12"/>
    <s v="Resigned"/>
    <d v="2024-12-21T00:00:00"/>
    <x v="2"/>
  </r>
  <r>
    <n v="223"/>
    <s v="Employee_223"/>
    <s v="Male"/>
    <n v="43"/>
    <x v="5"/>
    <x v="12"/>
    <n v="60000"/>
    <d v="2022-12-12T00:00:00"/>
    <n v="3.8"/>
    <s v="Campus Recruitment"/>
    <n v="90"/>
    <n v="94.4"/>
    <n v="18"/>
    <n v="2"/>
    <s v="Active"/>
    <m/>
    <x v="3"/>
  </r>
  <r>
    <n v="224"/>
    <s v="Employee_224"/>
    <s v="Male"/>
    <n v="40"/>
    <x v="3"/>
    <x v="3"/>
    <n v="33000"/>
    <d v="2020-04-24T00:00:00"/>
    <n v="6.5"/>
    <s v="Company Website"/>
    <n v="62.9"/>
    <n v="94.1"/>
    <n v="19"/>
    <n v="4"/>
    <s v="Resigned"/>
    <d v="2025-09-04T00:00:00"/>
    <x v="2"/>
  </r>
  <r>
    <n v="225"/>
    <s v="Employee_225"/>
    <s v="Male"/>
    <n v="52"/>
    <x v="5"/>
    <x v="6"/>
    <n v="27000"/>
    <d v="2026-02-16T00:00:00"/>
    <n v="0.6"/>
    <s v="Company Website"/>
    <n v="95"/>
    <n v="85"/>
    <n v="9"/>
    <n v="4"/>
    <s v="Active"/>
    <m/>
    <x v="3"/>
  </r>
  <r>
    <n v="226"/>
    <s v="Employee_226"/>
    <s v="Male"/>
    <n v="43"/>
    <x v="3"/>
    <x v="15"/>
    <n v="39000"/>
    <d v="2019-02-09T00:00:00"/>
    <n v="7.7"/>
    <s v="Campus Recruitment"/>
    <n v="75.8"/>
    <n v="85.4"/>
    <n v="16"/>
    <n v="15"/>
    <s v="Active"/>
    <m/>
    <x v="4"/>
  </r>
  <r>
    <n v="227"/>
    <s v="Employee_227"/>
    <s v="Female"/>
    <n v="49"/>
    <x v="0"/>
    <x v="16"/>
    <n v="52000"/>
    <d v="2024-06-24T00:00:00"/>
    <n v="2.2999999999999998"/>
    <s v="Employee Referral"/>
    <n v="89.2"/>
    <n v="85.9"/>
    <n v="7"/>
    <n v="17"/>
    <s v="Active"/>
    <m/>
    <x v="1"/>
  </r>
  <r>
    <n v="228"/>
    <s v="Employee_228"/>
    <s v="Female"/>
    <n v="56"/>
    <x v="4"/>
    <x v="5"/>
    <n v="52000"/>
    <d v="2024-09-23T00:00:00"/>
    <n v="2"/>
    <s v="Campus Recruitment"/>
    <n v="59.9"/>
    <n v="84"/>
    <n v="24"/>
    <n v="1"/>
    <s v="Resigned"/>
    <d v="2025-09-26T00:00:00"/>
    <x v="4"/>
  </r>
  <r>
    <n v="229"/>
    <s v="Employee_229"/>
    <s v="Female"/>
    <n v="27"/>
    <x v="6"/>
    <x v="19"/>
    <n v="43000"/>
    <d v="2026-05-01T00:00:00"/>
    <n v="0.4"/>
    <s v="LinkedIn"/>
    <n v="98"/>
    <n v="89.9"/>
    <n v="14"/>
    <n v="3"/>
    <s v="Active"/>
    <m/>
    <x v="3"/>
  </r>
  <r>
    <n v="230"/>
    <s v="Employee_230"/>
    <s v="Female"/>
    <n v="48"/>
    <x v="4"/>
    <x v="4"/>
    <n v="34000"/>
    <d v="2020-11-10T00:00:00"/>
    <n v="5.9"/>
    <s v="LinkedIn"/>
    <n v="81.5"/>
    <n v="95.7"/>
    <n v="18"/>
    <n v="11"/>
    <s v="Active"/>
    <m/>
    <x v="2"/>
  </r>
  <r>
    <n v="231"/>
    <s v="Employee_231"/>
    <s v="Male"/>
    <n v="41"/>
    <x v="3"/>
    <x v="7"/>
    <n v="43000"/>
    <d v="2022-04-13T00:00:00"/>
    <n v="4.5"/>
    <s v="Indeed"/>
    <n v="91.9"/>
    <n v="99.2"/>
    <n v="24"/>
    <n v="13"/>
    <s v="Active"/>
    <m/>
    <x v="0"/>
  </r>
  <r>
    <n v="232"/>
    <s v="Employee_232"/>
    <s v="Male"/>
    <n v="29"/>
    <x v="3"/>
    <x v="7"/>
    <n v="52000"/>
    <d v="2021-10-19T00:00:00"/>
    <n v="5"/>
    <s v="Naukri"/>
    <n v="61.3"/>
    <n v="87.6"/>
    <n v="12"/>
    <n v="15"/>
    <s v="Active"/>
    <m/>
    <x v="3"/>
  </r>
  <r>
    <n v="233"/>
    <s v="Employee_233"/>
    <s v="Female"/>
    <n v="47"/>
    <x v="6"/>
    <x v="20"/>
    <n v="30000"/>
    <d v="2023-03-17T00:00:00"/>
    <n v="3.6"/>
    <s v="Naukri"/>
    <n v="92.8"/>
    <n v="83.6"/>
    <n v="11"/>
    <n v="14"/>
    <s v="Resigned"/>
    <d v="2025-12-26T00:00:00"/>
    <x v="4"/>
  </r>
  <r>
    <n v="234"/>
    <s v="Employee_234"/>
    <s v="Male"/>
    <n v="26"/>
    <x v="3"/>
    <x v="7"/>
    <n v="49000"/>
    <d v="2024-02-21T00:00:00"/>
    <n v="2.6"/>
    <s v="Campus Recruitment"/>
    <n v="82.3"/>
    <n v="94.2"/>
    <n v="12"/>
    <n v="6"/>
    <s v="Active"/>
    <m/>
    <x v="4"/>
  </r>
  <r>
    <n v="235"/>
    <s v="Employee_235"/>
    <s v="Female"/>
    <n v="38"/>
    <x v="2"/>
    <x v="2"/>
    <n v="39000"/>
    <d v="2022-08-15T00:00:00"/>
    <n v="4.0999999999999996"/>
    <s v="Employee Referral"/>
    <n v="79.900000000000006"/>
    <n v="91.9"/>
    <n v="21"/>
    <n v="1"/>
    <s v="Active"/>
    <m/>
    <x v="0"/>
  </r>
  <r>
    <n v="236"/>
    <s v="Employee_236"/>
    <s v="Male"/>
    <n v="28"/>
    <x v="1"/>
    <x v="13"/>
    <n v="45000"/>
    <d v="2020-10-09T00:00:00"/>
    <n v="6"/>
    <s v="Indeed"/>
    <n v="74"/>
    <n v="82"/>
    <n v="22"/>
    <n v="4"/>
    <s v="Active"/>
    <m/>
    <x v="1"/>
  </r>
  <r>
    <n v="237"/>
    <s v="Employee_237"/>
    <s v="Male"/>
    <n v="44"/>
    <x v="4"/>
    <x v="5"/>
    <n v="53000"/>
    <d v="2021-10-22T00:00:00"/>
    <n v="5"/>
    <s v="Naukri"/>
    <n v="82.9"/>
    <n v="82.9"/>
    <n v="22"/>
    <n v="7"/>
    <s v="Active"/>
    <m/>
    <x v="4"/>
  </r>
  <r>
    <n v="238"/>
    <s v="Employee_238"/>
    <s v="Male"/>
    <n v="21"/>
    <x v="0"/>
    <x v="0"/>
    <n v="53000"/>
    <d v="2021-05-24T00:00:00"/>
    <n v="5.4"/>
    <s v="Campus Recruitment"/>
    <n v="75.5"/>
    <n v="84.3"/>
    <n v="21"/>
    <n v="14"/>
    <s v="Active"/>
    <m/>
    <x v="0"/>
  </r>
  <r>
    <n v="239"/>
    <s v="Employee_239"/>
    <s v="Male"/>
    <n v="48"/>
    <x v="1"/>
    <x v="18"/>
    <n v="46000"/>
    <d v="2020-06-25T00:00:00"/>
    <n v="6.3"/>
    <s v="Employee Referral"/>
    <n v="58.8"/>
    <n v="96.1"/>
    <n v="11"/>
    <n v="9"/>
    <s v="Active"/>
    <m/>
    <x v="3"/>
  </r>
  <r>
    <n v="240"/>
    <s v="Employee_240"/>
    <s v="Male"/>
    <n v="25"/>
    <x v="5"/>
    <x v="21"/>
    <n v="53000"/>
    <d v="2024-12-12T00:00:00"/>
    <n v="1.8"/>
    <s v="Company Website"/>
    <n v="79.2"/>
    <n v="92.7"/>
    <n v="11"/>
    <n v="6"/>
    <s v="Active"/>
    <m/>
    <x v="3"/>
  </r>
  <r>
    <n v="241"/>
    <s v="Employee_241"/>
    <s v="Female"/>
    <n v="34"/>
    <x v="5"/>
    <x v="12"/>
    <n v="57000"/>
    <d v="2019-12-22T00:00:00"/>
    <n v="6.8"/>
    <s v="Company Website"/>
    <n v="60.3"/>
    <n v="94.8"/>
    <n v="10"/>
    <n v="4"/>
    <s v="Active"/>
    <m/>
    <x v="3"/>
  </r>
  <r>
    <n v="242"/>
    <s v="Employee_242"/>
    <s v="Male"/>
    <n v="36"/>
    <x v="3"/>
    <x v="7"/>
    <n v="41000"/>
    <d v="2025-03-16T00:00:00"/>
    <n v="1.6"/>
    <s v="Naukri"/>
    <n v="80.8"/>
    <n v="94.6"/>
    <n v="0"/>
    <n v="9"/>
    <s v="Active"/>
    <m/>
    <x v="3"/>
  </r>
  <r>
    <n v="243"/>
    <s v="Employee_243"/>
    <s v="Male"/>
    <n v="46"/>
    <x v="6"/>
    <x v="20"/>
    <n v="32000"/>
    <d v="2022-04-25T00:00:00"/>
    <n v="4.5"/>
    <s v="LinkedIn"/>
    <n v="89.1"/>
    <n v="86.2"/>
    <n v="7"/>
    <n v="15"/>
    <s v="Active"/>
    <m/>
    <x v="2"/>
  </r>
  <r>
    <n v="244"/>
    <s v="Employee_244"/>
    <s v="Female"/>
    <n v="41"/>
    <x v="1"/>
    <x v="9"/>
    <n v="38000"/>
    <d v="2020-06-24T00:00:00"/>
    <n v="6.3"/>
    <s v="Employee Referral"/>
    <n v="71.599999999999994"/>
    <n v="96.7"/>
    <n v="17"/>
    <n v="5"/>
    <s v="Active"/>
    <m/>
    <x v="4"/>
  </r>
  <r>
    <n v="245"/>
    <s v="Employee_245"/>
    <s v="Male"/>
    <n v="58"/>
    <x v="2"/>
    <x v="2"/>
    <n v="41000"/>
    <d v="2019-10-04T00:00:00"/>
    <n v="7"/>
    <s v="Campus Recruitment"/>
    <n v="94.7"/>
    <n v="98.6"/>
    <n v="9"/>
    <n v="16"/>
    <s v="Active"/>
    <m/>
    <x v="4"/>
  </r>
  <r>
    <n v="246"/>
    <s v="Employee_246"/>
    <s v="Female"/>
    <n v="26"/>
    <x v="5"/>
    <x v="12"/>
    <n v="52000"/>
    <d v="2026-03-08T00:00:00"/>
    <n v="0.6"/>
    <s v="LinkedIn"/>
    <n v="78.099999999999994"/>
    <n v="92.8"/>
    <n v="9"/>
    <n v="2"/>
    <s v="Active"/>
    <m/>
    <x v="2"/>
  </r>
  <r>
    <n v="247"/>
    <s v="Employee_247"/>
    <s v="Female"/>
    <n v="46"/>
    <x v="4"/>
    <x v="11"/>
    <n v="30000"/>
    <d v="2025-07-30T00:00:00"/>
    <n v="1.2"/>
    <s v="Naukri"/>
    <n v="84.3"/>
    <n v="83.2"/>
    <n v="7"/>
    <n v="1"/>
    <s v="Active"/>
    <m/>
    <x v="3"/>
  </r>
  <r>
    <n v="248"/>
    <s v="Employee_248"/>
    <s v="Male"/>
    <n v="50"/>
    <x v="1"/>
    <x v="13"/>
    <n v="37000"/>
    <d v="2025-11-12T00:00:00"/>
    <n v="0.9"/>
    <s v="LinkedIn"/>
    <n v="81.2"/>
    <n v="87.4"/>
    <n v="0"/>
    <n v="4"/>
    <s v="Active"/>
    <m/>
    <x v="0"/>
  </r>
  <r>
    <n v="249"/>
    <s v="Employee_249"/>
    <s v="Female"/>
    <n v="54"/>
    <x v="4"/>
    <x v="5"/>
    <n v="45000"/>
    <d v="2024-10-19T00:00:00"/>
    <n v="2"/>
    <s v="Naukri"/>
    <n v="62.2"/>
    <n v="84.2"/>
    <n v="3"/>
    <n v="0"/>
    <s v="Active"/>
    <m/>
    <x v="1"/>
  </r>
  <r>
    <n v="250"/>
    <s v="Employee_250"/>
    <s v="Female"/>
    <n v="54"/>
    <x v="2"/>
    <x v="17"/>
    <n v="23000"/>
    <d v="2019-09-19T00:00:00"/>
    <n v="7"/>
    <s v="Company Website"/>
    <n v="66.3"/>
    <n v="99.1"/>
    <n v="14"/>
    <n v="16"/>
    <s v="Active"/>
    <m/>
    <x v="1"/>
  </r>
  <r>
    <n v="251"/>
    <s v="Employee_251"/>
    <s v="Male"/>
    <n v="44"/>
    <x v="1"/>
    <x v="13"/>
    <n v="54000"/>
    <d v="2020-10-06T00:00:00"/>
    <n v="6"/>
    <s v="Naukri"/>
    <n v="79.7"/>
    <n v="94.6"/>
    <n v="16"/>
    <n v="0"/>
    <s v="Active"/>
    <m/>
    <x v="0"/>
  </r>
  <r>
    <n v="252"/>
    <s v="Employee_252"/>
    <s v="Male"/>
    <n v="23"/>
    <x v="2"/>
    <x v="2"/>
    <n v="39000"/>
    <d v="2024-04-16T00:00:00"/>
    <n v="2.5"/>
    <s v="LinkedIn"/>
    <n v="70.7"/>
    <n v="98.1"/>
    <n v="17"/>
    <n v="13"/>
    <s v="Active"/>
    <m/>
    <x v="3"/>
  </r>
  <r>
    <n v="253"/>
    <s v="Employee_253"/>
    <s v="Female"/>
    <n v="41"/>
    <x v="3"/>
    <x v="3"/>
    <n v="50000"/>
    <d v="2022-01-16T00:00:00"/>
    <n v="4.7"/>
    <s v="Indeed"/>
    <n v="60.1"/>
    <n v="93.8"/>
    <n v="7"/>
    <n v="16"/>
    <s v="Active"/>
    <m/>
    <x v="0"/>
  </r>
  <r>
    <n v="254"/>
    <s v="Employee_254"/>
    <s v="Female"/>
    <n v="39"/>
    <x v="5"/>
    <x v="21"/>
    <n v="38000"/>
    <d v="2022-06-26T00:00:00"/>
    <n v="4.3"/>
    <s v="Employee Referral"/>
    <n v="69.099999999999994"/>
    <n v="91.7"/>
    <n v="6"/>
    <n v="9"/>
    <s v="Active"/>
    <m/>
    <x v="2"/>
  </r>
  <r>
    <n v="255"/>
    <s v="Employee_255"/>
    <s v="Male"/>
    <n v="50"/>
    <x v="2"/>
    <x v="17"/>
    <n v="28000"/>
    <d v="2023-02-17T00:00:00"/>
    <n v="3.6"/>
    <s v="Indeed"/>
    <n v="88.2"/>
    <n v="85.4"/>
    <n v="0"/>
    <n v="13"/>
    <s v="Resigned"/>
    <d v="2026-01-28T00:00:00"/>
    <x v="0"/>
  </r>
  <r>
    <n v="256"/>
    <s v="Employee_256"/>
    <s v="Female"/>
    <n v="21"/>
    <x v="4"/>
    <x v="4"/>
    <n v="36000"/>
    <d v="2022-10-04T00:00:00"/>
    <n v="4"/>
    <s v="LinkedIn"/>
    <n v="55.1"/>
    <n v="93.5"/>
    <n v="6"/>
    <n v="16"/>
    <s v="Active"/>
    <m/>
    <x v="3"/>
  </r>
  <r>
    <n v="257"/>
    <s v="Employee_257"/>
    <s v="Male"/>
    <n v="30"/>
    <x v="5"/>
    <x v="6"/>
    <n v="73000"/>
    <d v="2022-02-20T00:00:00"/>
    <n v="4.5999999999999996"/>
    <s v="Company Website"/>
    <n v="93.6"/>
    <n v="91.1"/>
    <n v="23"/>
    <n v="2"/>
    <s v="Active"/>
    <m/>
    <x v="2"/>
  </r>
  <r>
    <n v="258"/>
    <s v="Employee_258"/>
    <s v="Female"/>
    <n v="25"/>
    <x v="1"/>
    <x v="1"/>
    <n v="70000"/>
    <d v="2025-08-21T00:00:00"/>
    <n v="1.1000000000000001"/>
    <s v="Indeed"/>
    <n v="79.400000000000006"/>
    <n v="89.6"/>
    <n v="9"/>
    <n v="8"/>
    <s v="Active"/>
    <m/>
    <x v="1"/>
  </r>
  <r>
    <n v="259"/>
    <s v="Employee_259"/>
    <s v="Female"/>
    <n v="41"/>
    <x v="2"/>
    <x v="17"/>
    <n v="35000"/>
    <d v="2024-01-29T00:00:00"/>
    <n v="2.7"/>
    <s v="Indeed"/>
    <n v="63.7"/>
    <n v="95.6"/>
    <n v="3"/>
    <n v="5"/>
    <s v="Resigned"/>
    <d v="2026-06-17T00:00:00"/>
    <x v="4"/>
  </r>
  <r>
    <n v="260"/>
    <s v="Employee_260"/>
    <s v="Female"/>
    <n v="28"/>
    <x v="5"/>
    <x v="6"/>
    <n v="56000"/>
    <d v="2025-01-04T00:00:00"/>
    <n v="1.8"/>
    <s v="Employee Referral"/>
    <n v="70.400000000000006"/>
    <n v="95.5"/>
    <n v="14"/>
    <n v="8"/>
    <s v="Active"/>
    <m/>
    <x v="0"/>
  </r>
  <r>
    <n v="261"/>
    <s v="Employee_261"/>
    <s v="Female"/>
    <n v="23"/>
    <x v="1"/>
    <x v="1"/>
    <n v="60000"/>
    <d v="2021-05-30T00:00:00"/>
    <n v="5.4"/>
    <s v="Company Website"/>
    <n v="58.9"/>
    <n v="86.3"/>
    <n v="16"/>
    <n v="1"/>
    <s v="Active"/>
    <m/>
    <x v="1"/>
  </r>
  <r>
    <n v="262"/>
    <s v="Employee_262"/>
    <s v="Male"/>
    <n v="46"/>
    <x v="3"/>
    <x v="3"/>
    <n v="37000"/>
    <d v="2024-01-27T00:00:00"/>
    <n v="2.7"/>
    <s v="Company Website"/>
    <n v="78.900000000000006"/>
    <n v="91.6"/>
    <n v="3"/>
    <n v="4"/>
    <s v="Active"/>
    <m/>
    <x v="0"/>
  </r>
  <r>
    <n v="263"/>
    <s v="Employee_263"/>
    <s v="Male"/>
    <n v="29"/>
    <x v="1"/>
    <x v="9"/>
    <n v="60000"/>
    <d v="2021-03-22T00:00:00"/>
    <n v="5.5"/>
    <s v="Employee Referral"/>
    <n v="82.1"/>
    <n v="93.3"/>
    <n v="2"/>
    <n v="0"/>
    <s v="Resigned"/>
    <d v="2025-02-13T00:00:00"/>
    <x v="0"/>
  </r>
  <r>
    <n v="264"/>
    <s v="Employee_264"/>
    <s v="Female"/>
    <n v="29"/>
    <x v="4"/>
    <x v="4"/>
    <n v="34000"/>
    <d v="2020-01-12T00:00:00"/>
    <n v="6.7"/>
    <s v="LinkedIn"/>
    <n v="93.9"/>
    <n v="96.5"/>
    <n v="1"/>
    <n v="14"/>
    <s v="Active"/>
    <m/>
    <x v="0"/>
  </r>
  <r>
    <n v="265"/>
    <s v="Employee_265"/>
    <s v="Female"/>
    <n v="46"/>
    <x v="4"/>
    <x v="4"/>
    <n v="55000"/>
    <d v="2024-07-25T00:00:00"/>
    <n v="2.2000000000000002"/>
    <s v="Employee Referral"/>
    <n v="62.4"/>
    <n v="85.8"/>
    <n v="8"/>
    <n v="14"/>
    <s v="Active"/>
    <m/>
    <x v="3"/>
  </r>
  <r>
    <n v="266"/>
    <s v="Employee_266"/>
    <s v="Female"/>
    <n v="52"/>
    <x v="1"/>
    <x v="1"/>
    <n v="58000"/>
    <d v="2023-08-15T00:00:00"/>
    <n v="3.1"/>
    <s v="Employee Referral"/>
    <n v="93"/>
    <n v="90.4"/>
    <n v="12"/>
    <n v="4"/>
    <s v="Active"/>
    <m/>
    <x v="4"/>
  </r>
  <r>
    <n v="267"/>
    <s v="Employee_267"/>
    <s v="Male"/>
    <n v="55"/>
    <x v="4"/>
    <x v="4"/>
    <n v="58000"/>
    <d v="2019-03-21T00:00:00"/>
    <n v="7.5"/>
    <s v="Employee Referral"/>
    <n v="70.400000000000006"/>
    <n v="91.5"/>
    <n v="18"/>
    <n v="16"/>
    <s v="Active"/>
    <m/>
    <x v="1"/>
  </r>
  <r>
    <n v="268"/>
    <s v="Employee_268"/>
    <s v="Male"/>
    <n v="22"/>
    <x v="5"/>
    <x v="6"/>
    <n v="50000"/>
    <d v="2022-07-30T00:00:00"/>
    <n v="4.2"/>
    <s v="LinkedIn"/>
    <n v="80.7"/>
    <n v="82.5"/>
    <n v="15"/>
    <n v="16"/>
    <s v="Active"/>
    <m/>
    <x v="1"/>
  </r>
  <r>
    <n v="269"/>
    <s v="Employee_269"/>
    <s v="Male"/>
    <n v="31"/>
    <x v="2"/>
    <x v="10"/>
    <n v="36000"/>
    <d v="2020-02-15T00:00:00"/>
    <n v="6.6"/>
    <s v="Indeed"/>
    <n v="77.900000000000006"/>
    <n v="95.8"/>
    <n v="18"/>
    <n v="12"/>
    <s v="Active"/>
    <m/>
    <x v="1"/>
  </r>
  <r>
    <n v="270"/>
    <s v="Employee_270"/>
    <s v="Male"/>
    <n v="36"/>
    <x v="2"/>
    <x v="2"/>
    <n v="41000"/>
    <d v="2025-08-23T00:00:00"/>
    <n v="1.1000000000000001"/>
    <s v="Campus Recruitment"/>
    <n v="68.7"/>
    <n v="94.9"/>
    <n v="0"/>
    <n v="11"/>
    <s v="Active"/>
    <m/>
    <x v="2"/>
  </r>
  <r>
    <n v="271"/>
    <s v="Employee_271"/>
    <s v="Male"/>
    <n v="52"/>
    <x v="6"/>
    <x v="19"/>
    <n v="39000"/>
    <d v="2025-01-29T00:00:00"/>
    <n v="1.7"/>
    <s v="LinkedIn"/>
    <n v="58.9"/>
    <n v="86.1"/>
    <n v="16"/>
    <n v="15"/>
    <s v="Active"/>
    <m/>
    <x v="0"/>
  </r>
  <r>
    <n v="272"/>
    <s v="Employee_272"/>
    <s v="Male"/>
    <n v="29"/>
    <x v="3"/>
    <x v="7"/>
    <n v="55000"/>
    <d v="2022-10-27T00:00:00"/>
    <n v="3.9"/>
    <s v="LinkedIn"/>
    <n v="85.8"/>
    <n v="98.1"/>
    <n v="0"/>
    <n v="4"/>
    <s v="Active"/>
    <m/>
    <x v="2"/>
  </r>
  <r>
    <n v="273"/>
    <s v="Employee_273"/>
    <s v="Male"/>
    <n v="54"/>
    <x v="0"/>
    <x v="0"/>
    <n v="55000"/>
    <d v="2023-02-03T00:00:00"/>
    <n v="3.7"/>
    <s v="Employee Referral"/>
    <n v="95.5"/>
    <n v="88.9"/>
    <n v="9"/>
    <n v="10"/>
    <s v="Active"/>
    <m/>
    <x v="3"/>
  </r>
  <r>
    <n v="274"/>
    <s v="Employee_274"/>
    <s v="Female"/>
    <n v="52"/>
    <x v="4"/>
    <x v="4"/>
    <n v="39000"/>
    <d v="2026-04-13T00:00:00"/>
    <n v="0.5"/>
    <s v="Naukri"/>
    <n v="68.599999999999994"/>
    <n v="94.4"/>
    <n v="19"/>
    <n v="11"/>
    <s v="Active"/>
    <m/>
    <x v="3"/>
  </r>
  <r>
    <n v="275"/>
    <s v="Employee_275"/>
    <s v="Male"/>
    <n v="45"/>
    <x v="0"/>
    <x v="8"/>
    <n v="45000"/>
    <d v="2022-06-10T00:00:00"/>
    <n v="4.3"/>
    <s v="Campus Recruitment"/>
    <n v="62.6"/>
    <n v="82"/>
    <n v="1"/>
    <n v="5"/>
    <s v="Resigned"/>
    <d v="2025-09-01T00:00:00"/>
    <x v="2"/>
  </r>
  <r>
    <n v="276"/>
    <s v="Employee_276"/>
    <s v="Male"/>
    <n v="57"/>
    <x v="3"/>
    <x v="7"/>
    <n v="36000"/>
    <d v="2020-03-02T00:00:00"/>
    <n v="6.6"/>
    <s v="Indeed"/>
    <n v="95.3"/>
    <n v="84.5"/>
    <n v="11"/>
    <n v="10"/>
    <s v="Active"/>
    <m/>
    <x v="3"/>
  </r>
  <r>
    <n v="277"/>
    <s v="Employee_277"/>
    <s v="Female"/>
    <n v="49"/>
    <x v="0"/>
    <x v="0"/>
    <n v="45000"/>
    <d v="2019-02-16T00:00:00"/>
    <n v="7.6"/>
    <s v="Naukri"/>
    <n v="57.9"/>
    <n v="86.5"/>
    <n v="0"/>
    <n v="1"/>
    <s v="Active"/>
    <m/>
    <x v="4"/>
  </r>
  <r>
    <n v="278"/>
    <s v="Employee_278"/>
    <s v="Female"/>
    <n v="31"/>
    <x v="5"/>
    <x v="12"/>
    <n v="60000"/>
    <d v="2023-08-23T00:00:00"/>
    <n v="3.1"/>
    <s v="LinkedIn"/>
    <n v="76.2"/>
    <n v="88.6"/>
    <n v="15"/>
    <n v="18"/>
    <s v="Resigned"/>
    <d v="2025-09-17T00:00:00"/>
    <x v="3"/>
  </r>
  <r>
    <n v="279"/>
    <s v="Employee_279"/>
    <s v="Male"/>
    <n v="23"/>
    <x v="4"/>
    <x v="5"/>
    <n v="49000"/>
    <d v="2022-04-22T00:00:00"/>
    <n v="4.5"/>
    <s v="Indeed"/>
    <n v="59.5"/>
    <n v="88"/>
    <n v="23"/>
    <n v="2"/>
    <s v="Active"/>
    <m/>
    <x v="2"/>
  </r>
  <r>
    <n v="280"/>
    <s v="Employee_280"/>
    <s v="Female"/>
    <n v="22"/>
    <x v="1"/>
    <x v="18"/>
    <n v="56000"/>
    <d v="2023-11-02T00:00:00"/>
    <n v="2.9"/>
    <s v="Indeed"/>
    <n v="95.5"/>
    <n v="84.9"/>
    <n v="1"/>
    <n v="3"/>
    <s v="Active"/>
    <m/>
    <x v="1"/>
  </r>
  <r>
    <n v="281"/>
    <s v="Employee_281"/>
    <s v="Female"/>
    <n v="56"/>
    <x v="4"/>
    <x v="11"/>
    <n v="41000"/>
    <d v="2025-01-21T00:00:00"/>
    <n v="1.7"/>
    <s v="Company Website"/>
    <n v="65.2"/>
    <n v="82.9"/>
    <n v="4"/>
    <n v="1"/>
    <s v="Resigned"/>
    <d v="2025-03-23T00:00:00"/>
    <x v="1"/>
  </r>
  <r>
    <n v="282"/>
    <s v="Employee_282"/>
    <s v="Male"/>
    <n v="39"/>
    <x v="1"/>
    <x v="13"/>
    <n v="64000"/>
    <d v="2026-06-04T00:00:00"/>
    <n v="0.3"/>
    <s v="LinkedIn"/>
    <n v="81.900000000000006"/>
    <n v="90.4"/>
    <n v="6"/>
    <n v="5"/>
    <s v="Active"/>
    <m/>
    <x v="1"/>
  </r>
  <r>
    <n v="283"/>
    <s v="Employee_283"/>
    <s v="Male"/>
    <n v="40"/>
    <x v="1"/>
    <x v="13"/>
    <n v="29000"/>
    <d v="2023-06-17T00:00:00"/>
    <n v="3.3"/>
    <s v="Indeed"/>
    <n v="66.400000000000006"/>
    <n v="93.2"/>
    <n v="11"/>
    <n v="12"/>
    <s v="Active"/>
    <m/>
    <x v="1"/>
  </r>
  <r>
    <n v="284"/>
    <s v="Employee_284"/>
    <s v="Male"/>
    <n v="37"/>
    <x v="4"/>
    <x v="5"/>
    <n v="45000"/>
    <d v="2023-12-07T00:00:00"/>
    <n v="2.8"/>
    <s v="Campus Recruitment"/>
    <n v="75"/>
    <n v="86"/>
    <n v="1"/>
    <n v="4"/>
    <s v="Active"/>
    <m/>
    <x v="0"/>
  </r>
  <r>
    <n v="285"/>
    <s v="Employee_285"/>
    <s v="Female"/>
    <n v="58"/>
    <x v="1"/>
    <x v="18"/>
    <n v="33000"/>
    <d v="2021-07-20T00:00:00"/>
    <n v="5.2"/>
    <s v="Campus Recruitment"/>
    <n v="90.2"/>
    <n v="89.3"/>
    <n v="7"/>
    <n v="15"/>
    <s v="Resigned"/>
    <d v="2025-06-07T00:00:00"/>
    <x v="1"/>
  </r>
  <r>
    <n v="286"/>
    <s v="Employee_286"/>
    <s v="Male"/>
    <n v="53"/>
    <x v="1"/>
    <x v="13"/>
    <n v="47000"/>
    <d v="2025-05-28T00:00:00"/>
    <n v="1.4"/>
    <s v="LinkedIn"/>
    <n v="93.7"/>
    <n v="96"/>
    <n v="24"/>
    <n v="14"/>
    <s v="Resigned"/>
    <d v="2026-05-09T00:00:00"/>
    <x v="3"/>
  </r>
  <r>
    <n v="287"/>
    <s v="Employee_287"/>
    <s v="Male"/>
    <n v="29"/>
    <x v="4"/>
    <x v="11"/>
    <n v="18000"/>
    <d v="2019-06-24T00:00:00"/>
    <n v="7.3"/>
    <s v="Campus Recruitment"/>
    <n v="73.7"/>
    <n v="99.5"/>
    <n v="8"/>
    <n v="10"/>
    <s v="Active"/>
    <m/>
    <x v="0"/>
  </r>
  <r>
    <n v="288"/>
    <s v="Employee_288"/>
    <s v="Female"/>
    <n v="56"/>
    <x v="1"/>
    <x v="13"/>
    <n v="71000"/>
    <d v="2022-08-28T00:00:00"/>
    <n v="4.0999999999999996"/>
    <s v="Naukri"/>
    <n v="91.8"/>
    <n v="91.1"/>
    <n v="19"/>
    <n v="18"/>
    <s v="Active"/>
    <m/>
    <x v="2"/>
  </r>
  <r>
    <n v="289"/>
    <s v="Employee_289"/>
    <s v="Male"/>
    <n v="47"/>
    <x v="2"/>
    <x v="17"/>
    <n v="42000"/>
    <d v="2020-09-04T00:00:00"/>
    <n v="6.1"/>
    <s v="Campus Recruitment"/>
    <n v="87.6"/>
    <n v="98.4"/>
    <n v="24"/>
    <n v="3"/>
    <s v="Active"/>
    <m/>
    <x v="1"/>
  </r>
  <r>
    <n v="290"/>
    <s v="Employee_290"/>
    <s v="Female"/>
    <n v="47"/>
    <x v="2"/>
    <x v="10"/>
    <n v="44000"/>
    <d v="2021-12-17T00:00:00"/>
    <n v="4.8"/>
    <s v="LinkedIn"/>
    <n v="71.5"/>
    <n v="90.5"/>
    <n v="5"/>
    <n v="8"/>
    <s v="Resigned"/>
    <d v="2025-06-09T00:00:00"/>
    <x v="4"/>
  </r>
  <r>
    <n v="291"/>
    <s v="Employee_291"/>
    <s v="Female"/>
    <n v="23"/>
    <x v="4"/>
    <x v="4"/>
    <n v="48000"/>
    <d v="2023-06-10T00:00:00"/>
    <n v="3.3"/>
    <s v="Employee Referral"/>
    <n v="65.2"/>
    <n v="95.1"/>
    <n v="0"/>
    <n v="10"/>
    <s v="Active"/>
    <m/>
    <x v="1"/>
  </r>
  <r>
    <n v="292"/>
    <s v="Employee_292"/>
    <s v="Female"/>
    <n v="27"/>
    <x v="3"/>
    <x v="15"/>
    <n v="39000"/>
    <d v="2021-07-22T00:00:00"/>
    <n v="5.2"/>
    <s v="Employee Referral"/>
    <n v="60.8"/>
    <n v="99"/>
    <n v="8"/>
    <n v="13"/>
    <s v="Active"/>
    <m/>
    <x v="2"/>
  </r>
  <r>
    <n v="293"/>
    <s v="Employee_293"/>
    <s v="Male"/>
    <n v="49"/>
    <x v="0"/>
    <x v="0"/>
    <n v="54000"/>
    <d v="2021-05-15T00:00:00"/>
    <n v="5.4"/>
    <s v="LinkedIn"/>
    <n v="75.8"/>
    <n v="91"/>
    <n v="16"/>
    <n v="5"/>
    <s v="Active"/>
    <m/>
    <x v="0"/>
  </r>
  <r>
    <n v="294"/>
    <s v="Employee_294"/>
    <s v="Female"/>
    <n v="29"/>
    <x v="3"/>
    <x v="7"/>
    <n v="39000"/>
    <d v="2024-11-17T00:00:00"/>
    <n v="1.9"/>
    <s v="Indeed"/>
    <n v="92.8"/>
    <n v="82.5"/>
    <n v="1"/>
    <n v="7"/>
    <s v="Active"/>
    <m/>
    <x v="0"/>
  </r>
  <r>
    <n v="295"/>
    <s v="Employee_295"/>
    <s v="Female"/>
    <n v="33"/>
    <x v="5"/>
    <x v="21"/>
    <n v="43000"/>
    <d v="2022-01-27T00:00:00"/>
    <n v="4.7"/>
    <s v="Indeed"/>
    <n v="72.099999999999994"/>
    <n v="98.2"/>
    <n v="11"/>
    <n v="15"/>
    <s v="Active"/>
    <m/>
    <x v="2"/>
  </r>
  <r>
    <n v="296"/>
    <s v="Employee_296"/>
    <s v="Female"/>
    <n v="58"/>
    <x v="5"/>
    <x v="21"/>
    <n v="61000"/>
    <d v="2025-03-08T00:00:00"/>
    <n v="1.6"/>
    <s v="Naukri"/>
    <n v="70"/>
    <n v="84.9"/>
    <n v="22"/>
    <n v="2"/>
    <s v="Active"/>
    <m/>
    <x v="1"/>
  </r>
  <r>
    <n v="297"/>
    <s v="Employee_297"/>
    <s v="Male"/>
    <n v="31"/>
    <x v="1"/>
    <x v="13"/>
    <n v="56000"/>
    <d v="2025-06-01T00:00:00"/>
    <n v="1.3"/>
    <s v="Employee Referral"/>
    <n v="64.5"/>
    <n v="85.9"/>
    <n v="20"/>
    <n v="13"/>
    <s v="Active"/>
    <m/>
    <x v="2"/>
  </r>
  <r>
    <n v="298"/>
    <s v="Employee_298"/>
    <s v="Female"/>
    <n v="29"/>
    <x v="1"/>
    <x v="9"/>
    <n v="46000"/>
    <d v="2026-04-05T00:00:00"/>
    <n v="0.5"/>
    <s v="Employee Referral"/>
    <n v="62.4"/>
    <n v="96"/>
    <n v="19"/>
    <n v="9"/>
    <s v="Active"/>
    <m/>
    <x v="1"/>
  </r>
  <r>
    <n v="299"/>
    <s v="Employee_299"/>
    <s v="Female"/>
    <n v="50"/>
    <x v="5"/>
    <x v="6"/>
    <n v="53000"/>
    <d v="2021-10-29T00:00:00"/>
    <n v="4.9000000000000004"/>
    <s v="LinkedIn"/>
    <n v="77.400000000000006"/>
    <n v="92.9"/>
    <n v="16"/>
    <n v="11"/>
    <s v="Resigned"/>
    <d v="2026-06-24T00:00:00"/>
    <x v="2"/>
  </r>
  <r>
    <n v="300"/>
    <s v="Employee_300"/>
    <s v="Female"/>
    <n v="40"/>
    <x v="0"/>
    <x v="8"/>
    <n v="54000"/>
    <d v="2026-09-04T00:00:00"/>
    <n v="0.1"/>
    <s v="Naukri"/>
    <n v="59.6"/>
    <n v="83.1"/>
    <n v="10"/>
    <n v="8"/>
    <s v="Active"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n v="1"/>
    <n v="1"/>
    <x v="0"/>
    <x v="0"/>
    <n v="4"/>
    <x v="0"/>
  </r>
  <r>
    <n v="2"/>
    <n v="1"/>
    <x v="1"/>
    <x v="1"/>
    <n v="3"/>
    <x v="0"/>
  </r>
  <r>
    <n v="3"/>
    <n v="1"/>
    <x v="2"/>
    <x v="2"/>
    <n v="2"/>
    <x v="0"/>
  </r>
  <r>
    <n v="4"/>
    <n v="1"/>
    <x v="3"/>
    <x v="3"/>
    <n v="1"/>
    <x v="0"/>
  </r>
  <r>
    <n v="5"/>
    <n v="2"/>
    <x v="4"/>
    <x v="2"/>
    <n v="2"/>
    <x v="1"/>
  </r>
  <r>
    <n v="6"/>
    <n v="2"/>
    <x v="5"/>
    <x v="3"/>
    <n v="2"/>
    <x v="0"/>
  </r>
  <r>
    <n v="7"/>
    <n v="2"/>
    <x v="6"/>
    <x v="1"/>
    <n v="3"/>
    <x v="0"/>
  </r>
  <r>
    <n v="8"/>
    <n v="2"/>
    <x v="7"/>
    <x v="2"/>
    <n v="4"/>
    <x v="0"/>
  </r>
  <r>
    <n v="9"/>
    <n v="3"/>
    <x v="8"/>
    <x v="2"/>
    <n v="1"/>
    <x v="0"/>
  </r>
  <r>
    <n v="10"/>
    <n v="3"/>
    <x v="9"/>
    <x v="1"/>
    <n v="1"/>
    <x v="0"/>
  </r>
  <r>
    <n v="11"/>
    <n v="3"/>
    <x v="10"/>
    <x v="0"/>
    <n v="3"/>
    <x v="0"/>
  </r>
  <r>
    <n v="12"/>
    <n v="4"/>
    <x v="11"/>
    <x v="0"/>
    <n v="2"/>
    <x v="0"/>
  </r>
  <r>
    <n v="13"/>
    <n v="4"/>
    <x v="12"/>
    <x v="0"/>
    <n v="2"/>
    <x v="0"/>
  </r>
  <r>
    <n v="14"/>
    <n v="4"/>
    <x v="13"/>
    <x v="0"/>
    <n v="1"/>
    <x v="2"/>
  </r>
  <r>
    <n v="15"/>
    <n v="5"/>
    <x v="2"/>
    <x v="1"/>
    <n v="2"/>
    <x v="1"/>
  </r>
  <r>
    <n v="16"/>
    <n v="5"/>
    <x v="14"/>
    <x v="1"/>
    <n v="4"/>
    <x v="0"/>
  </r>
  <r>
    <n v="17"/>
    <n v="5"/>
    <x v="15"/>
    <x v="2"/>
    <n v="3"/>
    <x v="1"/>
  </r>
  <r>
    <n v="18"/>
    <n v="6"/>
    <x v="16"/>
    <x v="0"/>
    <n v="3"/>
    <x v="2"/>
  </r>
  <r>
    <n v="19"/>
    <n v="6"/>
    <x v="17"/>
    <x v="3"/>
    <n v="2"/>
    <x v="0"/>
  </r>
  <r>
    <n v="20"/>
    <n v="7"/>
    <x v="18"/>
    <x v="0"/>
    <n v="1"/>
    <x v="2"/>
  </r>
  <r>
    <n v="21"/>
    <n v="8"/>
    <x v="19"/>
    <x v="2"/>
    <n v="1"/>
    <x v="2"/>
  </r>
  <r>
    <n v="22"/>
    <n v="8"/>
    <x v="20"/>
    <x v="2"/>
    <n v="2"/>
    <x v="1"/>
  </r>
  <r>
    <n v="23"/>
    <n v="8"/>
    <x v="21"/>
    <x v="3"/>
    <n v="4"/>
    <x v="2"/>
  </r>
  <r>
    <n v="24"/>
    <n v="9"/>
    <x v="0"/>
    <x v="1"/>
    <n v="1"/>
    <x v="0"/>
  </r>
  <r>
    <n v="25"/>
    <n v="9"/>
    <x v="22"/>
    <x v="1"/>
    <n v="1"/>
    <x v="0"/>
  </r>
  <r>
    <n v="26"/>
    <n v="9"/>
    <x v="23"/>
    <x v="0"/>
    <n v="1"/>
    <x v="0"/>
  </r>
  <r>
    <n v="27"/>
    <n v="11"/>
    <x v="24"/>
    <x v="2"/>
    <n v="1"/>
    <x v="2"/>
  </r>
  <r>
    <n v="28"/>
    <n v="11"/>
    <x v="25"/>
    <x v="1"/>
    <n v="2"/>
    <x v="1"/>
  </r>
  <r>
    <n v="29"/>
    <n v="12"/>
    <x v="26"/>
    <x v="1"/>
    <n v="3"/>
    <x v="2"/>
  </r>
  <r>
    <n v="30"/>
    <n v="13"/>
    <x v="27"/>
    <x v="0"/>
    <n v="4"/>
    <x v="0"/>
  </r>
  <r>
    <n v="31"/>
    <n v="13"/>
    <x v="28"/>
    <x v="2"/>
    <n v="1"/>
    <x v="2"/>
  </r>
  <r>
    <n v="32"/>
    <n v="15"/>
    <x v="29"/>
    <x v="3"/>
    <n v="1"/>
    <x v="2"/>
  </r>
  <r>
    <n v="33"/>
    <n v="15"/>
    <x v="30"/>
    <x v="1"/>
    <n v="2"/>
    <x v="0"/>
  </r>
  <r>
    <n v="34"/>
    <n v="16"/>
    <x v="31"/>
    <x v="0"/>
    <n v="2"/>
    <x v="0"/>
  </r>
  <r>
    <n v="35"/>
    <n v="17"/>
    <x v="32"/>
    <x v="2"/>
    <n v="1"/>
    <x v="0"/>
  </r>
  <r>
    <n v="36"/>
    <n v="17"/>
    <x v="33"/>
    <x v="1"/>
    <n v="4"/>
    <x v="1"/>
  </r>
  <r>
    <n v="37"/>
    <n v="17"/>
    <x v="34"/>
    <x v="1"/>
    <n v="2"/>
    <x v="0"/>
  </r>
  <r>
    <n v="38"/>
    <n v="18"/>
    <x v="35"/>
    <x v="2"/>
    <n v="3"/>
    <x v="0"/>
  </r>
  <r>
    <n v="39"/>
    <n v="19"/>
    <x v="36"/>
    <x v="1"/>
    <n v="1"/>
    <x v="0"/>
  </r>
  <r>
    <n v="40"/>
    <n v="19"/>
    <x v="37"/>
    <x v="1"/>
    <n v="2"/>
    <x v="0"/>
  </r>
  <r>
    <n v="41"/>
    <n v="19"/>
    <x v="38"/>
    <x v="3"/>
    <n v="3"/>
    <x v="1"/>
  </r>
  <r>
    <n v="42"/>
    <n v="21"/>
    <x v="39"/>
    <x v="3"/>
    <n v="1"/>
    <x v="2"/>
  </r>
  <r>
    <n v="43"/>
    <n v="21"/>
    <x v="40"/>
    <x v="2"/>
    <n v="1"/>
    <x v="0"/>
  </r>
  <r>
    <n v="44"/>
    <n v="21"/>
    <x v="41"/>
    <x v="3"/>
    <n v="1"/>
    <x v="0"/>
  </r>
  <r>
    <n v="45"/>
    <n v="21"/>
    <x v="42"/>
    <x v="2"/>
    <n v="1"/>
    <x v="2"/>
  </r>
  <r>
    <n v="46"/>
    <n v="22"/>
    <x v="43"/>
    <x v="3"/>
    <n v="2"/>
    <x v="0"/>
  </r>
  <r>
    <n v="47"/>
    <n v="22"/>
    <x v="44"/>
    <x v="1"/>
    <n v="2"/>
    <x v="2"/>
  </r>
  <r>
    <n v="48"/>
    <n v="22"/>
    <x v="45"/>
    <x v="2"/>
    <n v="1"/>
    <x v="0"/>
  </r>
  <r>
    <n v="49"/>
    <n v="22"/>
    <x v="31"/>
    <x v="2"/>
    <n v="2"/>
    <x v="1"/>
  </r>
  <r>
    <n v="50"/>
    <n v="23"/>
    <x v="46"/>
    <x v="0"/>
    <n v="4"/>
    <x v="0"/>
  </r>
  <r>
    <n v="51"/>
    <n v="24"/>
    <x v="47"/>
    <x v="3"/>
    <n v="3"/>
    <x v="0"/>
  </r>
  <r>
    <n v="52"/>
    <n v="24"/>
    <x v="48"/>
    <x v="2"/>
    <n v="2"/>
    <x v="2"/>
  </r>
  <r>
    <n v="53"/>
    <n v="24"/>
    <x v="49"/>
    <x v="0"/>
    <n v="1"/>
    <x v="1"/>
  </r>
  <r>
    <n v="54"/>
    <n v="24"/>
    <x v="50"/>
    <x v="0"/>
    <n v="3"/>
    <x v="1"/>
  </r>
  <r>
    <n v="55"/>
    <n v="25"/>
    <x v="51"/>
    <x v="1"/>
    <n v="1"/>
    <x v="2"/>
  </r>
  <r>
    <n v="56"/>
    <n v="25"/>
    <x v="52"/>
    <x v="2"/>
    <n v="2"/>
    <x v="0"/>
  </r>
  <r>
    <n v="57"/>
    <n v="25"/>
    <x v="53"/>
    <x v="0"/>
    <n v="4"/>
    <x v="0"/>
  </r>
  <r>
    <n v="58"/>
    <n v="25"/>
    <x v="33"/>
    <x v="3"/>
    <n v="3"/>
    <x v="0"/>
  </r>
  <r>
    <n v="59"/>
    <n v="26"/>
    <x v="54"/>
    <x v="3"/>
    <n v="1"/>
    <x v="0"/>
  </r>
  <r>
    <n v="60"/>
    <n v="26"/>
    <x v="55"/>
    <x v="1"/>
    <n v="2"/>
    <x v="0"/>
  </r>
  <r>
    <n v="61"/>
    <n v="26"/>
    <x v="56"/>
    <x v="0"/>
    <n v="4"/>
    <x v="0"/>
  </r>
  <r>
    <n v="62"/>
    <n v="27"/>
    <x v="57"/>
    <x v="1"/>
    <n v="4"/>
    <x v="1"/>
  </r>
  <r>
    <n v="63"/>
    <n v="27"/>
    <x v="58"/>
    <x v="3"/>
    <n v="4"/>
    <x v="0"/>
  </r>
  <r>
    <n v="64"/>
    <n v="28"/>
    <x v="8"/>
    <x v="2"/>
    <n v="4"/>
    <x v="2"/>
  </r>
  <r>
    <n v="65"/>
    <n v="28"/>
    <x v="51"/>
    <x v="2"/>
    <n v="4"/>
    <x v="0"/>
  </r>
  <r>
    <n v="66"/>
    <n v="28"/>
    <x v="59"/>
    <x v="3"/>
    <n v="1"/>
    <x v="0"/>
  </r>
  <r>
    <n v="67"/>
    <n v="30"/>
    <x v="29"/>
    <x v="0"/>
    <n v="3"/>
    <x v="0"/>
  </r>
  <r>
    <n v="68"/>
    <n v="30"/>
    <x v="60"/>
    <x v="3"/>
    <n v="1"/>
    <x v="0"/>
  </r>
  <r>
    <n v="69"/>
    <n v="31"/>
    <x v="61"/>
    <x v="2"/>
    <n v="1"/>
    <x v="1"/>
  </r>
  <r>
    <n v="70"/>
    <n v="31"/>
    <x v="62"/>
    <x v="0"/>
    <n v="3"/>
    <x v="0"/>
  </r>
  <r>
    <n v="71"/>
    <n v="31"/>
    <x v="63"/>
    <x v="3"/>
    <n v="4"/>
    <x v="0"/>
  </r>
  <r>
    <n v="72"/>
    <n v="32"/>
    <x v="64"/>
    <x v="2"/>
    <n v="1"/>
    <x v="0"/>
  </r>
  <r>
    <n v="73"/>
    <n v="33"/>
    <x v="65"/>
    <x v="3"/>
    <n v="1"/>
    <x v="1"/>
  </r>
  <r>
    <n v="74"/>
    <n v="33"/>
    <x v="65"/>
    <x v="3"/>
    <n v="3"/>
    <x v="0"/>
  </r>
  <r>
    <n v="75"/>
    <n v="33"/>
    <x v="66"/>
    <x v="2"/>
    <n v="2"/>
    <x v="1"/>
  </r>
  <r>
    <n v="76"/>
    <n v="34"/>
    <x v="67"/>
    <x v="1"/>
    <n v="1"/>
    <x v="0"/>
  </r>
  <r>
    <n v="77"/>
    <n v="35"/>
    <x v="68"/>
    <x v="0"/>
    <n v="3"/>
    <x v="1"/>
  </r>
  <r>
    <n v="78"/>
    <n v="36"/>
    <x v="69"/>
    <x v="2"/>
    <n v="2"/>
    <x v="0"/>
  </r>
  <r>
    <n v="79"/>
    <n v="36"/>
    <x v="70"/>
    <x v="3"/>
    <n v="4"/>
    <x v="1"/>
  </r>
  <r>
    <n v="80"/>
    <n v="36"/>
    <x v="58"/>
    <x v="2"/>
    <n v="2"/>
    <x v="1"/>
  </r>
  <r>
    <n v="81"/>
    <n v="36"/>
    <x v="36"/>
    <x v="3"/>
    <n v="4"/>
    <x v="0"/>
  </r>
  <r>
    <n v="82"/>
    <n v="37"/>
    <x v="71"/>
    <x v="0"/>
    <n v="1"/>
    <x v="0"/>
  </r>
  <r>
    <n v="83"/>
    <n v="37"/>
    <x v="72"/>
    <x v="0"/>
    <n v="4"/>
    <x v="0"/>
  </r>
  <r>
    <n v="84"/>
    <n v="37"/>
    <x v="73"/>
    <x v="2"/>
    <n v="2"/>
    <x v="0"/>
  </r>
  <r>
    <n v="85"/>
    <n v="38"/>
    <x v="74"/>
    <x v="2"/>
    <n v="3"/>
    <x v="2"/>
  </r>
  <r>
    <n v="86"/>
    <n v="38"/>
    <x v="37"/>
    <x v="3"/>
    <n v="1"/>
    <x v="1"/>
  </r>
  <r>
    <n v="87"/>
    <n v="38"/>
    <x v="75"/>
    <x v="3"/>
    <n v="4"/>
    <x v="0"/>
  </r>
  <r>
    <n v="88"/>
    <n v="39"/>
    <x v="49"/>
    <x v="3"/>
    <n v="4"/>
    <x v="1"/>
  </r>
  <r>
    <n v="89"/>
    <n v="42"/>
    <x v="47"/>
    <x v="1"/>
    <n v="2"/>
    <x v="0"/>
  </r>
  <r>
    <n v="90"/>
    <n v="44"/>
    <x v="76"/>
    <x v="2"/>
    <n v="4"/>
    <x v="0"/>
  </r>
  <r>
    <n v="91"/>
    <n v="45"/>
    <x v="77"/>
    <x v="3"/>
    <n v="2"/>
    <x v="0"/>
  </r>
  <r>
    <n v="92"/>
    <n v="45"/>
    <x v="78"/>
    <x v="3"/>
    <n v="1"/>
    <x v="0"/>
  </r>
  <r>
    <n v="93"/>
    <n v="45"/>
    <x v="7"/>
    <x v="2"/>
    <n v="2"/>
    <x v="0"/>
  </r>
  <r>
    <n v="94"/>
    <n v="46"/>
    <x v="79"/>
    <x v="3"/>
    <n v="4"/>
    <x v="1"/>
  </r>
  <r>
    <n v="95"/>
    <n v="46"/>
    <x v="80"/>
    <x v="2"/>
    <n v="1"/>
    <x v="0"/>
  </r>
  <r>
    <n v="96"/>
    <n v="46"/>
    <x v="81"/>
    <x v="0"/>
    <n v="3"/>
    <x v="1"/>
  </r>
  <r>
    <n v="97"/>
    <n v="48"/>
    <x v="82"/>
    <x v="0"/>
    <n v="3"/>
    <x v="2"/>
  </r>
  <r>
    <n v="98"/>
    <n v="48"/>
    <x v="83"/>
    <x v="0"/>
    <n v="3"/>
    <x v="0"/>
  </r>
  <r>
    <n v="99"/>
    <n v="48"/>
    <x v="84"/>
    <x v="3"/>
    <n v="4"/>
    <x v="2"/>
  </r>
  <r>
    <n v="100"/>
    <n v="49"/>
    <x v="85"/>
    <x v="0"/>
    <n v="3"/>
    <x v="0"/>
  </r>
  <r>
    <n v="101"/>
    <n v="49"/>
    <x v="47"/>
    <x v="0"/>
    <n v="1"/>
    <x v="0"/>
  </r>
  <r>
    <n v="102"/>
    <n v="49"/>
    <x v="86"/>
    <x v="1"/>
    <n v="1"/>
    <x v="2"/>
  </r>
  <r>
    <n v="103"/>
    <n v="49"/>
    <x v="87"/>
    <x v="1"/>
    <n v="1"/>
    <x v="0"/>
  </r>
  <r>
    <n v="104"/>
    <n v="51"/>
    <x v="88"/>
    <x v="3"/>
    <n v="1"/>
    <x v="1"/>
  </r>
  <r>
    <n v="105"/>
    <n v="51"/>
    <x v="89"/>
    <x v="1"/>
    <n v="3"/>
    <x v="2"/>
  </r>
  <r>
    <n v="106"/>
    <n v="51"/>
    <x v="90"/>
    <x v="1"/>
    <n v="2"/>
    <x v="1"/>
  </r>
  <r>
    <n v="107"/>
    <n v="51"/>
    <x v="91"/>
    <x v="2"/>
    <n v="3"/>
    <x v="1"/>
  </r>
  <r>
    <n v="108"/>
    <n v="52"/>
    <x v="80"/>
    <x v="1"/>
    <n v="3"/>
    <x v="0"/>
  </r>
  <r>
    <n v="109"/>
    <n v="52"/>
    <x v="92"/>
    <x v="2"/>
    <n v="2"/>
    <x v="1"/>
  </r>
  <r>
    <n v="110"/>
    <n v="52"/>
    <x v="39"/>
    <x v="0"/>
    <n v="3"/>
    <x v="0"/>
  </r>
  <r>
    <n v="111"/>
    <n v="53"/>
    <x v="93"/>
    <x v="0"/>
    <n v="1"/>
    <x v="1"/>
  </r>
  <r>
    <n v="112"/>
    <n v="53"/>
    <x v="94"/>
    <x v="0"/>
    <n v="4"/>
    <x v="0"/>
  </r>
  <r>
    <n v="113"/>
    <n v="53"/>
    <x v="57"/>
    <x v="2"/>
    <n v="2"/>
    <x v="1"/>
  </r>
  <r>
    <n v="114"/>
    <n v="54"/>
    <x v="95"/>
    <x v="1"/>
    <n v="4"/>
    <x v="1"/>
  </r>
  <r>
    <n v="115"/>
    <n v="54"/>
    <x v="90"/>
    <x v="1"/>
    <n v="3"/>
    <x v="0"/>
  </r>
  <r>
    <n v="116"/>
    <n v="54"/>
    <x v="96"/>
    <x v="1"/>
    <n v="2"/>
    <x v="2"/>
  </r>
  <r>
    <n v="117"/>
    <n v="55"/>
    <x v="97"/>
    <x v="0"/>
    <n v="2"/>
    <x v="2"/>
  </r>
  <r>
    <n v="118"/>
    <n v="56"/>
    <x v="54"/>
    <x v="2"/>
    <n v="4"/>
    <x v="2"/>
  </r>
  <r>
    <n v="119"/>
    <n v="57"/>
    <x v="43"/>
    <x v="2"/>
    <n v="2"/>
    <x v="1"/>
  </r>
  <r>
    <n v="120"/>
    <n v="57"/>
    <x v="53"/>
    <x v="1"/>
    <n v="1"/>
    <x v="2"/>
  </r>
  <r>
    <n v="121"/>
    <n v="57"/>
    <x v="98"/>
    <x v="1"/>
    <n v="3"/>
    <x v="2"/>
  </r>
  <r>
    <n v="122"/>
    <n v="58"/>
    <x v="99"/>
    <x v="0"/>
    <n v="2"/>
    <x v="0"/>
  </r>
  <r>
    <n v="123"/>
    <n v="58"/>
    <x v="100"/>
    <x v="0"/>
    <n v="4"/>
    <x v="2"/>
  </r>
  <r>
    <n v="124"/>
    <n v="58"/>
    <x v="101"/>
    <x v="0"/>
    <n v="4"/>
    <x v="0"/>
  </r>
  <r>
    <n v="125"/>
    <n v="59"/>
    <x v="102"/>
    <x v="0"/>
    <n v="3"/>
    <x v="2"/>
  </r>
  <r>
    <n v="126"/>
    <n v="60"/>
    <x v="103"/>
    <x v="1"/>
    <n v="2"/>
    <x v="0"/>
  </r>
  <r>
    <n v="127"/>
    <n v="61"/>
    <x v="78"/>
    <x v="1"/>
    <n v="2"/>
    <x v="0"/>
  </r>
  <r>
    <n v="128"/>
    <n v="61"/>
    <x v="104"/>
    <x v="2"/>
    <n v="1"/>
    <x v="0"/>
  </r>
  <r>
    <n v="129"/>
    <n v="61"/>
    <x v="52"/>
    <x v="3"/>
    <n v="1"/>
    <x v="0"/>
  </r>
  <r>
    <n v="130"/>
    <n v="63"/>
    <x v="6"/>
    <x v="2"/>
    <n v="3"/>
    <x v="0"/>
  </r>
  <r>
    <n v="131"/>
    <n v="63"/>
    <x v="105"/>
    <x v="0"/>
    <n v="3"/>
    <x v="0"/>
  </r>
  <r>
    <n v="132"/>
    <n v="64"/>
    <x v="106"/>
    <x v="2"/>
    <n v="4"/>
    <x v="1"/>
  </r>
  <r>
    <n v="133"/>
    <n v="64"/>
    <x v="107"/>
    <x v="0"/>
    <n v="3"/>
    <x v="0"/>
  </r>
  <r>
    <n v="134"/>
    <n v="66"/>
    <x v="108"/>
    <x v="0"/>
    <n v="2"/>
    <x v="1"/>
  </r>
  <r>
    <n v="135"/>
    <n v="66"/>
    <x v="109"/>
    <x v="1"/>
    <n v="2"/>
    <x v="2"/>
  </r>
  <r>
    <n v="136"/>
    <n v="66"/>
    <x v="100"/>
    <x v="1"/>
    <n v="3"/>
    <x v="0"/>
  </r>
  <r>
    <n v="137"/>
    <n v="66"/>
    <x v="110"/>
    <x v="0"/>
    <n v="4"/>
    <x v="0"/>
  </r>
  <r>
    <n v="138"/>
    <n v="68"/>
    <x v="111"/>
    <x v="1"/>
    <n v="4"/>
    <x v="1"/>
  </r>
  <r>
    <n v="139"/>
    <n v="69"/>
    <x v="112"/>
    <x v="2"/>
    <n v="4"/>
    <x v="2"/>
  </r>
  <r>
    <n v="140"/>
    <n v="70"/>
    <x v="73"/>
    <x v="1"/>
    <n v="1"/>
    <x v="1"/>
  </r>
  <r>
    <n v="141"/>
    <n v="70"/>
    <x v="113"/>
    <x v="2"/>
    <n v="3"/>
    <x v="0"/>
  </r>
  <r>
    <n v="142"/>
    <n v="70"/>
    <x v="114"/>
    <x v="3"/>
    <n v="2"/>
    <x v="0"/>
  </r>
  <r>
    <n v="143"/>
    <n v="70"/>
    <x v="106"/>
    <x v="2"/>
    <n v="4"/>
    <x v="0"/>
  </r>
  <r>
    <n v="144"/>
    <n v="72"/>
    <x v="115"/>
    <x v="2"/>
    <n v="3"/>
    <x v="0"/>
  </r>
  <r>
    <n v="145"/>
    <n v="73"/>
    <x v="116"/>
    <x v="1"/>
    <n v="1"/>
    <x v="2"/>
  </r>
  <r>
    <n v="146"/>
    <n v="73"/>
    <x v="117"/>
    <x v="1"/>
    <n v="2"/>
    <x v="0"/>
  </r>
  <r>
    <n v="147"/>
    <n v="74"/>
    <x v="50"/>
    <x v="2"/>
    <n v="1"/>
    <x v="1"/>
  </r>
  <r>
    <n v="148"/>
    <n v="74"/>
    <x v="118"/>
    <x v="0"/>
    <n v="1"/>
    <x v="0"/>
  </r>
  <r>
    <n v="149"/>
    <n v="75"/>
    <x v="119"/>
    <x v="1"/>
    <n v="4"/>
    <x v="0"/>
  </r>
  <r>
    <n v="150"/>
    <n v="75"/>
    <x v="120"/>
    <x v="2"/>
    <n v="4"/>
    <x v="0"/>
  </r>
  <r>
    <n v="151"/>
    <n v="76"/>
    <x v="100"/>
    <x v="3"/>
    <n v="2"/>
    <x v="2"/>
  </r>
  <r>
    <n v="152"/>
    <n v="76"/>
    <x v="121"/>
    <x v="3"/>
    <n v="3"/>
    <x v="1"/>
  </r>
  <r>
    <n v="153"/>
    <n v="77"/>
    <x v="122"/>
    <x v="1"/>
    <n v="4"/>
    <x v="0"/>
  </r>
  <r>
    <n v="154"/>
    <n v="78"/>
    <x v="34"/>
    <x v="1"/>
    <n v="3"/>
    <x v="0"/>
  </r>
  <r>
    <n v="155"/>
    <n v="78"/>
    <x v="123"/>
    <x v="1"/>
    <n v="4"/>
    <x v="0"/>
  </r>
  <r>
    <n v="156"/>
    <n v="79"/>
    <x v="124"/>
    <x v="2"/>
    <n v="2"/>
    <x v="1"/>
  </r>
  <r>
    <n v="157"/>
    <n v="80"/>
    <x v="125"/>
    <x v="3"/>
    <n v="4"/>
    <x v="0"/>
  </r>
  <r>
    <n v="158"/>
    <n v="80"/>
    <x v="126"/>
    <x v="2"/>
    <n v="1"/>
    <x v="0"/>
  </r>
  <r>
    <n v="159"/>
    <n v="81"/>
    <x v="127"/>
    <x v="0"/>
    <n v="1"/>
    <x v="0"/>
  </r>
  <r>
    <n v="160"/>
    <n v="82"/>
    <x v="52"/>
    <x v="0"/>
    <n v="2"/>
    <x v="0"/>
  </r>
  <r>
    <n v="161"/>
    <n v="82"/>
    <x v="128"/>
    <x v="3"/>
    <n v="1"/>
    <x v="0"/>
  </r>
  <r>
    <n v="162"/>
    <n v="83"/>
    <x v="129"/>
    <x v="0"/>
    <n v="4"/>
    <x v="0"/>
  </r>
  <r>
    <n v="163"/>
    <n v="83"/>
    <x v="130"/>
    <x v="3"/>
    <n v="1"/>
    <x v="0"/>
  </r>
  <r>
    <n v="164"/>
    <n v="83"/>
    <x v="131"/>
    <x v="0"/>
    <n v="2"/>
    <x v="0"/>
  </r>
  <r>
    <n v="165"/>
    <n v="83"/>
    <x v="14"/>
    <x v="3"/>
    <n v="1"/>
    <x v="0"/>
  </r>
  <r>
    <n v="166"/>
    <n v="84"/>
    <x v="132"/>
    <x v="0"/>
    <n v="2"/>
    <x v="0"/>
  </r>
  <r>
    <n v="167"/>
    <n v="84"/>
    <x v="133"/>
    <x v="1"/>
    <n v="3"/>
    <x v="2"/>
  </r>
  <r>
    <n v="168"/>
    <n v="84"/>
    <x v="50"/>
    <x v="1"/>
    <n v="2"/>
    <x v="1"/>
  </r>
  <r>
    <n v="169"/>
    <n v="85"/>
    <x v="15"/>
    <x v="0"/>
    <n v="4"/>
    <x v="0"/>
  </r>
  <r>
    <n v="170"/>
    <n v="85"/>
    <x v="134"/>
    <x v="3"/>
    <n v="4"/>
    <x v="0"/>
  </r>
  <r>
    <n v="171"/>
    <n v="85"/>
    <x v="46"/>
    <x v="3"/>
    <n v="1"/>
    <x v="0"/>
  </r>
  <r>
    <n v="172"/>
    <n v="85"/>
    <x v="135"/>
    <x v="2"/>
    <n v="2"/>
    <x v="2"/>
  </r>
  <r>
    <n v="173"/>
    <n v="86"/>
    <x v="61"/>
    <x v="3"/>
    <n v="1"/>
    <x v="0"/>
  </r>
  <r>
    <n v="174"/>
    <n v="86"/>
    <x v="14"/>
    <x v="2"/>
    <n v="2"/>
    <x v="0"/>
  </r>
  <r>
    <n v="175"/>
    <n v="86"/>
    <x v="136"/>
    <x v="2"/>
    <n v="4"/>
    <x v="2"/>
  </r>
  <r>
    <n v="176"/>
    <n v="86"/>
    <x v="137"/>
    <x v="2"/>
    <n v="2"/>
    <x v="1"/>
  </r>
  <r>
    <n v="177"/>
    <n v="87"/>
    <x v="138"/>
    <x v="0"/>
    <n v="1"/>
    <x v="0"/>
  </r>
  <r>
    <n v="178"/>
    <n v="87"/>
    <x v="139"/>
    <x v="0"/>
    <n v="1"/>
    <x v="0"/>
  </r>
  <r>
    <n v="179"/>
    <n v="89"/>
    <x v="138"/>
    <x v="3"/>
    <n v="4"/>
    <x v="0"/>
  </r>
  <r>
    <n v="180"/>
    <n v="89"/>
    <x v="140"/>
    <x v="1"/>
    <n v="1"/>
    <x v="0"/>
  </r>
  <r>
    <n v="181"/>
    <n v="89"/>
    <x v="118"/>
    <x v="2"/>
    <n v="1"/>
    <x v="2"/>
  </r>
  <r>
    <n v="182"/>
    <n v="90"/>
    <x v="118"/>
    <x v="1"/>
    <n v="3"/>
    <x v="1"/>
  </r>
  <r>
    <n v="183"/>
    <n v="90"/>
    <x v="114"/>
    <x v="1"/>
    <n v="3"/>
    <x v="1"/>
  </r>
  <r>
    <n v="184"/>
    <n v="91"/>
    <x v="88"/>
    <x v="0"/>
    <n v="2"/>
    <x v="2"/>
  </r>
  <r>
    <n v="185"/>
    <n v="91"/>
    <x v="141"/>
    <x v="3"/>
    <n v="3"/>
    <x v="1"/>
  </r>
  <r>
    <n v="186"/>
    <n v="92"/>
    <x v="142"/>
    <x v="2"/>
    <n v="4"/>
    <x v="1"/>
  </r>
  <r>
    <n v="187"/>
    <n v="92"/>
    <x v="143"/>
    <x v="1"/>
    <n v="2"/>
    <x v="0"/>
  </r>
  <r>
    <n v="188"/>
    <n v="92"/>
    <x v="102"/>
    <x v="1"/>
    <n v="1"/>
    <x v="0"/>
  </r>
  <r>
    <n v="189"/>
    <n v="93"/>
    <x v="111"/>
    <x v="0"/>
    <n v="4"/>
    <x v="0"/>
  </r>
  <r>
    <n v="190"/>
    <n v="93"/>
    <x v="144"/>
    <x v="1"/>
    <n v="2"/>
    <x v="0"/>
  </r>
  <r>
    <n v="191"/>
    <n v="94"/>
    <x v="81"/>
    <x v="0"/>
    <n v="1"/>
    <x v="0"/>
  </r>
  <r>
    <n v="192"/>
    <n v="94"/>
    <x v="145"/>
    <x v="1"/>
    <n v="2"/>
    <x v="0"/>
  </r>
  <r>
    <n v="193"/>
    <n v="94"/>
    <x v="146"/>
    <x v="0"/>
    <n v="1"/>
    <x v="1"/>
  </r>
  <r>
    <n v="194"/>
    <n v="94"/>
    <x v="145"/>
    <x v="0"/>
    <n v="3"/>
    <x v="2"/>
  </r>
  <r>
    <n v="195"/>
    <n v="95"/>
    <x v="20"/>
    <x v="0"/>
    <n v="4"/>
    <x v="2"/>
  </r>
  <r>
    <n v="196"/>
    <n v="95"/>
    <x v="147"/>
    <x v="1"/>
    <n v="4"/>
    <x v="0"/>
  </r>
  <r>
    <n v="197"/>
    <n v="96"/>
    <x v="130"/>
    <x v="3"/>
    <n v="3"/>
    <x v="0"/>
  </r>
  <r>
    <n v="198"/>
    <n v="96"/>
    <x v="148"/>
    <x v="2"/>
    <n v="4"/>
    <x v="2"/>
  </r>
  <r>
    <n v="199"/>
    <n v="96"/>
    <x v="149"/>
    <x v="0"/>
    <n v="2"/>
    <x v="2"/>
  </r>
  <r>
    <n v="200"/>
    <n v="97"/>
    <x v="150"/>
    <x v="1"/>
    <n v="4"/>
    <x v="0"/>
  </r>
  <r>
    <n v="201"/>
    <n v="97"/>
    <x v="151"/>
    <x v="0"/>
    <n v="3"/>
    <x v="0"/>
  </r>
  <r>
    <n v="202"/>
    <n v="97"/>
    <x v="59"/>
    <x v="1"/>
    <n v="1"/>
    <x v="2"/>
  </r>
  <r>
    <n v="203"/>
    <n v="98"/>
    <x v="152"/>
    <x v="2"/>
    <n v="3"/>
    <x v="0"/>
  </r>
  <r>
    <n v="204"/>
    <n v="99"/>
    <x v="114"/>
    <x v="1"/>
    <n v="1"/>
    <x v="0"/>
  </r>
  <r>
    <n v="205"/>
    <n v="100"/>
    <x v="114"/>
    <x v="1"/>
    <n v="2"/>
    <x v="0"/>
  </r>
  <r>
    <n v="206"/>
    <n v="100"/>
    <x v="153"/>
    <x v="0"/>
    <n v="3"/>
    <x v="1"/>
  </r>
  <r>
    <n v="207"/>
    <n v="100"/>
    <x v="154"/>
    <x v="2"/>
    <n v="3"/>
    <x v="0"/>
  </r>
  <r>
    <n v="208"/>
    <n v="101"/>
    <x v="56"/>
    <x v="0"/>
    <n v="2"/>
    <x v="0"/>
  </r>
  <r>
    <n v="209"/>
    <n v="102"/>
    <x v="155"/>
    <x v="1"/>
    <n v="1"/>
    <x v="0"/>
  </r>
  <r>
    <n v="210"/>
    <n v="102"/>
    <x v="156"/>
    <x v="3"/>
    <n v="4"/>
    <x v="0"/>
  </r>
  <r>
    <n v="211"/>
    <n v="102"/>
    <x v="106"/>
    <x v="2"/>
    <n v="1"/>
    <x v="2"/>
  </r>
  <r>
    <n v="212"/>
    <n v="103"/>
    <x v="142"/>
    <x v="2"/>
    <n v="1"/>
    <x v="1"/>
  </r>
  <r>
    <n v="213"/>
    <n v="103"/>
    <x v="51"/>
    <x v="0"/>
    <n v="3"/>
    <x v="0"/>
  </r>
  <r>
    <n v="214"/>
    <n v="103"/>
    <x v="16"/>
    <x v="3"/>
    <n v="4"/>
    <x v="0"/>
  </r>
  <r>
    <n v="215"/>
    <n v="104"/>
    <x v="115"/>
    <x v="3"/>
    <n v="3"/>
    <x v="0"/>
  </r>
  <r>
    <n v="216"/>
    <n v="105"/>
    <x v="157"/>
    <x v="0"/>
    <n v="3"/>
    <x v="0"/>
  </r>
  <r>
    <n v="217"/>
    <n v="105"/>
    <x v="158"/>
    <x v="2"/>
    <n v="2"/>
    <x v="0"/>
  </r>
  <r>
    <n v="218"/>
    <n v="105"/>
    <x v="77"/>
    <x v="3"/>
    <n v="3"/>
    <x v="0"/>
  </r>
  <r>
    <n v="219"/>
    <n v="105"/>
    <x v="159"/>
    <x v="2"/>
    <n v="2"/>
    <x v="1"/>
  </r>
  <r>
    <n v="220"/>
    <n v="106"/>
    <x v="160"/>
    <x v="3"/>
    <n v="3"/>
    <x v="0"/>
  </r>
  <r>
    <n v="221"/>
    <n v="106"/>
    <x v="161"/>
    <x v="0"/>
    <n v="3"/>
    <x v="0"/>
  </r>
  <r>
    <n v="222"/>
    <n v="106"/>
    <x v="162"/>
    <x v="1"/>
    <n v="1"/>
    <x v="0"/>
  </r>
  <r>
    <n v="223"/>
    <n v="107"/>
    <x v="163"/>
    <x v="1"/>
    <n v="4"/>
    <x v="2"/>
  </r>
  <r>
    <n v="224"/>
    <n v="107"/>
    <x v="164"/>
    <x v="1"/>
    <n v="3"/>
    <x v="0"/>
  </r>
  <r>
    <n v="225"/>
    <n v="107"/>
    <x v="165"/>
    <x v="1"/>
    <n v="3"/>
    <x v="0"/>
  </r>
  <r>
    <n v="226"/>
    <n v="108"/>
    <x v="166"/>
    <x v="2"/>
    <n v="2"/>
    <x v="2"/>
  </r>
  <r>
    <n v="227"/>
    <n v="108"/>
    <x v="71"/>
    <x v="2"/>
    <n v="1"/>
    <x v="0"/>
  </r>
  <r>
    <n v="228"/>
    <n v="108"/>
    <x v="99"/>
    <x v="2"/>
    <n v="4"/>
    <x v="0"/>
  </r>
  <r>
    <n v="229"/>
    <n v="108"/>
    <x v="53"/>
    <x v="2"/>
    <n v="4"/>
    <x v="2"/>
  </r>
  <r>
    <n v="230"/>
    <n v="110"/>
    <x v="167"/>
    <x v="2"/>
    <n v="4"/>
    <x v="0"/>
  </r>
  <r>
    <n v="231"/>
    <n v="110"/>
    <x v="153"/>
    <x v="3"/>
    <n v="3"/>
    <x v="0"/>
  </r>
  <r>
    <n v="232"/>
    <n v="110"/>
    <x v="168"/>
    <x v="3"/>
    <n v="1"/>
    <x v="0"/>
  </r>
  <r>
    <n v="233"/>
    <n v="111"/>
    <x v="30"/>
    <x v="3"/>
    <n v="2"/>
    <x v="0"/>
  </r>
  <r>
    <n v="234"/>
    <n v="111"/>
    <x v="169"/>
    <x v="0"/>
    <n v="2"/>
    <x v="0"/>
  </r>
  <r>
    <n v="235"/>
    <n v="111"/>
    <x v="170"/>
    <x v="2"/>
    <n v="3"/>
    <x v="0"/>
  </r>
  <r>
    <n v="236"/>
    <n v="112"/>
    <x v="171"/>
    <x v="3"/>
    <n v="4"/>
    <x v="1"/>
  </r>
  <r>
    <n v="237"/>
    <n v="112"/>
    <x v="88"/>
    <x v="3"/>
    <n v="4"/>
    <x v="1"/>
  </r>
  <r>
    <n v="238"/>
    <n v="112"/>
    <x v="172"/>
    <x v="0"/>
    <n v="1"/>
    <x v="0"/>
  </r>
  <r>
    <n v="239"/>
    <n v="113"/>
    <x v="108"/>
    <x v="3"/>
    <n v="3"/>
    <x v="0"/>
  </r>
  <r>
    <n v="240"/>
    <n v="113"/>
    <x v="173"/>
    <x v="3"/>
    <n v="1"/>
    <x v="0"/>
  </r>
  <r>
    <n v="241"/>
    <n v="113"/>
    <x v="174"/>
    <x v="0"/>
    <n v="4"/>
    <x v="0"/>
  </r>
  <r>
    <n v="242"/>
    <n v="115"/>
    <x v="175"/>
    <x v="0"/>
    <n v="2"/>
    <x v="2"/>
  </r>
  <r>
    <n v="243"/>
    <n v="116"/>
    <x v="3"/>
    <x v="1"/>
    <n v="4"/>
    <x v="0"/>
  </r>
  <r>
    <n v="244"/>
    <n v="116"/>
    <x v="156"/>
    <x v="2"/>
    <n v="4"/>
    <x v="0"/>
  </r>
  <r>
    <n v="245"/>
    <n v="117"/>
    <x v="176"/>
    <x v="3"/>
    <n v="1"/>
    <x v="0"/>
  </r>
  <r>
    <n v="246"/>
    <n v="117"/>
    <x v="177"/>
    <x v="3"/>
    <n v="2"/>
    <x v="0"/>
  </r>
  <r>
    <n v="247"/>
    <n v="117"/>
    <x v="178"/>
    <x v="1"/>
    <n v="1"/>
    <x v="0"/>
  </r>
  <r>
    <n v="248"/>
    <n v="119"/>
    <x v="179"/>
    <x v="0"/>
    <n v="4"/>
    <x v="0"/>
  </r>
  <r>
    <n v="249"/>
    <n v="119"/>
    <x v="105"/>
    <x v="3"/>
    <n v="3"/>
    <x v="0"/>
  </r>
  <r>
    <n v="250"/>
    <n v="119"/>
    <x v="180"/>
    <x v="2"/>
    <n v="4"/>
    <x v="0"/>
  </r>
  <r>
    <n v="251"/>
    <n v="119"/>
    <x v="75"/>
    <x v="2"/>
    <n v="3"/>
    <x v="0"/>
  </r>
  <r>
    <n v="252"/>
    <n v="120"/>
    <x v="37"/>
    <x v="1"/>
    <n v="1"/>
    <x v="0"/>
  </r>
  <r>
    <n v="253"/>
    <n v="120"/>
    <x v="181"/>
    <x v="3"/>
    <n v="4"/>
    <x v="2"/>
  </r>
  <r>
    <n v="254"/>
    <n v="121"/>
    <x v="182"/>
    <x v="0"/>
    <n v="2"/>
    <x v="0"/>
  </r>
  <r>
    <n v="255"/>
    <n v="121"/>
    <x v="183"/>
    <x v="1"/>
    <n v="1"/>
    <x v="0"/>
  </r>
  <r>
    <n v="256"/>
    <n v="121"/>
    <x v="79"/>
    <x v="2"/>
    <n v="2"/>
    <x v="2"/>
  </r>
  <r>
    <n v="257"/>
    <n v="121"/>
    <x v="184"/>
    <x v="2"/>
    <n v="4"/>
    <x v="0"/>
  </r>
  <r>
    <n v="258"/>
    <n v="122"/>
    <x v="185"/>
    <x v="2"/>
    <n v="2"/>
    <x v="2"/>
  </r>
  <r>
    <n v="259"/>
    <n v="124"/>
    <x v="186"/>
    <x v="0"/>
    <n v="2"/>
    <x v="0"/>
  </r>
  <r>
    <n v="260"/>
    <n v="124"/>
    <x v="65"/>
    <x v="1"/>
    <n v="4"/>
    <x v="0"/>
  </r>
  <r>
    <n v="261"/>
    <n v="125"/>
    <x v="145"/>
    <x v="0"/>
    <n v="4"/>
    <x v="1"/>
  </r>
  <r>
    <n v="262"/>
    <n v="125"/>
    <x v="187"/>
    <x v="2"/>
    <n v="2"/>
    <x v="0"/>
  </r>
  <r>
    <n v="263"/>
    <n v="125"/>
    <x v="188"/>
    <x v="3"/>
    <n v="1"/>
    <x v="0"/>
  </r>
  <r>
    <n v="264"/>
    <n v="126"/>
    <x v="189"/>
    <x v="3"/>
    <n v="3"/>
    <x v="0"/>
  </r>
  <r>
    <n v="265"/>
    <n v="126"/>
    <x v="184"/>
    <x v="1"/>
    <n v="4"/>
    <x v="2"/>
  </r>
  <r>
    <n v="266"/>
    <n v="126"/>
    <x v="108"/>
    <x v="3"/>
    <n v="1"/>
    <x v="0"/>
  </r>
  <r>
    <n v="267"/>
    <n v="126"/>
    <x v="150"/>
    <x v="0"/>
    <n v="4"/>
    <x v="0"/>
  </r>
  <r>
    <n v="268"/>
    <n v="128"/>
    <x v="95"/>
    <x v="3"/>
    <n v="3"/>
    <x v="0"/>
  </r>
  <r>
    <n v="269"/>
    <n v="128"/>
    <x v="32"/>
    <x v="2"/>
    <n v="2"/>
    <x v="0"/>
  </r>
  <r>
    <n v="270"/>
    <n v="129"/>
    <x v="161"/>
    <x v="3"/>
    <n v="1"/>
    <x v="1"/>
  </r>
  <r>
    <n v="271"/>
    <n v="129"/>
    <x v="190"/>
    <x v="3"/>
    <n v="1"/>
    <x v="0"/>
  </r>
  <r>
    <n v="272"/>
    <n v="129"/>
    <x v="191"/>
    <x v="1"/>
    <n v="3"/>
    <x v="0"/>
  </r>
  <r>
    <n v="273"/>
    <n v="131"/>
    <x v="192"/>
    <x v="3"/>
    <n v="2"/>
    <x v="0"/>
  </r>
  <r>
    <n v="274"/>
    <n v="131"/>
    <x v="52"/>
    <x v="1"/>
    <n v="4"/>
    <x v="0"/>
  </r>
  <r>
    <n v="275"/>
    <n v="131"/>
    <x v="47"/>
    <x v="1"/>
    <n v="4"/>
    <x v="1"/>
  </r>
  <r>
    <n v="276"/>
    <n v="131"/>
    <x v="193"/>
    <x v="0"/>
    <n v="1"/>
    <x v="2"/>
  </r>
  <r>
    <n v="277"/>
    <n v="134"/>
    <x v="69"/>
    <x v="2"/>
    <n v="4"/>
    <x v="0"/>
  </r>
  <r>
    <n v="278"/>
    <n v="134"/>
    <x v="125"/>
    <x v="3"/>
    <n v="3"/>
    <x v="0"/>
  </r>
  <r>
    <n v="279"/>
    <n v="135"/>
    <x v="194"/>
    <x v="1"/>
    <n v="1"/>
    <x v="0"/>
  </r>
  <r>
    <n v="280"/>
    <n v="136"/>
    <x v="195"/>
    <x v="1"/>
    <n v="2"/>
    <x v="0"/>
  </r>
  <r>
    <n v="281"/>
    <n v="136"/>
    <x v="196"/>
    <x v="2"/>
    <n v="1"/>
    <x v="2"/>
  </r>
  <r>
    <n v="282"/>
    <n v="136"/>
    <x v="179"/>
    <x v="1"/>
    <n v="4"/>
    <x v="2"/>
  </r>
  <r>
    <n v="283"/>
    <n v="136"/>
    <x v="197"/>
    <x v="2"/>
    <n v="3"/>
    <x v="2"/>
  </r>
  <r>
    <n v="284"/>
    <n v="137"/>
    <x v="198"/>
    <x v="2"/>
    <n v="3"/>
    <x v="1"/>
  </r>
  <r>
    <n v="285"/>
    <n v="137"/>
    <x v="190"/>
    <x v="1"/>
    <n v="3"/>
    <x v="1"/>
  </r>
  <r>
    <n v="286"/>
    <n v="137"/>
    <x v="124"/>
    <x v="2"/>
    <n v="2"/>
    <x v="1"/>
  </r>
  <r>
    <n v="287"/>
    <n v="137"/>
    <x v="140"/>
    <x v="1"/>
    <n v="3"/>
    <x v="1"/>
  </r>
  <r>
    <n v="288"/>
    <n v="139"/>
    <x v="36"/>
    <x v="0"/>
    <n v="3"/>
    <x v="0"/>
  </r>
  <r>
    <n v="289"/>
    <n v="139"/>
    <x v="167"/>
    <x v="1"/>
    <n v="4"/>
    <x v="2"/>
  </r>
  <r>
    <n v="290"/>
    <n v="139"/>
    <x v="199"/>
    <x v="0"/>
    <n v="1"/>
    <x v="0"/>
  </r>
  <r>
    <n v="291"/>
    <n v="139"/>
    <x v="46"/>
    <x v="0"/>
    <n v="3"/>
    <x v="2"/>
  </r>
  <r>
    <n v="292"/>
    <n v="140"/>
    <x v="200"/>
    <x v="0"/>
    <n v="2"/>
    <x v="1"/>
  </r>
  <r>
    <n v="293"/>
    <n v="142"/>
    <x v="84"/>
    <x v="3"/>
    <n v="1"/>
    <x v="2"/>
  </r>
  <r>
    <n v="294"/>
    <n v="142"/>
    <x v="201"/>
    <x v="2"/>
    <n v="2"/>
    <x v="0"/>
  </r>
  <r>
    <n v="295"/>
    <n v="142"/>
    <x v="59"/>
    <x v="2"/>
    <n v="4"/>
    <x v="0"/>
  </r>
  <r>
    <n v="296"/>
    <n v="143"/>
    <x v="43"/>
    <x v="1"/>
    <n v="4"/>
    <x v="0"/>
  </r>
  <r>
    <n v="297"/>
    <n v="143"/>
    <x v="202"/>
    <x v="2"/>
    <n v="4"/>
    <x v="0"/>
  </r>
  <r>
    <n v="298"/>
    <n v="144"/>
    <x v="137"/>
    <x v="1"/>
    <n v="2"/>
    <x v="0"/>
  </r>
  <r>
    <n v="299"/>
    <n v="146"/>
    <x v="48"/>
    <x v="1"/>
    <n v="2"/>
    <x v="0"/>
  </r>
  <r>
    <n v="300"/>
    <n v="146"/>
    <x v="172"/>
    <x v="2"/>
    <n v="2"/>
    <x v="1"/>
  </r>
  <r>
    <n v="301"/>
    <n v="146"/>
    <x v="184"/>
    <x v="0"/>
    <n v="1"/>
    <x v="0"/>
  </r>
  <r>
    <n v="302"/>
    <n v="146"/>
    <x v="203"/>
    <x v="3"/>
    <n v="1"/>
    <x v="0"/>
  </r>
  <r>
    <n v="303"/>
    <n v="148"/>
    <x v="14"/>
    <x v="3"/>
    <n v="1"/>
    <x v="0"/>
  </r>
  <r>
    <n v="304"/>
    <n v="149"/>
    <x v="109"/>
    <x v="1"/>
    <n v="3"/>
    <x v="1"/>
  </r>
  <r>
    <n v="305"/>
    <n v="149"/>
    <x v="121"/>
    <x v="2"/>
    <n v="3"/>
    <x v="1"/>
  </r>
  <r>
    <n v="306"/>
    <n v="149"/>
    <x v="43"/>
    <x v="0"/>
    <n v="3"/>
    <x v="1"/>
  </r>
  <r>
    <n v="307"/>
    <n v="150"/>
    <x v="177"/>
    <x v="1"/>
    <n v="1"/>
    <x v="1"/>
  </r>
  <r>
    <n v="308"/>
    <n v="150"/>
    <x v="204"/>
    <x v="1"/>
    <n v="3"/>
    <x v="0"/>
  </r>
  <r>
    <n v="309"/>
    <n v="150"/>
    <x v="205"/>
    <x v="2"/>
    <n v="4"/>
    <x v="1"/>
  </r>
  <r>
    <n v="310"/>
    <n v="150"/>
    <x v="18"/>
    <x v="3"/>
    <n v="4"/>
    <x v="2"/>
  </r>
  <r>
    <n v="311"/>
    <n v="151"/>
    <x v="38"/>
    <x v="1"/>
    <n v="1"/>
    <x v="1"/>
  </r>
  <r>
    <n v="312"/>
    <n v="151"/>
    <x v="47"/>
    <x v="1"/>
    <n v="1"/>
    <x v="1"/>
  </r>
  <r>
    <n v="313"/>
    <n v="151"/>
    <x v="36"/>
    <x v="3"/>
    <n v="1"/>
    <x v="0"/>
  </r>
  <r>
    <n v="314"/>
    <n v="151"/>
    <x v="206"/>
    <x v="3"/>
    <n v="4"/>
    <x v="1"/>
  </r>
  <r>
    <n v="315"/>
    <n v="152"/>
    <x v="66"/>
    <x v="1"/>
    <n v="1"/>
    <x v="0"/>
  </r>
  <r>
    <n v="316"/>
    <n v="152"/>
    <x v="4"/>
    <x v="1"/>
    <n v="2"/>
    <x v="2"/>
  </r>
  <r>
    <n v="317"/>
    <n v="153"/>
    <x v="207"/>
    <x v="3"/>
    <n v="2"/>
    <x v="2"/>
  </r>
  <r>
    <n v="318"/>
    <n v="153"/>
    <x v="140"/>
    <x v="3"/>
    <n v="4"/>
    <x v="0"/>
  </r>
  <r>
    <n v="319"/>
    <n v="153"/>
    <x v="208"/>
    <x v="0"/>
    <n v="4"/>
    <x v="0"/>
  </r>
  <r>
    <n v="320"/>
    <n v="154"/>
    <x v="90"/>
    <x v="3"/>
    <n v="3"/>
    <x v="2"/>
  </r>
  <r>
    <n v="321"/>
    <n v="154"/>
    <x v="109"/>
    <x v="1"/>
    <n v="2"/>
    <x v="1"/>
  </r>
  <r>
    <n v="322"/>
    <n v="154"/>
    <x v="209"/>
    <x v="0"/>
    <n v="1"/>
    <x v="0"/>
  </r>
  <r>
    <n v="323"/>
    <n v="154"/>
    <x v="31"/>
    <x v="2"/>
    <n v="4"/>
    <x v="0"/>
  </r>
  <r>
    <n v="324"/>
    <n v="155"/>
    <x v="210"/>
    <x v="0"/>
    <n v="4"/>
    <x v="1"/>
  </r>
  <r>
    <n v="325"/>
    <n v="156"/>
    <x v="201"/>
    <x v="1"/>
    <n v="2"/>
    <x v="1"/>
  </r>
  <r>
    <n v="326"/>
    <n v="158"/>
    <x v="73"/>
    <x v="0"/>
    <n v="3"/>
    <x v="2"/>
  </r>
  <r>
    <n v="327"/>
    <n v="158"/>
    <x v="211"/>
    <x v="0"/>
    <n v="4"/>
    <x v="0"/>
  </r>
  <r>
    <n v="328"/>
    <n v="160"/>
    <x v="212"/>
    <x v="0"/>
    <n v="1"/>
    <x v="1"/>
  </r>
  <r>
    <n v="329"/>
    <n v="161"/>
    <x v="213"/>
    <x v="1"/>
    <n v="1"/>
    <x v="2"/>
  </r>
  <r>
    <n v="330"/>
    <n v="161"/>
    <x v="172"/>
    <x v="2"/>
    <n v="1"/>
    <x v="1"/>
  </r>
  <r>
    <n v="331"/>
    <n v="161"/>
    <x v="214"/>
    <x v="3"/>
    <n v="3"/>
    <x v="1"/>
  </r>
  <r>
    <n v="332"/>
    <n v="162"/>
    <x v="215"/>
    <x v="1"/>
    <n v="1"/>
    <x v="0"/>
  </r>
  <r>
    <n v="333"/>
    <n v="162"/>
    <x v="216"/>
    <x v="2"/>
    <n v="3"/>
    <x v="1"/>
  </r>
  <r>
    <n v="334"/>
    <n v="162"/>
    <x v="217"/>
    <x v="0"/>
    <n v="2"/>
    <x v="0"/>
  </r>
  <r>
    <n v="335"/>
    <n v="162"/>
    <x v="203"/>
    <x v="0"/>
    <n v="1"/>
    <x v="2"/>
  </r>
  <r>
    <n v="336"/>
    <n v="163"/>
    <x v="130"/>
    <x v="0"/>
    <n v="4"/>
    <x v="2"/>
  </r>
  <r>
    <n v="337"/>
    <n v="164"/>
    <x v="218"/>
    <x v="2"/>
    <n v="4"/>
    <x v="0"/>
  </r>
  <r>
    <n v="338"/>
    <n v="164"/>
    <x v="219"/>
    <x v="0"/>
    <n v="4"/>
    <x v="0"/>
  </r>
  <r>
    <n v="339"/>
    <n v="165"/>
    <x v="120"/>
    <x v="0"/>
    <n v="2"/>
    <x v="0"/>
  </r>
  <r>
    <n v="340"/>
    <n v="165"/>
    <x v="93"/>
    <x v="0"/>
    <n v="4"/>
    <x v="0"/>
  </r>
  <r>
    <n v="341"/>
    <n v="165"/>
    <x v="67"/>
    <x v="3"/>
    <n v="1"/>
    <x v="0"/>
  </r>
  <r>
    <n v="342"/>
    <n v="165"/>
    <x v="220"/>
    <x v="2"/>
    <n v="1"/>
    <x v="0"/>
  </r>
  <r>
    <n v="343"/>
    <n v="166"/>
    <x v="118"/>
    <x v="0"/>
    <n v="4"/>
    <x v="0"/>
  </r>
  <r>
    <n v="344"/>
    <n v="167"/>
    <x v="221"/>
    <x v="1"/>
    <n v="4"/>
    <x v="1"/>
  </r>
  <r>
    <n v="345"/>
    <n v="168"/>
    <x v="222"/>
    <x v="0"/>
    <n v="4"/>
    <x v="2"/>
  </r>
  <r>
    <n v="346"/>
    <n v="169"/>
    <x v="129"/>
    <x v="0"/>
    <n v="2"/>
    <x v="2"/>
  </r>
  <r>
    <n v="347"/>
    <n v="169"/>
    <x v="198"/>
    <x v="3"/>
    <n v="4"/>
    <x v="2"/>
  </r>
  <r>
    <n v="348"/>
    <n v="169"/>
    <x v="223"/>
    <x v="0"/>
    <n v="2"/>
    <x v="1"/>
  </r>
  <r>
    <n v="349"/>
    <n v="169"/>
    <x v="57"/>
    <x v="2"/>
    <n v="2"/>
    <x v="0"/>
  </r>
  <r>
    <n v="350"/>
    <n v="170"/>
    <x v="40"/>
    <x v="1"/>
    <n v="1"/>
    <x v="0"/>
  </r>
  <r>
    <n v="351"/>
    <n v="170"/>
    <x v="136"/>
    <x v="3"/>
    <n v="2"/>
    <x v="0"/>
  </r>
  <r>
    <n v="352"/>
    <n v="170"/>
    <x v="145"/>
    <x v="1"/>
    <n v="2"/>
    <x v="0"/>
  </r>
  <r>
    <n v="353"/>
    <n v="171"/>
    <x v="224"/>
    <x v="1"/>
    <n v="2"/>
    <x v="0"/>
  </r>
  <r>
    <n v="354"/>
    <n v="171"/>
    <x v="68"/>
    <x v="2"/>
    <n v="4"/>
    <x v="0"/>
  </r>
  <r>
    <n v="355"/>
    <n v="171"/>
    <x v="101"/>
    <x v="3"/>
    <n v="4"/>
    <x v="0"/>
  </r>
  <r>
    <n v="356"/>
    <n v="172"/>
    <x v="225"/>
    <x v="0"/>
    <n v="1"/>
    <x v="0"/>
  </r>
  <r>
    <n v="357"/>
    <n v="172"/>
    <x v="226"/>
    <x v="1"/>
    <n v="3"/>
    <x v="1"/>
  </r>
  <r>
    <n v="358"/>
    <n v="172"/>
    <x v="227"/>
    <x v="2"/>
    <n v="3"/>
    <x v="2"/>
  </r>
  <r>
    <n v="359"/>
    <n v="172"/>
    <x v="228"/>
    <x v="2"/>
    <n v="3"/>
    <x v="1"/>
  </r>
  <r>
    <n v="360"/>
    <n v="173"/>
    <x v="104"/>
    <x v="1"/>
    <n v="2"/>
    <x v="1"/>
  </r>
  <r>
    <n v="361"/>
    <n v="173"/>
    <x v="146"/>
    <x v="3"/>
    <n v="4"/>
    <x v="0"/>
  </r>
  <r>
    <n v="362"/>
    <n v="173"/>
    <x v="229"/>
    <x v="3"/>
    <n v="3"/>
    <x v="0"/>
  </r>
  <r>
    <n v="363"/>
    <n v="173"/>
    <x v="230"/>
    <x v="2"/>
    <n v="2"/>
    <x v="0"/>
  </r>
  <r>
    <n v="364"/>
    <n v="174"/>
    <x v="173"/>
    <x v="0"/>
    <n v="3"/>
    <x v="0"/>
  </r>
  <r>
    <n v="365"/>
    <n v="174"/>
    <x v="50"/>
    <x v="2"/>
    <n v="4"/>
    <x v="0"/>
  </r>
  <r>
    <n v="366"/>
    <n v="175"/>
    <x v="68"/>
    <x v="1"/>
    <n v="2"/>
    <x v="2"/>
  </r>
  <r>
    <n v="367"/>
    <n v="175"/>
    <x v="212"/>
    <x v="2"/>
    <n v="2"/>
    <x v="0"/>
  </r>
  <r>
    <n v="368"/>
    <n v="176"/>
    <x v="231"/>
    <x v="2"/>
    <n v="2"/>
    <x v="1"/>
  </r>
  <r>
    <n v="369"/>
    <n v="176"/>
    <x v="232"/>
    <x v="0"/>
    <n v="1"/>
    <x v="0"/>
  </r>
  <r>
    <n v="370"/>
    <n v="176"/>
    <x v="233"/>
    <x v="0"/>
    <n v="2"/>
    <x v="2"/>
  </r>
  <r>
    <n v="371"/>
    <n v="176"/>
    <x v="115"/>
    <x v="2"/>
    <n v="2"/>
    <x v="1"/>
  </r>
  <r>
    <n v="372"/>
    <n v="177"/>
    <x v="97"/>
    <x v="1"/>
    <n v="4"/>
    <x v="0"/>
  </r>
  <r>
    <n v="373"/>
    <n v="177"/>
    <x v="185"/>
    <x v="1"/>
    <n v="3"/>
    <x v="0"/>
  </r>
  <r>
    <n v="374"/>
    <n v="178"/>
    <x v="234"/>
    <x v="3"/>
    <n v="3"/>
    <x v="0"/>
  </r>
  <r>
    <n v="375"/>
    <n v="178"/>
    <x v="235"/>
    <x v="1"/>
    <n v="1"/>
    <x v="0"/>
  </r>
  <r>
    <n v="376"/>
    <n v="179"/>
    <x v="236"/>
    <x v="1"/>
    <n v="4"/>
    <x v="2"/>
  </r>
  <r>
    <n v="377"/>
    <n v="180"/>
    <x v="237"/>
    <x v="1"/>
    <n v="2"/>
    <x v="0"/>
  </r>
  <r>
    <n v="378"/>
    <n v="180"/>
    <x v="99"/>
    <x v="1"/>
    <n v="4"/>
    <x v="2"/>
  </r>
  <r>
    <n v="379"/>
    <n v="180"/>
    <x v="48"/>
    <x v="1"/>
    <n v="4"/>
    <x v="1"/>
  </r>
  <r>
    <n v="380"/>
    <n v="180"/>
    <x v="238"/>
    <x v="3"/>
    <n v="2"/>
    <x v="0"/>
  </r>
  <r>
    <n v="381"/>
    <n v="182"/>
    <x v="239"/>
    <x v="3"/>
    <n v="1"/>
    <x v="0"/>
  </r>
  <r>
    <n v="382"/>
    <n v="182"/>
    <x v="48"/>
    <x v="2"/>
    <n v="2"/>
    <x v="0"/>
  </r>
  <r>
    <n v="383"/>
    <n v="183"/>
    <x v="161"/>
    <x v="3"/>
    <n v="1"/>
    <x v="0"/>
  </r>
  <r>
    <n v="384"/>
    <n v="183"/>
    <x v="84"/>
    <x v="2"/>
    <n v="3"/>
    <x v="0"/>
  </r>
  <r>
    <n v="385"/>
    <n v="183"/>
    <x v="240"/>
    <x v="0"/>
    <n v="2"/>
    <x v="0"/>
  </r>
  <r>
    <n v="386"/>
    <n v="184"/>
    <x v="228"/>
    <x v="2"/>
    <n v="3"/>
    <x v="0"/>
  </r>
  <r>
    <n v="387"/>
    <n v="184"/>
    <x v="105"/>
    <x v="3"/>
    <n v="3"/>
    <x v="0"/>
  </r>
  <r>
    <n v="388"/>
    <n v="184"/>
    <x v="141"/>
    <x v="1"/>
    <n v="2"/>
    <x v="2"/>
  </r>
  <r>
    <n v="389"/>
    <n v="184"/>
    <x v="188"/>
    <x v="3"/>
    <n v="2"/>
    <x v="0"/>
  </r>
  <r>
    <n v="390"/>
    <n v="185"/>
    <x v="224"/>
    <x v="2"/>
    <n v="4"/>
    <x v="0"/>
  </r>
  <r>
    <n v="391"/>
    <n v="185"/>
    <x v="207"/>
    <x v="0"/>
    <n v="4"/>
    <x v="0"/>
  </r>
  <r>
    <n v="392"/>
    <n v="185"/>
    <x v="66"/>
    <x v="1"/>
    <n v="2"/>
    <x v="0"/>
  </r>
  <r>
    <n v="393"/>
    <n v="185"/>
    <x v="241"/>
    <x v="2"/>
    <n v="1"/>
    <x v="0"/>
  </r>
  <r>
    <n v="394"/>
    <n v="186"/>
    <x v="113"/>
    <x v="2"/>
    <n v="4"/>
    <x v="2"/>
  </r>
  <r>
    <n v="395"/>
    <n v="187"/>
    <x v="102"/>
    <x v="1"/>
    <n v="2"/>
    <x v="0"/>
  </r>
  <r>
    <n v="396"/>
    <n v="187"/>
    <x v="242"/>
    <x v="3"/>
    <n v="4"/>
    <x v="1"/>
  </r>
  <r>
    <n v="397"/>
    <n v="187"/>
    <x v="243"/>
    <x v="0"/>
    <n v="4"/>
    <x v="2"/>
  </r>
  <r>
    <n v="398"/>
    <n v="187"/>
    <x v="244"/>
    <x v="3"/>
    <n v="3"/>
    <x v="0"/>
  </r>
  <r>
    <n v="399"/>
    <n v="188"/>
    <x v="76"/>
    <x v="2"/>
    <n v="3"/>
    <x v="0"/>
  </r>
  <r>
    <n v="400"/>
    <n v="188"/>
    <x v="147"/>
    <x v="1"/>
    <n v="4"/>
    <x v="2"/>
  </r>
  <r>
    <n v="401"/>
    <n v="188"/>
    <x v="65"/>
    <x v="2"/>
    <n v="2"/>
    <x v="0"/>
  </r>
  <r>
    <n v="402"/>
    <n v="189"/>
    <x v="245"/>
    <x v="1"/>
    <n v="2"/>
    <x v="1"/>
  </r>
  <r>
    <n v="403"/>
    <n v="189"/>
    <x v="246"/>
    <x v="0"/>
    <n v="3"/>
    <x v="0"/>
  </r>
  <r>
    <n v="404"/>
    <n v="189"/>
    <x v="182"/>
    <x v="2"/>
    <n v="2"/>
    <x v="0"/>
  </r>
  <r>
    <n v="405"/>
    <n v="189"/>
    <x v="247"/>
    <x v="1"/>
    <n v="4"/>
    <x v="0"/>
  </r>
  <r>
    <n v="406"/>
    <n v="190"/>
    <x v="248"/>
    <x v="3"/>
    <n v="4"/>
    <x v="0"/>
  </r>
  <r>
    <n v="407"/>
    <n v="190"/>
    <x v="51"/>
    <x v="2"/>
    <n v="3"/>
    <x v="1"/>
  </r>
  <r>
    <n v="408"/>
    <n v="190"/>
    <x v="112"/>
    <x v="1"/>
    <n v="4"/>
    <x v="1"/>
  </r>
  <r>
    <n v="409"/>
    <n v="190"/>
    <x v="249"/>
    <x v="3"/>
    <n v="4"/>
    <x v="0"/>
  </r>
  <r>
    <n v="410"/>
    <n v="191"/>
    <x v="250"/>
    <x v="2"/>
    <n v="3"/>
    <x v="0"/>
  </r>
  <r>
    <n v="411"/>
    <n v="191"/>
    <x v="192"/>
    <x v="0"/>
    <n v="2"/>
    <x v="0"/>
  </r>
  <r>
    <n v="412"/>
    <n v="192"/>
    <x v="167"/>
    <x v="0"/>
    <n v="1"/>
    <x v="1"/>
  </r>
  <r>
    <n v="413"/>
    <n v="192"/>
    <x v="16"/>
    <x v="3"/>
    <n v="2"/>
    <x v="0"/>
  </r>
  <r>
    <n v="414"/>
    <n v="192"/>
    <x v="251"/>
    <x v="0"/>
    <n v="1"/>
    <x v="2"/>
  </r>
  <r>
    <n v="415"/>
    <n v="192"/>
    <x v="34"/>
    <x v="3"/>
    <n v="3"/>
    <x v="0"/>
  </r>
  <r>
    <n v="416"/>
    <n v="193"/>
    <x v="236"/>
    <x v="1"/>
    <n v="2"/>
    <x v="0"/>
  </r>
  <r>
    <n v="417"/>
    <n v="193"/>
    <x v="53"/>
    <x v="1"/>
    <n v="3"/>
    <x v="0"/>
  </r>
  <r>
    <n v="418"/>
    <n v="193"/>
    <x v="250"/>
    <x v="1"/>
    <n v="3"/>
    <x v="0"/>
  </r>
  <r>
    <n v="419"/>
    <n v="193"/>
    <x v="252"/>
    <x v="3"/>
    <n v="2"/>
    <x v="0"/>
  </r>
  <r>
    <n v="420"/>
    <n v="194"/>
    <x v="99"/>
    <x v="0"/>
    <n v="3"/>
    <x v="2"/>
  </r>
  <r>
    <n v="421"/>
    <n v="194"/>
    <x v="122"/>
    <x v="1"/>
    <n v="2"/>
    <x v="0"/>
  </r>
  <r>
    <n v="422"/>
    <n v="194"/>
    <x v="85"/>
    <x v="0"/>
    <n v="1"/>
    <x v="0"/>
  </r>
  <r>
    <n v="423"/>
    <n v="194"/>
    <x v="242"/>
    <x v="2"/>
    <n v="2"/>
    <x v="2"/>
  </r>
  <r>
    <n v="424"/>
    <n v="196"/>
    <x v="231"/>
    <x v="2"/>
    <n v="2"/>
    <x v="0"/>
  </r>
  <r>
    <n v="425"/>
    <n v="196"/>
    <x v="60"/>
    <x v="0"/>
    <n v="2"/>
    <x v="0"/>
  </r>
  <r>
    <n v="426"/>
    <n v="196"/>
    <x v="96"/>
    <x v="0"/>
    <n v="3"/>
    <x v="2"/>
  </r>
  <r>
    <n v="427"/>
    <n v="198"/>
    <x v="253"/>
    <x v="3"/>
    <n v="4"/>
    <x v="0"/>
  </r>
  <r>
    <n v="428"/>
    <n v="198"/>
    <x v="254"/>
    <x v="3"/>
    <n v="4"/>
    <x v="0"/>
  </r>
  <r>
    <n v="429"/>
    <n v="198"/>
    <x v="255"/>
    <x v="0"/>
    <n v="3"/>
    <x v="2"/>
  </r>
  <r>
    <n v="430"/>
    <n v="198"/>
    <x v="226"/>
    <x v="1"/>
    <n v="2"/>
    <x v="1"/>
  </r>
  <r>
    <n v="431"/>
    <n v="199"/>
    <x v="69"/>
    <x v="3"/>
    <n v="2"/>
    <x v="0"/>
  </r>
  <r>
    <n v="432"/>
    <n v="200"/>
    <x v="183"/>
    <x v="3"/>
    <n v="4"/>
    <x v="0"/>
  </r>
  <r>
    <n v="433"/>
    <n v="200"/>
    <x v="41"/>
    <x v="2"/>
    <n v="4"/>
    <x v="2"/>
  </r>
  <r>
    <n v="434"/>
    <n v="200"/>
    <x v="256"/>
    <x v="1"/>
    <n v="4"/>
    <x v="2"/>
  </r>
  <r>
    <n v="435"/>
    <n v="200"/>
    <x v="257"/>
    <x v="2"/>
    <n v="4"/>
    <x v="0"/>
  </r>
  <r>
    <n v="436"/>
    <n v="201"/>
    <x v="258"/>
    <x v="0"/>
    <n v="4"/>
    <x v="0"/>
  </r>
  <r>
    <n v="437"/>
    <n v="201"/>
    <x v="259"/>
    <x v="0"/>
    <n v="1"/>
    <x v="2"/>
  </r>
  <r>
    <n v="438"/>
    <n v="201"/>
    <x v="179"/>
    <x v="2"/>
    <n v="1"/>
    <x v="2"/>
  </r>
  <r>
    <n v="439"/>
    <n v="201"/>
    <x v="193"/>
    <x v="1"/>
    <n v="4"/>
    <x v="0"/>
  </r>
  <r>
    <n v="440"/>
    <n v="202"/>
    <x v="203"/>
    <x v="2"/>
    <n v="4"/>
    <x v="0"/>
  </r>
  <r>
    <n v="441"/>
    <n v="202"/>
    <x v="85"/>
    <x v="0"/>
    <n v="4"/>
    <x v="0"/>
  </r>
  <r>
    <n v="442"/>
    <n v="203"/>
    <x v="117"/>
    <x v="0"/>
    <n v="3"/>
    <x v="1"/>
  </r>
  <r>
    <n v="443"/>
    <n v="203"/>
    <x v="97"/>
    <x v="0"/>
    <n v="1"/>
    <x v="0"/>
  </r>
  <r>
    <n v="444"/>
    <n v="203"/>
    <x v="2"/>
    <x v="2"/>
    <n v="4"/>
    <x v="1"/>
  </r>
  <r>
    <n v="445"/>
    <n v="204"/>
    <x v="64"/>
    <x v="1"/>
    <n v="3"/>
    <x v="0"/>
  </r>
  <r>
    <n v="446"/>
    <n v="204"/>
    <x v="143"/>
    <x v="0"/>
    <n v="4"/>
    <x v="0"/>
  </r>
  <r>
    <n v="447"/>
    <n v="204"/>
    <x v="97"/>
    <x v="0"/>
    <n v="1"/>
    <x v="0"/>
  </r>
  <r>
    <n v="448"/>
    <n v="205"/>
    <x v="239"/>
    <x v="2"/>
    <n v="4"/>
    <x v="1"/>
  </r>
  <r>
    <n v="449"/>
    <n v="205"/>
    <x v="260"/>
    <x v="1"/>
    <n v="1"/>
    <x v="2"/>
  </r>
  <r>
    <n v="450"/>
    <n v="206"/>
    <x v="261"/>
    <x v="1"/>
    <n v="1"/>
    <x v="1"/>
  </r>
  <r>
    <n v="451"/>
    <n v="206"/>
    <x v="148"/>
    <x v="2"/>
    <n v="3"/>
    <x v="0"/>
  </r>
  <r>
    <n v="452"/>
    <n v="207"/>
    <x v="46"/>
    <x v="0"/>
    <n v="1"/>
    <x v="0"/>
  </r>
  <r>
    <n v="453"/>
    <n v="207"/>
    <x v="198"/>
    <x v="2"/>
    <n v="1"/>
    <x v="0"/>
  </r>
  <r>
    <n v="454"/>
    <n v="208"/>
    <x v="45"/>
    <x v="2"/>
    <n v="1"/>
    <x v="1"/>
  </r>
  <r>
    <n v="455"/>
    <n v="208"/>
    <x v="33"/>
    <x v="2"/>
    <n v="4"/>
    <x v="0"/>
  </r>
  <r>
    <n v="456"/>
    <n v="208"/>
    <x v="262"/>
    <x v="2"/>
    <n v="3"/>
    <x v="0"/>
  </r>
  <r>
    <n v="457"/>
    <n v="208"/>
    <x v="99"/>
    <x v="3"/>
    <n v="4"/>
    <x v="1"/>
  </r>
  <r>
    <n v="458"/>
    <n v="209"/>
    <x v="263"/>
    <x v="3"/>
    <n v="1"/>
    <x v="0"/>
  </r>
  <r>
    <n v="459"/>
    <n v="209"/>
    <x v="58"/>
    <x v="2"/>
    <n v="4"/>
    <x v="0"/>
  </r>
  <r>
    <n v="460"/>
    <n v="209"/>
    <x v="92"/>
    <x v="0"/>
    <n v="2"/>
    <x v="0"/>
  </r>
  <r>
    <n v="461"/>
    <n v="210"/>
    <x v="42"/>
    <x v="2"/>
    <n v="4"/>
    <x v="0"/>
  </r>
  <r>
    <n v="462"/>
    <n v="210"/>
    <x v="183"/>
    <x v="3"/>
    <n v="3"/>
    <x v="0"/>
  </r>
  <r>
    <n v="463"/>
    <n v="210"/>
    <x v="264"/>
    <x v="0"/>
    <n v="4"/>
    <x v="2"/>
  </r>
  <r>
    <n v="464"/>
    <n v="210"/>
    <x v="159"/>
    <x v="1"/>
    <n v="2"/>
    <x v="1"/>
  </r>
  <r>
    <n v="465"/>
    <n v="211"/>
    <x v="185"/>
    <x v="2"/>
    <n v="2"/>
    <x v="0"/>
  </r>
  <r>
    <n v="466"/>
    <n v="211"/>
    <x v="52"/>
    <x v="0"/>
    <n v="1"/>
    <x v="0"/>
  </r>
  <r>
    <n v="467"/>
    <n v="211"/>
    <x v="157"/>
    <x v="3"/>
    <n v="2"/>
    <x v="1"/>
  </r>
  <r>
    <n v="468"/>
    <n v="211"/>
    <x v="265"/>
    <x v="1"/>
    <n v="1"/>
    <x v="0"/>
  </r>
  <r>
    <n v="469"/>
    <n v="212"/>
    <x v="171"/>
    <x v="2"/>
    <n v="4"/>
    <x v="0"/>
  </r>
  <r>
    <n v="470"/>
    <n v="212"/>
    <x v="202"/>
    <x v="2"/>
    <n v="3"/>
    <x v="2"/>
  </r>
  <r>
    <n v="471"/>
    <n v="212"/>
    <x v="266"/>
    <x v="2"/>
    <n v="2"/>
    <x v="0"/>
  </r>
  <r>
    <n v="472"/>
    <n v="214"/>
    <x v="157"/>
    <x v="2"/>
    <n v="3"/>
    <x v="2"/>
  </r>
  <r>
    <n v="473"/>
    <n v="214"/>
    <x v="93"/>
    <x v="1"/>
    <n v="4"/>
    <x v="0"/>
  </r>
  <r>
    <n v="474"/>
    <n v="214"/>
    <x v="117"/>
    <x v="2"/>
    <n v="3"/>
    <x v="0"/>
  </r>
  <r>
    <n v="475"/>
    <n v="215"/>
    <x v="180"/>
    <x v="0"/>
    <n v="2"/>
    <x v="0"/>
  </r>
  <r>
    <n v="476"/>
    <n v="216"/>
    <x v="80"/>
    <x v="3"/>
    <n v="3"/>
    <x v="1"/>
  </r>
  <r>
    <n v="477"/>
    <n v="216"/>
    <x v="267"/>
    <x v="1"/>
    <n v="3"/>
    <x v="0"/>
  </r>
  <r>
    <n v="478"/>
    <n v="216"/>
    <x v="268"/>
    <x v="0"/>
    <n v="2"/>
    <x v="2"/>
  </r>
  <r>
    <n v="479"/>
    <n v="217"/>
    <x v="221"/>
    <x v="3"/>
    <n v="3"/>
    <x v="0"/>
  </r>
  <r>
    <n v="480"/>
    <n v="217"/>
    <x v="76"/>
    <x v="1"/>
    <n v="4"/>
    <x v="0"/>
  </r>
  <r>
    <n v="481"/>
    <n v="217"/>
    <x v="269"/>
    <x v="1"/>
    <n v="1"/>
    <x v="0"/>
  </r>
  <r>
    <n v="482"/>
    <n v="218"/>
    <x v="109"/>
    <x v="2"/>
    <n v="2"/>
    <x v="1"/>
  </r>
  <r>
    <n v="483"/>
    <n v="218"/>
    <x v="25"/>
    <x v="1"/>
    <n v="2"/>
    <x v="1"/>
  </r>
  <r>
    <n v="484"/>
    <n v="219"/>
    <x v="191"/>
    <x v="2"/>
    <n v="2"/>
    <x v="2"/>
  </r>
  <r>
    <n v="485"/>
    <n v="219"/>
    <x v="265"/>
    <x v="2"/>
    <n v="2"/>
    <x v="2"/>
  </r>
  <r>
    <n v="486"/>
    <n v="219"/>
    <x v="153"/>
    <x v="1"/>
    <n v="1"/>
    <x v="0"/>
  </r>
  <r>
    <n v="487"/>
    <n v="223"/>
    <x v="28"/>
    <x v="1"/>
    <n v="4"/>
    <x v="0"/>
  </r>
  <r>
    <n v="488"/>
    <n v="224"/>
    <x v="99"/>
    <x v="3"/>
    <n v="4"/>
    <x v="0"/>
  </r>
  <r>
    <n v="489"/>
    <n v="226"/>
    <x v="270"/>
    <x v="2"/>
    <n v="3"/>
    <x v="2"/>
  </r>
  <r>
    <n v="490"/>
    <n v="229"/>
    <x v="4"/>
    <x v="2"/>
    <n v="1"/>
    <x v="0"/>
  </r>
  <r>
    <n v="491"/>
    <n v="230"/>
    <x v="271"/>
    <x v="3"/>
    <n v="1"/>
    <x v="0"/>
  </r>
  <r>
    <n v="492"/>
    <n v="230"/>
    <x v="141"/>
    <x v="1"/>
    <n v="4"/>
    <x v="0"/>
  </r>
  <r>
    <n v="493"/>
    <n v="230"/>
    <x v="125"/>
    <x v="2"/>
    <n v="1"/>
    <x v="2"/>
  </r>
  <r>
    <n v="494"/>
    <n v="230"/>
    <x v="74"/>
    <x v="0"/>
    <n v="1"/>
    <x v="1"/>
  </r>
  <r>
    <n v="495"/>
    <n v="231"/>
    <x v="37"/>
    <x v="0"/>
    <n v="1"/>
    <x v="1"/>
  </r>
  <r>
    <n v="496"/>
    <n v="231"/>
    <x v="234"/>
    <x v="0"/>
    <n v="3"/>
    <x v="0"/>
  </r>
  <r>
    <n v="497"/>
    <n v="231"/>
    <x v="272"/>
    <x v="2"/>
    <n v="2"/>
    <x v="1"/>
  </r>
  <r>
    <n v="498"/>
    <n v="231"/>
    <x v="181"/>
    <x v="2"/>
    <n v="3"/>
    <x v="0"/>
  </r>
  <r>
    <n v="499"/>
    <n v="232"/>
    <x v="273"/>
    <x v="0"/>
    <n v="3"/>
    <x v="0"/>
  </r>
  <r>
    <n v="500"/>
    <n v="232"/>
    <x v="274"/>
    <x v="0"/>
    <n v="4"/>
    <x v="0"/>
  </r>
  <r>
    <n v="501"/>
    <n v="232"/>
    <x v="131"/>
    <x v="0"/>
    <n v="1"/>
    <x v="0"/>
  </r>
  <r>
    <n v="502"/>
    <n v="234"/>
    <x v="109"/>
    <x v="0"/>
    <n v="1"/>
    <x v="1"/>
  </r>
  <r>
    <n v="503"/>
    <n v="234"/>
    <x v="275"/>
    <x v="0"/>
    <n v="1"/>
    <x v="0"/>
  </r>
  <r>
    <n v="504"/>
    <n v="234"/>
    <x v="276"/>
    <x v="2"/>
    <n v="2"/>
    <x v="1"/>
  </r>
  <r>
    <n v="505"/>
    <n v="234"/>
    <x v="195"/>
    <x v="1"/>
    <n v="1"/>
    <x v="2"/>
  </r>
  <r>
    <n v="506"/>
    <n v="235"/>
    <x v="277"/>
    <x v="0"/>
    <n v="4"/>
    <x v="0"/>
  </r>
  <r>
    <n v="507"/>
    <n v="235"/>
    <x v="16"/>
    <x v="0"/>
    <n v="4"/>
    <x v="0"/>
  </r>
  <r>
    <n v="508"/>
    <n v="235"/>
    <x v="138"/>
    <x v="3"/>
    <n v="1"/>
    <x v="0"/>
  </r>
  <r>
    <n v="509"/>
    <n v="235"/>
    <x v="36"/>
    <x v="1"/>
    <n v="2"/>
    <x v="1"/>
  </r>
  <r>
    <n v="510"/>
    <n v="236"/>
    <x v="54"/>
    <x v="1"/>
    <n v="3"/>
    <x v="1"/>
  </r>
  <r>
    <n v="511"/>
    <n v="236"/>
    <x v="264"/>
    <x v="2"/>
    <n v="4"/>
    <x v="0"/>
  </r>
  <r>
    <n v="512"/>
    <n v="236"/>
    <x v="185"/>
    <x v="0"/>
    <n v="1"/>
    <x v="0"/>
  </r>
  <r>
    <n v="513"/>
    <n v="237"/>
    <x v="269"/>
    <x v="3"/>
    <n v="4"/>
    <x v="0"/>
  </r>
  <r>
    <n v="514"/>
    <n v="237"/>
    <x v="163"/>
    <x v="3"/>
    <n v="2"/>
    <x v="0"/>
  </r>
  <r>
    <n v="515"/>
    <n v="238"/>
    <x v="228"/>
    <x v="1"/>
    <n v="3"/>
    <x v="0"/>
  </r>
  <r>
    <n v="516"/>
    <n v="238"/>
    <x v="278"/>
    <x v="1"/>
    <n v="1"/>
    <x v="0"/>
  </r>
  <r>
    <n v="517"/>
    <n v="238"/>
    <x v="206"/>
    <x v="2"/>
    <n v="3"/>
    <x v="2"/>
  </r>
  <r>
    <n v="518"/>
    <n v="238"/>
    <x v="67"/>
    <x v="2"/>
    <n v="1"/>
    <x v="0"/>
  </r>
  <r>
    <n v="519"/>
    <n v="239"/>
    <x v="279"/>
    <x v="0"/>
    <n v="2"/>
    <x v="0"/>
  </r>
  <r>
    <n v="520"/>
    <n v="239"/>
    <x v="276"/>
    <x v="2"/>
    <n v="4"/>
    <x v="2"/>
  </r>
  <r>
    <n v="521"/>
    <n v="239"/>
    <x v="117"/>
    <x v="0"/>
    <n v="4"/>
    <x v="0"/>
  </r>
  <r>
    <n v="522"/>
    <n v="240"/>
    <x v="117"/>
    <x v="2"/>
    <n v="4"/>
    <x v="0"/>
  </r>
  <r>
    <n v="523"/>
    <n v="240"/>
    <x v="74"/>
    <x v="2"/>
    <n v="1"/>
    <x v="1"/>
  </r>
  <r>
    <n v="524"/>
    <n v="240"/>
    <x v="177"/>
    <x v="3"/>
    <n v="4"/>
    <x v="1"/>
  </r>
  <r>
    <n v="525"/>
    <n v="241"/>
    <x v="280"/>
    <x v="0"/>
    <n v="3"/>
    <x v="2"/>
  </r>
  <r>
    <n v="526"/>
    <n v="241"/>
    <x v="11"/>
    <x v="1"/>
    <n v="3"/>
    <x v="0"/>
  </r>
  <r>
    <n v="527"/>
    <n v="241"/>
    <x v="98"/>
    <x v="3"/>
    <n v="2"/>
    <x v="2"/>
  </r>
  <r>
    <n v="528"/>
    <n v="242"/>
    <x v="136"/>
    <x v="2"/>
    <n v="1"/>
    <x v="2"/>
  </r>
  <r>
    <n v="529"/>
    <n v="242"/>
    <x v="250"/>
    <x v="3"/>
    <n v="2"/>
    <x v="1"/>
  </r>
  <r>
    <n v="530"/>
    <n v="243"/>
    <x v="281"/>
    <x v="3"/>
    <n v="4"/>
    <x v="0"/>
  </r>
  <r>
    <n v="531"/>
    <n v="245"/>
    <x v="19"/>
    <x v="1"/>
    <n v="1"/>
    <x v="2"/>
  </r>
  <r>
    <n v="532"/>
    <n v="245"/>
    <x v="137"/>
    <x v="2"/>
    <n v="1"/>
    <x v="1"/>
  </r>
  <r>
    <n v="533"/>
    <n v="246"/>
    <x v="63"/>
    <x v="2"/>
    <n v="1"/>
    <x v="0"/>
  </r>
  <r>
    <n v="534"/>
    <n v="246"/>
    <x v="51"/>
    <x v="2"/>
    <n v="2"/>
    <x v="2"/>
  </r>
  <r>
    <n v="535"/>
    <n v="246"/>
    <x v="282"/>
    <x v="0"/>
    <n v="1"/>
    <x v="1"/>
  </r>
  <r>
    <n v="536"/>
    <n v="246"/>
    <x v="133"/>
    <x v="2"/>
    <n v="2"/>
    <x v="1"/>
  </r>
  <r>
    <n v="537"/>
    <n v="249"/>
    <x v="283"/>
    <x v="0"/>
    <n v="3"/>
    <x v="0"/>
  </r>
  <r>
    <n v="538"/>
    <n v="250"/>
    <x v="83"/>
    <x v="1"/>
    <n v="2"/>
    <x v="0"/>
  </r>
  <r>
    <n v="539"/>
    <n v="250"/>
    <x v="284"/>
    <x v="3"/>
    <n v="3"/>
    <x v="0"/>
  </r>
  <r>
    <n v="540"/>
    <n v="250"/>
    <x v="285"/>
    <x v="3"/>
    <n v="1"/>
    <x v="0"/>
  </r>
  <r>
    <n v="541"/>
    <n v="253"/>
    <x v="52"/>
    <x v="2"/>
    <n v="2"/>
    <x v="0"/>
  </r>
  <r>
    <n v="542"/>
    <n v="254"/>
    <x v="146"/>
    <x v="3"/>
    <n v="4"/>
    <x v="2"/>
  </r>
  <r>
    <n v="543"/>
    <n v="254"/>
    <x v="286"/>
    <x v="1"/>
    <n v="3"/>
    <x v="0"/>
  </r>
  <r>
    <n v="544"/>
    <n v="254"/>
    <x v="17"/>
    <x v="3"/>
    <n v="3"/>
    <x v="0"/>
  </r>
  <r>
    <n v="545"/>
    <n v="255"/>
    <x v="61"/>
    <x v="2"/>
    <n v="1"/>
    <x v="2"/>
  </r>
  <r>
    <n v="546"/>
    <n v="255"/>
    <x v="216"/>
    <x v="3"/>
    <n v="2"/>
    <x v="0"/>
  </r>
  <r>
    <n v="547"/>
    <n v="255"/>
    <x v="171"/>
    <x v="0"/>
    <n v="2"/>
    <x v="1"/>
  </r>
  <r>
    <n v="548"/>
    <n v="256"/>
    <x v="205"/>
    <x v="2"/>
    <n v="4"/>
    <x v="1"/>
  </r>
  <r>
    <n v="549"/>
    <n v="256"/>
    <x v="8"/>
    <x v="1"/>
    <n v="2"/>
    <x v="0"/>
  </r>
  <r>
    <n v="550"/>
    <n v="257"/>
    <x v="287"/>
    <x v="1"/>
    <n v="1"/>
    <x v="0"/>
  </r>
  <r>
    <n v="551"/>
    <n v="258"/>
    <x v="218"/>
    <x v="1"/>
    <n v="4"/>
    <x v="0"/>
  </r>
  <r>
    <n v="552"/>
    <n v="258"/>
    <x v="103"/>
    <x v="2"/>
    <n v="2"/>
    <x v="0"/>
  </r>
  <r>
    <n v="553"/>
    <n v="258"/>
    <x v="259"/>
    <x v="1"/>
    <n v="2"/>
    <x v="0"/>
  </r>
  <r>
    <n v="554"/>
    <n v="259"/>
    <x v="261"/>
    <x v="3"/>
    <n v="3"/>
    <x v="0"/>
  </r>
  <r>
    <n v="555"/>
    <n v="259"/>
    <x v="269"/>
    <x v="3"/>
    <n v="3"/>
    <x v="1"/>
  </r>
  <r>
    <n v="556"/>
    <n v="259"/>
    <x v="225"/>
    <x v="0"/>
    <n v="1"/>
    <x v="2"/>
  </r>
  <r>
    <n v="557"/>
    <n v="259"/>
    <x v="252"/>
    <x v="3"/>
    <n v="2"/>
    <x v="1"/>
  </r>
  <r>
    <n v="558"/>
    <n v="260"/>
    <x v="231"/>
    <x v="2"/>
    <n v="1"/>
    <x v="2"/>
  </r>
  <r>
    <n v="559"/>
    <n v="260"/>
    <x v="204"/>
    <x v="2"/>
    <n v="2"/>
    <x v="0"/>
  </r>
  <r>
    <n v="560"/>
    <n v="260"/>
    <x v="19"/>
    <x v="1"/>
    <n v="3"/>
    <x v="0"/>
  </r>
  <r>
    <n v="561"/>
    <n v="263"/>
    <x v="130"/>
    <x v="0"/>
    <n v="3"/>
    <x v="1"/>
  </r>
  <r>
    <n v="562"/>
    <n v="263"/>
    <x v="80"/>
    <x v="2"/>
    <n v="3"/>
    <x v="1"/>
  </r>
  <r>
    <n v="563"/>
    <n v="265"/>
    <x v="16"/>
    <x v="3"/>
    <n v="4"/>
    <x v="0"/>
  </r>
  <r>
    <n v="564"/>
    <n v="265"/>
    <x v="93"/>
    <x v="1"/>
    <n v="1"/>
    <x v="0"/>
  </r>
  <r>
    <n v="565"/>
    <n v="265"/>
    <x v="74"/>
    <x v="2"/>
    <n v="2"/>
    <x v="0"/>
  </r>
  <r>
    <n v="566"/>
    <n v="265"/>
    <x v="288"/>
    <x v="3"/>
    <n v="3"/>
    <x v="0"/>
  </r>
  <r>
    <n v="567"/>
    <n v="267"/>
    <x v="276"/>
    <x v="2"/>
    <n v="1"/>
    <x v="0"/>
  </r>
  <r>
    <n v="568"/>
    <n v="267"/>
    <x v="202"/>
    <x v="0"/>
    <n v="1"/>
    <x v="0"/>
  </r>
  <r>
    <n v="569"/>
    <n v="269"/>
    <x v="289"/>
    <x v="3"/>
    <n v="3"/>
    <x v="2"/>
  </r>
  <r>
    <n v="570"/>
    <n v="269"/>
    <x v="219"/>
    <x v="2"/>
    <n v="1"/>
    <x v="1"/>
  </r>
  <r>
    <n v="571"/>
    <n v="271"/>
    <x v="290"/>
    <x v="3"/>
    <n v="3"/>
    <x v="0"/>
  </r>
  <r>
    <n v="572"/>
    <n v="271"/>
    <x v="99"/>
    <x v="0"/>
    <n v="1"/>
    <x v="0"/>
  </r>
  <r>
    <n v="573"/>
    <n v="272"/>
    <x v="201"/>
    <x v="3"/>
    <n v="4"/>
    <x v="0"/>
  </r>
  <r>
    <n v="574"/>
    <n v="272"/>
    <x v="122"/>
    <x v="2"/>
    <n v="4"/>
    <x v="2"/>
  </r>
  <r>
    <n v="575"/>
    <n v="272"/>
    <x v="127"/>
    <x v="2"/>
    <n v="2"/>
    <x v="2"/>
  </r>
  <r>
    <n v="576"/>
    <n v="272"/>
    <x v="187"/>
    <x v="0"/>
    <n v="1"/>
    <x v="0"/>
  </r>
  <r>
    <n v="577"/>
    <n v="273"/>
    <x v="81"/>
    <x v="3"/>
    <n v="1"/>
    <x v="1"/>
  </r>
  <r>
    <n v="578"/>
    <n v="274"/>
    <x v="251"/>
    <x v="0"/>
    <n v="2"/>
    <x v="2"/>
  </r>
  <r>
    <n v="579"/>
    <n v="275"/>
    <x v="258"/>
    <x v="3"/>
    <n v="3"/>
    <x v="2"/>
  </r>
  <r>
    <n v="580"/>
    <n v="276"/>
    <x v="211"/>
    <x v="0"/>
    <n v="1"/>
    <x v="1"/>
  </r>
  <r>
    <n v="581"/>
    <n v="277"/>
    <x v="91"/>
    <x v="1"/>
    <n v="2"/>
    <x v="2"/>
  </r>
  <r>
    <n v="582"/>
    <n v="278"/>
    <x v="138"/>
    <x v="0"/>
    <n v="4"/>
    <x v="2"/>
  </r>
  <r>
    <n v="583"/>
    <n v="278"/>
    <x v="94"/>
    <x v="2"/>
    <n v="3"/>
    <x v="0"/>
  </r>
  <r>
    <n v="584"/>
    <n v="279"/>
    <x v="291"/>
    <x v="1"/>
    <n v="3"/>
    <x v="2"/>
  </r>
  <r>
    <n v="585"/>
    <n v="279"/>
    <x v="0"/>
    <x v="3"/>
    <n v="1"/>
    <x v="1"/>
  </r>
  <r>
    <n v="586"/>
    <n v="279"/>
    <x v="117"/>
    <x v="0"/>
    <n v="3"/>
    <x v="0"/>
  </r>
  <r>
    <n v="587"/>
    <n v="279"/>
    <x v="202"/>
    <x v="0"/>
    <n v="1"/>
    <x v="0"/>
  </r>
  <r>
    <n v="588"/>
    <n v="280"/>
    <x v="64"/>
    <x v="3"/>
    <n v="2"/>
    <x v="0"/>
  </r>
  <r>
    <n v="589"/>
    <n v="283"/>
    <x v="264"/>
    <x v="0"/>
    <n v="3"/>
    <x v="0"/>
  </r>
  <r>
    <n v="590"/>
    <n v="283"/>
    <x v="292"/>
    <x v="3"/>
    <n v="2"/>
    <x v="0"/>
  </r>
  <r>
    <n v="591"/>
    <n v="283"/>
    <x v="34"/>
    <x v="3"/>
    <n v="4"/>
    <x v="0"/>
  </r>
  <r>
    <n v="592"/>
    <n v="284"/>
    <x v="65"/>
    <x v="1"/>
    <n v="2"/>
    <x v="0"/>
  </r>
  <r>
    <n v="593"/>
    <n v="284"/>
    <x v="293"/>
    <x v="3"/>
    <n v="3"/>
    <x v="0"/>
  </r>
  <r>
    <n v="594"/>
    <n v="285"/>
    <x v="58"/>
    <x v="2"/>
    <n v="4"/>
    <x v="0"/>
  </r>
  <r>
    <n v="595"/>
    <n v="285"/>
    <x v="44"/>
    <x v="0"/>
    <n v="2"/>
    <x v="1"/>
  </r>
  <r>
    <n v="596"/>
    <n v="285"/>
    <x v="294"/>
    <x v="0"/>
    <n v="2"/>
    <x v="1"/>
  </r>
  <r>
    <n v="597"/>
    <n v="286"/>
    <x v="165"/>
    <x v="1"/>
    <n v="1"/>
    <x v="0"/>
  </r>
  <r>
    <n v="598"/>
    <n v="286"/>
    <x v="295"/>
    <x v="1"/>
    <n v="4"/>
    <x v="0"/>
  </r>
  <r>
    <n v="599"/>
    <n v="286"/>
    <x v="296"/>
    <x v="3"/>
    <n v="4"/>
    <x v="2"/>
  </r>
  <r>
    <n v="600"/>
    <n v="287"/>
    <x v="161"/>
    <x v="1"/>
    <n v="1"/>
    <x v="0"/>
  </r>
  <r>
    <n v="601"/>
    <n v="287"/>
    <x v="53"/>
    <x v="2"/>
    <n v="3"/>
    <x v="0"/>
  </r>
  <r>
    <n v="602"/>
    <n v="288"/>
    <x v="144"/>
    <x v="1"/>
    <n v="1"/>
    <x v="2"/>
  </r>
  <r>
    <n v="603"/>
    <n v="288"/>
    <x v="166"/>
    <x v="2"/>
    <n v="3"/>
    <x v="0"/>
  </r>
  <r>
    <n v="604"/>
    <n v="288"/>
    <x v="297"/>
    <x v="0"/>
    <n v="3"/>
    <x v="1"/>
  </r>
  <r>
    <n v="605"/>
    <n v="289"/>
    <x v="230"/>
    <x v="0"/>
    <n v="4"/>
    <x v="0"/>
  </r>
  <r>
    <n v="606"/>
    <n v="289"/>
    <x v="2"/>
    <x v="0"/>
    <n v="1"/>
    <x v="0"/>
  </r>
  <r>
    <n v="607"/>
    <n v="289"/>
    <x v="167"/>
    <x v="1"/>
    <n v="4"/>
    <x v="0"/>
  </r>
  <r>
    <n v="608"/>
    <n v="290"/>
    <x v="62"/>
    <x v="0"/>
    <n v="1"/>
    <x v="0"/>
  </r>
  <r>
    <n v="609"/>
    <n v="290"/>
    <x v="114"/>
    <x v="2"/>
    <n v="1"/>
    <x v="0"/>
  </r>
  <r>
    <n v="610"/>
    <n v="290"/>
    <x v="54"/>
    <x v="2"/>
    <n v="4"/>
    <x v="0"/>
  </r>
  <r>
    <n v="611"/>
    <n v="290"/>
    <x v="30"/>
    <x v="3"/>
    <n v="2"/>
    <x v="0"/>
  </r>
  <r>
    <n v="612"/>
    <n v="291"/>
    <x v="97"/>
    <x v="0"/>
    <n v="4"/>
    <x v="2"/>
  </r>
  <r>
    <n v="613"/>
    <n v="291"/>
    <x v="295"/>
    <x v="0"/>
    <n v="1"/>
    <x v="0"/>
  </r>
  <r>
    <n v="614"/>
    <n v="292"/>
    <x v="273"/>
    <x v="2"/>
    <n v="1"/>
    <x v="1"/>
  </r>
  <r>
    <n v="615"/>
    <n v="292"/>
    <x v="159"/>
    <x v="0"/>
    <n v="1"/>
    <x v="0"/>
  </r>
  <r>
    <n v="616"/>
    <n v="292"/>
    <x v="249"/>
    <x v="2"/>
    <n v="3"/>
    <x v="2"/>
  </r>
  <r>
    <n v="617"/>
    <n v="292"/>
    <x v="79"/>
    <x v="1"/>
    <n v="3"/>
    <x v="0"/>
  </r>
  <r>
    <n v="618"/>
    <n v="293"/>
    <x v="298"/>
    <x v="0"/>
    <n v="2"/>
    <x v="0"/>
  </r>
  <r>
    <n v="619"/>
    <n v="293"/>
    <x v="299"/>
    <x v="2"/>
    <n v="3"/>
    <x v="1"/>
  </r>
  <r>
    <n v="620"/>
    <n v="293"/>
    <x v="66"/>
    <x v="2"/>
    <n v="4"/>
    <x v="0"/>
  </r>
  <r>
    <n v="621"/>
    <n v="294"/>
    <x v="187"/>
    <x v="3"/>
    <n v="1"/>
    <x v="0"/>
  </r>
  <r>
    <n v="622"/>
    <n v="294"/>
    <x v="168"/>
    <x v="0"/>
    <n v="2"/>
    <x v="1"/>
  </r>
  <r>
    <n v="623"/>
    <n v="294"/>
    <x v="300"/>
    <x v="0"/>
    <n v="4"/>
    <x v="1"/>
  </r>
  <r>
    <n v="624"/>
    <n v="295"/>
    <x v="223"/>
    <x v="3"/>
    <n v="4"/>
    <x v="0"/>
  </r>
  <r>
    <n v="625"/>
    <n v="295"/>
    <x v="301"/>
    <x v="0"/>
    <n v="2"/>
    <x v="0"/>
  </r>
  <r>
    <n v="626"/>
    <n v="295"/>
    <x v="35"/>
    <x v="3"/>
    <n v="3"/>
    <x v="0"/>
  </r>
  <r>
    <n v="627"/>
    <n v="295"/>
    <x v="29"/>
    <x v="1"/>
    <n v="1"/>
    <x v="0"/>
  </r>
  <r>
    <n v="628"/>
    <n v="296"/>
    <x v="297"/>
    <x v="0"/>
    <n v="1"/>
    <x v="0"/>
  </r>
  <r>
    <n v="629"/>
    <n v="296"/>
    <x v="302"/>
    <x v="3"/>
    <n v="1"/>
    <x v="0"/>
  </r>
  <r>
    <n v="630"/>
    <n v="296"/>
    <x v="68"/>
    <x v="0"/>
    <n v="1"/>
    <x v="1"/>
  </r>
  <r>
    <n v="631"/>
    <n v="296"/>
    <x v="303"/>
    <x v="2"/>
    <n v="2"/>
    <x v="0"/>
  </r>
  <r>
    <n v="632"/>
    <n v="297"/>
    <x v="150"/>
    <x v="1"/>
    <n v="3"/>
    <x v="0"/>
  </r>
  <r>
    <n v="633"/>
    <n v="297"/>
    <x v="304"/>
    <x v="0"/>
    <n v="3"/>
    <x v="0"/>
  </r>
  <r>
    <n v="634"/>
    <n v="297"/>
    <x v="305"/>
    <x v="2"/>
    <n v="3"/>
    <x v="1"/>
  </r>
  <r>
    <n v="635"/>
    <n v="298"/>
    <x v="34"/>
    <x v="0"/>
    <n v="1"/>
    <x v="0"/>
  </r>
  <r>
    <n v="636"/>
    <n v="298"/>
    <x v="306"/>
    <x v="3"/>
    <n v="3"/>
    <x v="0"/>
  </r>
  <r>
    <n v="637"/>
    <n v="298"/>
    <x v="307"/>
    <x v="0"/>
    <n v="2"/>
    <x v="0"/>
  </r>
  <r>
    <n v="638"/>
    <n v="298"/>
    <x v="308"/>
    <x v="0"/>
    <n v="2"/>
    <x v="0"/>
  </r>
  <r>
    <n v="639"/>
    <n v="299"/>
    <x v="13"/>
    <x v="1"/>
    <n v="1"/>
    <x v="1"/>
  </r>
  <r>
    <n v="640"/>
    <n v="300"/>
    <x v="5"/>
    <x v="0"/>
    <n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x v="0"/>
    <d v="2026-06-12T00:00:00"/>
    <s v="Sick Leave"/>
    <n v="4"/>
    <x v="0"/>
    <s v="Approved"/>
  </r>
  <r>
    <x v="1"/>
    <d v="2026-02-13T00:00:00"/>
    <s v="Emergency Leave"/>
    <n v="3"/>
    <x v="1"/>
    <s v="Approved"/>
  </r>
  <r>
    <x v="2"/>
    <d v="2026-05-13T00:00:00"/>
    <s v="Annual Leave"/>
    <n v="2"/>
    <x v="2"/>
    <s v="Approved"/>
  </r>
  <r>
    <x v="3"/>
    <d v="2026-03-15T00:00:00"/>
    <s v="Casual Leave"/>
    <n v="1"/>
    <x v="3"/>
    <s v="Approved"/>
  </r>
  <r>
    <x v="4"/>
    <d v="2026-03-08T00:00:00"/>
    <s v="Annual Leave"/>
    <n v="2"/>
    <x v="4"/>
    <s v="Rejected"/>
  </r>
  <r>
    <x v="5"/>
    <d v="2026-08-13T00:00:00"/>
    <s v="Casual Leave"/>
    <n v="2"/>
    <x v="4"/>
    <s v="Approved"/>
  </r>
  <r>
    <x v="6"/>
    <d v="2025-11-16T00:00:00"/>
    <s v="Emergency Leave"/>
    <n v="3"/>
    <x v="0"/>
    <s v="Approved"/>
  </r>
  <r>
    <x v="7"/>
    <d v="2026-03-24T00:00:00"/>
    <s v="Annual Leave"/>
    <n v="4"/>
    <x v="5"/>
    <s v="Approved"/>
  </r>
  <r>
    <x v="8"/>
    <d v="2025-11-23T00:00:00"/>
    <s v="Annual Leave"/>
    <n v="1"/>
    <x v="3"/>
    <s v="Approved"/>
  </r>
  <r>
    <x v="9"/>
    <d v="2026-01-24T00:00:00"/>
    <s v="Emergency Leave"/>
    <n v="1"/>
    <x v="2"/>
    <s v="Approved"/>
  </r>
  <r>
    <x v="10"/>
    <d v="2026-07-08T00:00:00"/>
    <s v="Sick Leave"/>
    <n v="3"/>
    <x v="3"/>
    <s v="Approved"/>
  </r>
  <r>
    <x v="11"/>
    <d v="2026-01-23T00:00:00"/>
    <s v="Sick Leave"/>
    <n v="2"/>
    <x v="0"/>
    <s v="Approved"/>
  </r>
  <r>
    <x v="12"/>
    <d v="2026-05-14T00:00:00"/>
    <s v="Sick Leave"/>
    <n v="2"/>
    <x v="3"/>
    <s v="Approved"/>
  </r>
  <r>
    <x v="13"/>
    <d v="2026-03-01T00:00:00"/>
    <s v="Sick Leave"/>
    <n v="1"/>
    <x v="1"/>
    <s v="Pending"/>
  </r>
  <r>
    <x v="14"/>
    <d v="2026-05-13T00:00:00"/>
    <s v="Emergency Leave"/>
    <n v="2"/>
    <x v="2"/>
    <s v="Rejected"/>
  </r>
  <r>
    <x v="15"/>
    <d v="2026-01-04T00:00:00"/>
    <s v="Emergency Leave"/>
    <n v="4"/>
    <x v="4"/>
    <s v="Approved"/>
  </r>
  <r>
    <x v="16"/>
    <d v="2026-09-27T00:00:00"/>
    <s v="Annual Leave"/>
    <n v="3"/>
    <x v="1"/>
    <s v="Rejected"/>
  </r>
  <r>
    <x v="17"/>
    <d v="2026-04-05T00:00:00"/>
    <s v="Sick Leave"/>
    <n v="3"/>
    <x v="4"/>
    <s v="Pending"/>
  </r>
  <r>
    <x v="18"/>
    <d v="2026-04-01T00:00:00"/>
    <s v="Casual Leave"/>
    <n v="2"/>
    <x v="5"/>
    <s v="Approved"/>
  </r>
  <r>
    <x v="19"/>
    <d v="2026-07-03T00:00:00"/>
    <s v="Sick Leave"/>
    <n v="1"/>
    <x v="1"/>
    <s v="Pending"/>
  </r>
  <r>
    <x v="20"/>
    <d v="2026-07-02T00:00:00"/>
    <s v="Annual Leave"/>
    <n v="1"/>
    <x v="1"/>
    <s v="Pending"/>
  </r>
  <r>
    <x v="21"/>
    <d v="2026-01-25T00:00:00"/>
    <s v="Annual Leave"/>
    <n v="2"/>
    <x v="1"/>
    <s v="Rejected"/>
  </r>
  <r>
    <x v="22"/>
    <d v="2026-02-15T00:00:00"/>
    <s v="Casual Leave"/>
    <n v="4"/>
    <x v="1"/>
    <s v="Pending"/>
  </r>
  <r>
    <x v="23"/>
    <d v="2026-06-12T00:00:00"/>
    <s v="Emergency Leave"/>
    <n v="1"/>
    <x v="6"/>
    <s v="Approved"/>
  </r>
  <r>
    <x v="24"/>
    <d v="2025-10-12T00:00:00"/>
    <s v="Emergency Leave"/>
    <n v="1"/>
    <x v="3"/>
    <s v="Approved"/>
  </r>
  <r>
    <x v="25"/>
    <d v="2026-06-02T00:00:00"/>
    <s v="Sick Leave"/>
    <n v="1"/>
    <x v="3"/>
    <s v="Approved"/>
  </r>
  <r>
    <x v="26"/>
    <d v="2026-07-19T00:00:00"/>
    <s v="Annual Leave"/>
    <n v="1"/>
    <x v="4"/>
    <s v="Pending"/>
  </r>
  <r>
    <x v="27"/>
    <d v="2026-06-09T00:00:00"/>
    <s v="Emergency Leave"/>
    <n v="2"/>
    <x v="1"/>
    <s v="Rejected"/>
  </r>
  <r>
    <x v="28"/>
    <d v="2026-09-04T00:00:00"/>
    <s v="Emergency Leave"/>
    <n v="3"/>
    <x v="0"/>
    <s v="Pending"/>
  </r>
  <r>
    <x v="29"/>
    <d v="2026-03-19T00:00:00"/>
    <s v="Sick Leave"/>
    <n v="4"/>
    <x v="4"/>
    <s v="Approved"/>
  </r>
  <r>
    <x v="30"/>
    <d v="2026-07-04T00:00:00"/>
    <s v="Annual Leave"/>
    <n v="1"/>
    <x v="2"/>
    <s v="Pending"/>
  </r>
  <r>
    <x v="31"/>
    <d v="2026-07-28T00:00:00"/>
    <s v="Casual Leave"/>
    <n v="1"/>
    <x v="4"/>
    <s v="Pending"/>
  </r>
  <r>
    <x v="32"/>
    <d v="2025-11-02T00:00:00"/>
    <s v="Emergency Leave"/>
    <n v="2"/>
    <x v="1"/>
    <s v="Approved"/>
  </r>
  <r>
    <x v="33"/>
    <d v="2026-08-04T00:00:00"/>
    <s v="Sick Leave"/>
    <n v="2"/>
    <x v="1"/>
    <s v="Approved"/>
  </r>
  <r>
    <x v="34"/>
    <d v="2025-12-01T00:00:00"/>
    <s v="Annual Leave"/>
    <n v="1"/>
    <x v="6"/>
    <s v="Approved"/>
  </r>
  <r>
    <x v="35"/>
    <d v="2026-04-25T00:00:00"/>
    <s v="Emergency Leave"/>
    <n v="4"/>
    <x v="0"/>
    <s v="Rejected"/>
  </r>
  <r>
    <x v="36"/>
    <d v="2026-09-22T00:00:00"/>
    <s v="Emergency Leave"/>
    <n v="2"/>
    <x v="4"/>
    <s v="Approved"/>
  </r>
  <r>
    <x v="37"/>
    <d v="2025-11-19T00:00:00"/>
    <s v="Annual Leave"/>
    <n v="3"/>
    <x v="2"/>
    <s v="Approved"/>
  </r>
  <r>
    <x v="38"/>
    <d v="2026-02-07T00:00:00"/>
    <s v="Emergency Leave"/>
    <n v="1"/>
    <x v="6"/>
    <s v="Approved"/>
  </r>
  <r>
    <x v="39"/>
    <d v="2026-02-11T00:00:00"/>
    <s v="Emergency Leave"/>
    <n v="2"/>
    <x v="5"/>
    <s v="Approved"/>
  </r>
  <r>
    <x v="40"/>
    <d v="2026-03-29T00:00:00"/>
    <s v="Casual Leave"/>
    <n v="3"/>
    <x v="4"/>
    <s v="Rejected"/>
  </r>
  <r>
    <x v="41"/>
    <d v="2026-02-09T00:00:00"/>
    <s v="Casual Leave"/>
    <n v="1"/>
    <x v="2"/>
    <s v="Pending"/>
  </r>
  <r>
    <x v="42"/>
    <d v="2025-10-31T00:00:00"/>
    <s v="Annual Leave"/>
    <n v="1"/>
    <x v="2"/>
    <s v="Approved"/>
  </r>
  <r>
    <x v="43"/>
    <d v="2025-10-01T00:00:00"/>
    <s v="Casual Leave"/>
    <n v="1"/>
    <x v="0"/>
    <s v="Approved"/>
  </r>
  <r>
    <x v="44"/>
    <d v="2026-04-15T00:00:00"/>
    <s v="Annual Leave"/>
    <n v="1"/>
    <x v="2"/>
    <s v="Pending"/>
  </r>
  <r>
    <x v="45"/>
    <d v="2026-04-10T00:00:00"/>
    <s v="Casual Leave"/>
    <n v="2"/>
    <x v="4"/>
    <s v="Approved"/>
  </r>
  <r>
    <x v="46"/>
    <d v="2026-08-22T00:00:00"/>
    <s v="Emergency Leave"/>
    <n v="2"/>
    <x v="6"/>
    <s v="Pending"/>
  </r>
  <r>
    <x v="47"/>
    <d v="2026-01-20T00:00:00"/>
    <s v="Annual Leave"/>
    <n v="1"/>
    <x v="3"/>
    <s v="Approved"/>
  </r>
  <r>
    <x v="48"/>
    <d v="2026-08-04T00:00:00"/>
    <s v="Annual Leave"/>
    <n v="2"/>
    <x v="0"/>
    <s v="Rejected"/>
  </r>
  <r>
    <x v="49"/>
    <d v="2026-06-17T00:00:00"/>
    <s v="Sick Leave"/>
    <n v="4"/>
    <x v="4"/>
    <s v="Approved"/>
  </r>
  <r>
    <x v="50"/>
    <d v="2025-10-20T00:00:00"/>
    <s v="Casual Leave"/>
    <n v="3"/>
    <x v="3"/>
    <s v="Approved"/>
  </r>
  <r>
    <x v="51"/>
    <d v="2025-11-25T00:00:00"/>
    <s v="Annual Leave"/>
    <n v="2"/>
    <x v="0"/>
    <s v="Pending"/>
  </r>
  <r>
    <x v="52"/>
    <d v="2026-06-23T00:00:00"/>
    <s v="Sick Leave"/>
    <n v="1"/>
    <x v="2"/>
    <s v="Rejected"/>
  </r>
  <r>
    <x v="53"/>
    <d v="2026-01-07T00:00:00"/>
    <s v="Sick Leave"/>
    <n v="3"/>
    <x v="6"/>
    <s v="Rejected"/>
  </r>
  <r>
    <x v="54"/>
    <d v="2026-04-18T00:00:00"/>
    <s v="Emergency Leave"/>
    <n v="1"/>
    <x v="4"/>
    <s v="Pending"/>
  </r>
  <r>
    <x v="55"/>
    <d v="2025-11-03T00:00:00"/>
    <s v="Annual Leave"/>
    <n v="2"/>
    <x v="1"/>
    <s v="Approved"/>
  </r>
  <r>
    <x v="56"/>
    <d v="2025-12-12T00:00:00"/>
    <s v="Sick Leave"/>
    <n v="4"/>
    <x v="2"/>
    <s v="Approved"/>
  </r>
  <r>
    <x v="57"/>
    <d v="2026-04-25T00:00:00"/>
    <s v="Casual Leave"/>
    <n v="3"/>
    <x v="3"/>
    <s v="Approved"/>
  </r>
  <r>
    <x v="58"/>
    <d v="2026-09-03T00:00:00"/>
    <s v="Casual Leave"/>
    <n v="1"/>
    <x v="4"/>
    <s v="Approved"/>
  </r>
  <r>
    <x v="59"/>
    <d v="2026-06-27T00:00:00"/>
    <s v="Emergency Leave"/>
    <n v="2"/>
    <x v="3"/>
    <s v="Approved"/>
  </r>
  <r>
    <x v="60"/>
    <d v="2026-03-14T00:00:00"/>
    <s v="Sick Leave"/>
    <n v="4"/>
    <x v="2"/>
    <s v="Approved"/>
  </r>
  <r>
    <x v="61"/>
    <d v="2026-08-17T00:00:00"/>
    <s v="Emergency Leave"/>
    <n v="4"/>
    <x v="1"/>
    <s v="Rejected"/>
  </r>
  <r>
    <x v="62"/>
    <d v="2026-04-12T00:00:00"/>
    <s v="Casual Leave"/>
    <n v="4"/>
    <x v="6"/>
    <s v="Approved"/>
  </r>
  <r>
    <x v="63"/>
    <d v="2025-11-23T00:00:00"/>
    <s v="Annual Leave"/>
    <n v="4"/>
    <x v="0"/>
    <s v="Pending"/>
  </r>
  <r>
    <x v="64"/>
    <d v="2026-04-18T00:00:00"/>
    <s v="Annual Leave"/>
    <n v="4"/>
    <x v="5"/>
    <s v="Approved"/>
  </r>
  <r>
    <x v="65"/>
    <d v="2026-09-16T00:00:00"/>
    <s v="Casual Leave"/>
    <n v="1"/>
    <x v="5"/>
    <s v="Approved"/>
  </r>
  <r>
    <x v="66"/>
    <d v="2026-07-28T00:00:00"/>
    <s v="Sick Leave"/>
    <n v="3"/>
    <x v="5"/>
    <s v="Approved"/>
  </r>
  <r>
    <x v="67"/>
    <d v="2026-07-01T00:00:00"/>
    <s v="Casual Leave"/>
    <n v="1"/>
    <x v="3"/>
    <s v="Approved"/>
  </r>
  <r>
    <x v="68"/>
    <d v="2026-01-05T00:00:00"/>
    <s v="Annual Leave"/>
    <n v="1"/>
    <x v="2"/>
    <s v="Rejected"/>
  </r>
  <r>
    <x v="69"/>
    <d v="2026-06-18T00:00:00"/>
    <s v="Sick Leave"/>
    <n v="3"/>
    <x v="3"/>
    <s v="Approved"/>
  </r>
  <r>
    <x v="70"/>
    <d v="2026-01-18T00:00:00"/>
    <s v="Casual Leave"/>
    <n v="4"/>
    <x v="3"/>
    <s v="Approved"/>
  </r>
  <r>
    <x v="71"/>
    <d v="2026-09-30T00:00:00"/>
    <s v="Annual Leave"/>
    <n v="1"/>
    <x v="3"/>
    <s v="Approved"/>
  </r>
  <r>
    <x v="72"/>
    <d v="2026-01-14T00:00:00"/>
    <s v="Casual Leave"/>
    <n v="1"/>
    <x v="1"/>
    <s v="Rejected"/>
  </r>
  <r>
    <x v="73"/>
    <d v="2026-01-14T00:00:00"/>
    <s v="Casual Leave"/>
    <n v="3"/>
    <x v="0"/>
    <s v="Approved"/>
  </r>
  <r>
    <x v="74"/>
    <d v="2026-02-01T00:00:00"/>
    <s v="Annual Leave"/>
    <n v="2"/>
    <x v="2"/>
    <s v="Rejected"/>
  </r>
  <r>
    <x v="75"/>
    <d v="2026-04-09T00:00:00"/>
    <s v="Emergency Leave"/>
    <n v="1"/>
    <x v="5"/>
    <s v="Approved"/>
  </r>
  <r>
    <x v="76"/>
    <d v="2026-08-03T00:00:00"/>
    <s v="Sick Leave"/>
    <n v="3"/>
    <x v="5"/>
    <s v="Rejected"/>
  </r>
  <r>
    <x v="77"/>
    <d v="2026-09-29T00:00:00"/>
    <s v="Annual Leave"/>
    <n v="2"/>
    <x v="6"/>
    <s v="Approved"/>
  </r>
  <r>
    <x v="78"/>
    <d v="2026-04-28T00:00:00"/>
    <s v="Casual Leave"/>
    <n v="4"/>
    <x v="5"/>
    <s v="Rejected"/>
  </r>
  <r>
    <x v="79"/>
    <d v="2026-04-12T00:00:00"/>
    <s v="Annual Leave"/>
    <n v="2"/>
    <x v="1"/>
    <s v="Rejected"/>
  </r>
  <r>
    <x v="80"/>
    <d v="2026-02-07T00:00:00"/>
    <s v="Casual Leave"/>
    <n v="4"/>
    <x v="4"/>
    <s v="Approved"/>
  </r>
  <r>
    <x v="81"/>
    <d v="2025-12-05T00:00:00"/>
    <s v="Sick Leave"/>
    <n v="1"/>
    <x v="4"/>
    <s v="Approved"/>
  </r>
  <r>
    <x v="82"/>
    <d v="2025-11-29T00:00:00"/>
    <s v="Sick Leave"/>
    <n v="4"/>
    <x v="3"/>
    <s v="Approved"/>
  </r>
  <r>
    <x v="83"/>
    <d v="2026-01-02T00:00:00"/>
    <s v="Annual Leave"/>
    <n v="2"/>
    <x v="2"/>
    <s v="Approved"/>
  </r>
  <r>
    <x v="84"/>
    <d v="2026-02-23T00:00:00"/>
    <s v="Annual Leave"/>
    <n v="3"/>
    <x v="2"/>
    <s v="Pending"/>
  </r>
  <r>
    <x v="85"/>
    <d v="2026-02-11T00:00:00"/>
    <s v="Casual Leave"/>
    <n v="1"/>
    <x v="2"/>
    <s v="Rejected"/>
  </r>
  <r>
    <x v="86"/>
    <d v="2026-01-12T00:00:00"/>
    <s v="Casual Leave"/>
    <n v="4"/>
    <x v="2"/>
    <s v="Approved"/>
  </r>
  <r>
    <x v="87"/>
    <d v="2026-06-23T00:00:00"/>
    <s v="Casual Leave"/>
    <n v="4"/>
    <x v="6"/>
    <s v="Rejected"/>
  </r>
  <r>
    <x v="88"/>
    <d v="2025-10-20T00:00:00"/>
    <s v="Emergency Leave"/>
    <n v="2"/>
    <x v="1"/>
    <s v="Approved"/>
  </r>
  <r>
    <x v="89"/>
    <d v="2026-05-12T00:00:00"/>
    <s v="Annual Leave"/>
    <n v="4"/>
    <x v="5"/>
    <s v="Approved"/>
  </r>
  <r>
    <x v="90"/>
    <d v="2026-08-02T00:00:00"/>
    <s v="Casual Leave"/>
    <n v="2"/>
    <x v="0"/>
    <s v="Approved"/>
  </r>
  <r>
    <x v="91"/>
    <d v="2026-03-12T00:00:00"/>
    <s v="Casual Leave"/>
    <n v="1"/>
    <x v="5"/>
    <s v="Approved"/>
  </r>
  <r>
    <x v="92"/>
    <d v="2026-03-24T00:00:00"/>
    <s v="Annual Leave"/>
    <n v="2"/>
    <x v="0"/>
    <s v="Approved"/>
  </r>
  <r>
    <x v="93"/>
    <d v="2026-01-11T00:00:00"/>
    <s v="Casual Leave"/>
    <n v="4"/>
    <x v="4"/>
    <s v="Rejected"/>
  </r>
  <r>
    <x v="94"/>
    <d v="2025-12-18T00:00:00"/>
    <s v="Annual Leave"/>
    <n v="1"/>
    <x v="2"/>
    <s v="Approved"/>
  </r>
  <r>
    <x v="95"/>
    <d v="2026-01-03T00:00:00"/>
    <s v="Sick Leave"/>
    <n v="3"/>
    <x v="4"/>
    <s v="Rejected"/>
  </r>
  <r>
    <x v="96"/>
    <d v="2025-11-05T00:00:00"/>
    <s v="Sick Leave"/>
    <n v="3"/>
    <x v="1"/>
    <s v="Pending"/>
  </r>
  <r>
    <x v="97"/>
    <d v="2025-12-22T00:00:00"/>
    <s v="Sick Leave"/>
    <n v="3"/>
    <x v="6"/>
    <s v="Approved"/>
  </r>
  <r>
    <x v="98"/>
    <d v="2025-11-27T00:00:00"/>
    <s v="Casual Leave"/>
    <n v="4"/>
    <x v="5"/>
    <s v="Pending"/>
  </r>
  <r>
    <x v="99"/>
    <d v="2025-10-09T00:00:00"/>
    <s v="Sick Leave"/>
    <n v="3"/>
    <x v="6"/>
    <s v="Approved"/>
  </r>
  <r>
    <x v="100"/>
    <d v="2025-10-20T00:00:00"/>
    <s v="Sick Leave"/>
    <n v="1"/>
    <x v="5"/>
    <s v="Approved"/>
  </r>
  <r>
    <x v="101"/>
    <d v="2025-10-04T00:00:00"/>
    <s v="Emergency Leave"/>
    <n v="1"/>
    <x v="0"/>
    <s v="Pending"/>
  </r>
  <r>
    <x v="102"/>
    <d v="2025-10-30T00:00:00"/>
    <s v="Emergency Leave"/>
    <n v="1"/>
    <x v="6"/>
    <s v="Approved"/>
  </r>
  <r>
    <x v="103"/>
    <d v="2026-07-07T00:00:00"/>
    <s v="Casual Leave"/>
    <n v="1"/>
    <x v="1"/>
    <s v="Rejected"/>
  </r>
  <r>
    <x v="104"/>
    <d v="2026-07-20T00:00:00"/>
    <s v="Emergency Leave"/>
    <n v="3"/>
    <x v="4"/>
    <s v="Pending"/>
  </r>
  <r>
    <x v="105"/>
    <d v="2026-04-17T00:00:00"/>
    <s v="Emergency Leave"/>
    <n v="2"/>
    <x v="1"/>
    <s v="Rejected"/>
  </r>
  <r>
    <x v="106"/>
    <d v="2026-08-10T00:00:00"/>
    <s v="Annual Leave"/>
    <n v="3"/>
    <x v="2"/>
    <s v="Rejected"/>
  </r>
  <r>
    <x v="107"/>
    <d v="2025-12-18T00:00:00"/>
    <s v="Emergency Leave"/>
    <n v="3"/>
    <x v="3"/>
    <s v="Approved"/>
  </r>
  <r>
    <x v="108"/>
    <d v="2025-12-13T00:00:00"/>
    <s v="Annual Leave"/>
    <n v="2"/>
    <x v="4"/>
    <s v="Rejected"/>
  </r>
  <r>
    <x v="109"/>
    <d v="2026-02-09T00:00:00"/>
    <s v="Sick Leave"/>
    <n v="3"/>
    <x v="4"/>
    <s v="Approved"/>
  </r>
  <r>
    <x v="110"/>
    <d v="2026-03-03T00:00:00"/>
    <s v="Sick Leave"/>
    <n v="1"/>
    <x v="1"/>
    <s v="Rejected"/>
  </r>
  <r>
    <x v="111"/>
    <d v="2026-04-29T00:00:00"/>
    <s v="Sick Leave"/>
    <n v="4"/>
    <x v="5"/>
    <s v="Approved"/>
  </r>
  <r>
    <x v="112"/>
    <d v="2026-08-17T00:00:00"/>
    <s v="Annual Leave"/>
    <n v="2"/>
    <x v="0"/>
    <s v="Rejected"/>
  </r>
  <r>
    <x v="113"/>
    <d v="2026-05-02T00:00:00"/>
    <s v="Emergency Leave"/>
    <n v="4"/>
    <x v="1"/>
    <s v="Rejected"/>
  </r>
  <r>
    <x v="114"/>
    <d v="2026-04-17T00:00:00"/>
    <s v="Emergency Leave"/>
    <n v="3"/>
    <x v="2"/>
    <s v="Approved"/>
  </r>
  <r>
    <x v="115"/>
    <d v="2026-03-16T00:00:00"/>
    <s v="Emergency Leave"/>
    <n v="2"/>
    <x v="0"/>
    <s v="Pending"/>
  </r>
  <r>
    <x v="116"/>
    <d v="2026-02-03T00:00:00"/>
    <s v="Sick Leave"/>
    <n v="2"/>
    <x v="2"/>
    <s v="Pending"/>
  </r>
  <r>
    <x v="117"/>
    <d v="2026-09-03T00:00:00"/>
    <s v="Annual Leave"/>
    <n v="4"/>
    <x v="6"/>
    <s v="Pending"/>
  </r>
  <r>
    <x v="118"/>
    <d v="2026-04-10T00:00:00"/>
    <s v="Annual Leave"/>
    <n v="2"/>
    <x v="1"/>
    <s v="Rejected"/>
  </r>
  <r>
    <x v="119"/>
    <d v="2025-12-12T00:00:00"/>
    <s v="Emergency Leave"/>
    <n v="1"/>
    <x v="1"/>
    <s v="Pending"/>
  </r>
  <r>
    <x v="120"/>
    <d v="2026-08-30T00:00:00"/>
    <s v="Emergency Leave"/>
    <n v="3"/>
    <x v="0"/>
    <s v="Pending"/>
  </r>
  <r>
    <x v="121"/>
    <d v="2025-10-27T00:00:00"/>
    <s v="Sick Leave"/>
    <n v="2"/>
    <x v="0"/>
    <s v="Approved"/>
  </r>
  <r>
    <x v="122"/>
    <d v="2026-07-10T00:00:00"/>
    <s v="Sick Leave"/>
    <n v="4"/>
    <x v="4"/>
    <s v="Pending"/>
  </r>
  <r>
    <x v="123"/>
    <d v="2026-05-10T00:00:00"/>
    <s v="Sick Leave"/>
    <n v="4"/>
    <x v="5"/>
    <s v="Approved"/>
  </r>
  <r>
    <x v="124"/>
    <d v="2026-04-16T00:00:00"/>
    <s v="Sick Leave"/>
    <n v="3"/>
    <x v="5"/>
    <s v="Pending"/>
  </r>
  <r>
    <x v="125"/>
    <d v="2026-08-25T00:00:00"/>
    <s v="Emergency Leave"/>
    <n v="2"/>
    <x v="5"/>
    <s v="Approved"/>
  </r>
  <r>
    <x v="126"/>
    <d v="2026-03-12T00:00:00"/>
    <s v="Emergency Leave"/>
    <n v="2"/>
    <x v="0"/>
    <s v="Approved"/>
  </r>
  <r>
    <x v="127"/>
    <d v="2026-06-07T00:00:00"/>
    <s v="Annual Leave"/>
    <n v="1"/>
    <x v="2"/>
    <s v="Approved"/>
  </r>
  <r>
    <x v="128"/>
    <d v="2025-11-03T00:00:00"/>
    <s v="Casual Leave"/>
    <n v="1"/>
    <x v="4"/>
    <s v="Approved"/>
  </r>
  <r>
    <x v="129"/>
    <d v="2025-11-16T00:00:00"/>
    <s v="Annual Leave"/>
    <n v="3"/>
    <x v="0"/>
    <s v="Approved"/>
  </r>
  <r>
    <x v="130"/>
    <d v="2025-12-17T00:00:00"/>
    <s v="Sick Leave"/>
    <n v="3"/>
    <x v="6"/>
    <s v="Approved"/>
  </r>
  <r>
    <x v="131"/>
    <d v="2026-08-16T00:00:00"/>
    <s v="Annual Leave"/>
    <n v="4"/>
    <x v="6"/>
    <s v="Rejected"/>
  </r>
  <r>
    <x v="132"/>
    <d v="2026-03-23T00:00:00"/>
    <s v="Sick Leave"/>
    <n v="3"/>
    <x v="6"/>
    <s v="Approved"/>
  </r>
  <r>
    <x v="133"/>
    <d v="2025-12-21T00:00:00"/>
    <s v="Sick Leave"/>
    <n v="2"/>
    <x v="3"/>
    <s v="Rejected"/>
  </r>
  <r>
    <x v="134"/>
    <d v="2025-11-30T00:00:00"/>
    <s v="Emergency Leave"/>
    <n v="2"/>
    <x v="1"/>
    <s v="Pending"/>
  </r>
  <r>
    <x v="135"/>
    <d v="2026-07-10T00:00:00"/>
    <s v="Emergency Leave"/>
    <n v="3"/>
    <x v="3"/>
    <s v="Approved"/>
  </r>
  <r>
    <x v="136"/>
    <d v="2025-11-28T00:00:00"/>
    <s v="Sick Leave"/>
    <n v="4"/>
    <x v="2"/>
    <s v="Approved"/>
  </r>
  <r>
    <x v="137"/>
    <d v="2026-04-14T00:00:00"/>
    <s v="Emergency Leave"/>
    <n v="4"/>
    <x v="3"/>
    <s v="Rejected"/>
  </r>
  <r>
    <x v="138"/>
    <d v="2025-10-11T00:00:00"/>
    <s v="Annual Leave"/>
    <n v="4"/>
    <x v="6"/>
    <s v="Pending"/>
  </r>
  <r>
    <x v="139"/>
    <d v="2026-01-02T00:00:00"/>
    <s v="Emergency Leave"/>
    <n v="1"/>
    <x v="5"/>
    <s v="Rejected"/>
  </r>
  <r>
    <x v="140"/>
    <d v="2026-09-09T00:00:00"/>
    <s v="Annual Leave"/>
    <n v="3"/>
    <x v="6"/>
    <s v="Approved"/>
  </r>
  <r>
    <x v="141"/>
    <d v="2026-04-08T00:00:00"/>
    <s v="Casual Leave"/>
    <n v="2"/>
    <x v="6"/>
    <s v="Approved"/>
  </r>
  <r>
    <x v="142"/>
    <d v="2026-08-16T00:00:00"/>
    <s v="Annual Leave"/>
    <n v="4"/>
    <x v="0"/>
    <s v="Approved"/>
  </r>
  <r>
    <x v="143"/>
    <d v="2026-08-21T00:00:00"/>
    <s v="Annual Leave"/>
    <n v="3"/>
    <x v="6"/>
    <s v="Approved"/>
  </r>
  <r>
    <x v="144"/>
    <d v="2026-08-05T00:00:00"/>
    <s v="Emergency Leave"/>
    <n v="1"/>
    <x v="0"/>
    <s v="Pending"/>
  </r>
  <r>
    <x v="145"/>
    <d v="2026-07-30T00:00:00"/>
    <s v="Emergency Leave"/>
    <n v="2"/>
    <x v="4"/>
    <s v="Approved"/>
  </r>
  <r>
    <x v="146"/>
    <d v="2026-01-07T00:00:00"/>
    <s v="Annual Leave"/>
    <n v="1"/>
    <x v="3"/>
    <s v="Rejected"/>
  </r>
  <r>
    <x v="147"/>
    <d v="2026-03-13T00:00:00"/>
    <s v="Sick Leave"/>
    <n v="1"/>
    <x v="4"/>
    <s v="Approved"/>
  </r>
  <r>
    <x v="148"/>
    <d v="2026-02-12T00:00:00"/>
    <s v="Emergency Leave"/>
    <n v="4"/>
    <x v="4"/>
    <s v="Approved"/>
  </r>
  <r>
    <x v="149"/>
    <d v="2025-10-21T00:00:00"/>
    <s v="Annual Leave"/>
    <n v="4"/>
    <x v="6"/>
    <s v="Approved"/>
  </r>
  <r>
    <x v="150"/>
    <d v="2026-07-10T00:00:00"/>
    <s v="Casual Leave"/>
    <n v="2"/>
    <x v="1"/>
    <s v="Pending"/>
  </r>
  <r>
    <x v="151"/>
    <d v="2025-10-06T00:00:00"/>
    <s v="Casual Leave"/>
    <n v="3"/>
    <x v="5"/>
    <s v="Rejected"/>
  </r>
  <r>
    <x v="152"/>
    <d v="2026-05-29T00:00:00"/>
    <s v="Emergency Leave"/>
    <n v="4"/>
    <x v="0"/>
    <s v="Approved"/>
  </r>
  <r>
    <x v="153"/>
    <d v="2026-09-22T00:00:00"/>
    <s v="Emergency Leave"/>
    <n v="3"/>
    <x v="3"/>
    <s v="Approved"/>
  </r>
  <r>
    <x v="154"/>
    <d v="2026-06-20T00:00:00"/>
    <s v="Emergency Leave"/>
    <n v="4"/>
    <x v="6"/>
    <s v="Approved"/>
  </r>
  <r>
    <x v="155"/>
    <d v="2026-03-27T00:00:00"/>
    <s v="Annual Leave"/>
    <n v="2"/>
    <x v="3"/>
    <s v="Rejected"/>
  </r>
  <r>
    <x v="156"/>
    <d v="2026-02-14T00:00:00"/>
    <s v="Casual Leave"/>
    <n v="4"/>
    <x v="3"/>
    <s v="Approved"/>
  </r>
  <r>
    <x v="157"/>
    <d v="2026-09-07T00:00:00"/>
    <s v="Annual Leave"/>
    <n v="1"/>
    <x v="1"/>
    <s v="Approved"/>
  </r>
  <r>
    <x v="158"/>
    <d v="2025-11-24T00:00:00"/>
    <s v="Sick Leave"/>
    <n v="1"/>
    <x v="1"/>
    <s v="Approved"/>
  </r>
  <r>
    <x v="159"/>
    <d v="2025-11-03T00:00:00"/>
    <s v="Sick Leave"/>
    <n v="2"/>
    <x v="5"/>
    <s v="Approved"/>
  </r>
  <r>
    <x v="160"/>
    <d v="2025-11-08T00:00:00"/>
    <s v="Casual Leave"/>
    <n v="1"/>
    <x v="2"/>
    <s v="Approved"/>
  </r>
  <r>
    <x v="161"/>
    <d v="2025-11-06T00:00:00"/>
    <s v="Sick Leave"/>
    <n v="4"/>
    <x v="6"/>
    <s v="Approved"/>
  </r>
  <r>
    <x v="162"/>
    <d v="2026-09-06T00:00:00"/>
    <s v="Casual Leave"/>
    <n v="1"/>
    <x v="6"/>
    <s v="Approved"/>
  </r>
  <r>
    <x v="163"/>
    <d v="2026-09-26T00:00:00"/>
    <s v="Sick Leave"/>
    <n v="2"/>
    <x v="6"/>
    <s v="Approved"/>
  </r>
  <r>
    <x v="164"/>
    <d v="2026-01-04T00:00:00"/>
    <s v="Casual Leave"/>
    <n v="1"/>
    <x v="0"/>
    <s v="Approved"/>
  </r>
  <r>
    <x v="165"/>
    <d v="2026-09-17T00:00:00"/>
    <s v="Sick Leave"/>
    <n v="2"/>
    <x v="3"/>
    <s v="Approved"/>
  </r>
  <r>
    <x v="166"/>
    <d v="2025-11-10T00:00:00"/>
    <s v="Emergency Leave"/>
    <n v="3"/>
    <x v="1"/>
    <s v="Pending"/>
  </r>
  <r>
    <x v="167"/>
    <d v="2026-01-07T00:00:00"/>
    <s v="Emergency Leave"/>
    <n v="2"/>
    <x v="1"/>
    <s v="Rejected"/>
  </r>
  <r>
    <x v="168"/>
    <d v="2026-09-27T00:00:00"/>
    <s v="Sick Leave"/>
    <n v="4"/>
    <x v="0"/>
    <s v="Approved"/>
  </r>
  <r>
    <x v="169"/>
    <d v="2026-09-12T00:00:00"/>
    <s v="Casual Leave"/>
    <n v="4"/>
    <x v="3"/>
    <s v="Approved"/>
  </r>
  <r>
    <x v="170"/>
    <d v="2026-06-17T00:00:00"/>
    <s v="Casual Leave"/>
    <n v="1"/>
    <x v="2"/>
    <s v="Approved"/>
  </r>
  <r>
    <x v="171"/>
    <d v="2026-01-10T00:00:00"/>
    <s v="Annual Leave"/>
    <n v="2"/>
    <x v="5"/>
    <s v="Pending"/>
  </r>
  <r>
    <x v="172"/>
    <d v="2026-01-05T00:00:00"/>
    <s v="Casual Leave"/>
    <n v="1"/>
    <x v="0"/>
    <s v="Approved"/>
  </r>
  <r>
    <x v="173"/>
    <d v="2026-01-04T00:00:00"/>
    <s v="Annual Leave"/>
    <n v="2"/>
    <x v="0"/>
    <s v="Approved"/>
  </r>
  <r>
    <x v="174"/>
    <d v="2026-04-21T00:00:00"/>
    <s v="Annual Leave"/>
    <n v="4"/>
    <x v="3"/>
    <s v="Pending"/>
  </r>
  <r>
    <x v="175"/>
    <d v="2026-08-24T00:00:00"/>
    <s v="Annual Leave"/>
    <n v="2"/>
    <x v="0"/>
    <s v="Rejected"/>
  </r>
  <r>
    <x v="176"/>
    <d v="2026-03-26T00:00:00"/>
    <s v="Sick Leave"/>
    <n v="1"/>
    <x v="0"/>
    <s v="Approved"/>
  </r>
  <r>
    <x v="177"/>
    <d v="2026-02-22T00:00:00"/>
    <s v="Sick Leave"/>
    <n v="1"/>
    <x v="1"/>
    <s v="Approved"/>
  </r>
  <r>
    <x v="178"/>
    <d v="2026-03-26T00:00:00"/>
    <s v="Casual Leave"/>
    <n v="4"/>
    <x v="0"/>
    <s v="Approved"/>
  </r>
  <r>
    <x v="179"/>
    <d v="2026-09-11T00:00:00"/>
    <s v="Emergency Leave"/>
    <n v="1"/>
    <x v="5"/>
    <s v="Approved"/>
  </r>
  <r>
    <x v="180"/>
    <d v="2026-03-13T00:00:00"/>
    <s v="Annual Leave"/>
    <n v="1"/>
    <x v="1"/>
    <s v="Pending"/>
  </r>
  <r>
    <x v="181"/>
    <d v="2026-03-13T00:00:00"/>
    <s v="Emergency Leave"/>
    <n v="3"/>
    <x v="0"/>
    <s v="Rejected"/>
  </r>
  <r>
    <x v="182"/>
    <d v="2026-04-08T00:00:00"/>
    <s v="Emergency Leave"/>
    <n v="3"/>
    <x v="3"/>
    <s v="Rejected"/>
  </r>
  <r>
    <x v="183"/>
    <d v="2026-07-07T00:00:00"/>
    <s v="Sick Leave"/>
    <n v="2"/>
    <x v="2"/>
    <s v="Pending"/>
  </r>
  <r>
    <x v="184"/>
    <d v="2025-12-27T00:00:00"/>
    <s v="Casual Leave"/>
    <n v="3"/>
    <x v="5"/>
    <s v="Rejected"/>
  </r>
  <r>
    <x v="185"/>
    <d v="2026-05-25T00:00:00"/>
    <s v="Annual Leave"/>
    <n v="4"/>
    <x v="6"/>
    <s v="Rejected"/>
  </r>
  <r>
    <x v="186"/>
    <d v="2026-05-26T00:00:00"/>
    <s v="Emergency Leave"/>
    <n v="2"/>
    <x v="6"/>
    <s v="Approved"/>
  </r>
  <r>
    <x v="187"/>
    <d v="2026-04-16T00:00:00"/>
    <s v="Emergency Leave"/>
    <n v="1"/>
    <x v="3"/>
    <s v="Approved"/>
  </r>
  <r>
    <x v="188"/>
    <d v="2026-04-14T00:00:00"/>
    <s v="Sick Leave"/>
    <n v="4"/>
    <x v="5"/>
    <s v="Approved"/>
  </r>
  <r>
    <x v="189"/>
    <d v="2025-10-08T00:00:00"/>
    <s v="Emergency Leave"/>
    <n v="2"/>
    <x v="3"/>
    <s v="Approved"/>
  </r>
  <r>
    <x v="190"/>
    <d v="2026-01-03T00:00:00"/>
    <s v="Sick Leave"/>
    <n v="1"/>
    <x v="1"/>
    <s v="Approved"/>
  </r>
  <r>
    <x v="191"/>
    <d v="2026-04-19T00:00:00"/>
    <s v="Emergency Leave"/>
    <n v="2"/>
    <x v="5"/>
    <s v="Approved"/>
  </r>
  <r>
    <x v="192"/>
    <d v="2026-03-22T00:00:00"/>
    <s v="Sick Leave"/>
    <n v="1"/>
    <x v="4"/>
    <s v="Rejected"/>
  </r>
  <r>
    <x v="193"/>
    <d v="2026-04-19T00:00:00"/>
    <s v="Sick Leave"/>
    <n v="3"/>
    <x v="4"/>
    <s v="Pending"/>
  </r>
  <r>
    <x v="194"/>
    <d v="2026-01-25T00:00:00"/>
    <s v="Sick Leave"/>
    <n v="4"/>
    <x v="5"/>
    <s v="Pending"/>
  </r>
  <r>
    <x v="195"/>
    <d v="2026-06-13T00:00:00"/>
    <s v="Emergency Leave"/>
    <n v="4"/>
    <x v="2"/>
    <s v="Approved"/>
  </r>
  <r>
    <x v="196"/>
    <d v="2026-09-06T00:00:00"/>
    <s v="Casual Leave"/>
    <n v="3"/>
    <x v="1"/>
    <s v="Approved"/>
  </r>
  <r>
    <x v="197"/>
    <d v="2025-11-04T00:00:00"/>
    <s v="Annual Leave"/>
    <n v="4"/>
    <x v="1"/>
    <s v="Pending"/>
  </r>
  <r>
    <x v="198"/>
    <d v="2026-02-26T00:00:00"/>
    <s v="Sick Leave"/>
    <n v="2"/>
    <x v="5"/>
    <s v="Pending"/>
  </r>
  <r>
    <x v="199"/>
    <d v="2026-01-19T00:00:00"/>
    <s v="Emergency Leave"/>
    <n v="4"/>
    <x v="6"/>
    <s v="Approved"/>
  </r>
  <r>
    <x v="200"/>
    <d v="2026-03-07T00:00:00"/>
    <s v="Sick Leave"/>
    <n v="3"/>
    <x v="4"/>
    <s v="Approved"/>
  </r>
  <r>
    <x v="201"/>
    <d v="2026-09-16T00:00:00"/>
    <s v="Emergency Leave"/>
    <n v="1"/>
    <x v="6"/>
    <s v="Pending"/>
  </r>
  <r>
    <x v="202"/>
    <d v="2026-06-29T00:00:00"/>
    <s v="Annual Leave"/>
    <n v="3"/>
    <x v="2"/>
    <s v="Approved"/>
  </r>
  <r>
    <x v="203"/>
    <d v="2026-04-08T00:00:00"/>
    <s v="Emergency Leave"/>
    <n v="1"/>
    <x v="1"/>
    <s v="Approved"/>
  </r>
  <r>
    <x v="204"/>
    <d v="2026-04-08T00:00:00"/>
    <s v="Emergency Leave"/>
    <n v="2"/>
    <x v="1"/>
    <s v="Approved"/>
  </r>
  <r>
    <x v="205"/>
    <d v="2026-03-17T00:00:00"/>
    <s v="Sick Leave"/>
    <n v="3"/>
    <x v="1"/>
    <s v="Rejected"/>
  </r>
  <r>
    <x v="206"/>
    <d v="2026-02-21T00:00:00"/>
    <s v="Annual Leave"/>
    <n v="3"/>
    <x v="5"/>
    <s v="Approved"/>
  </r>
  <r>
    <x v="207"/>
    <d v="2026-03-14T00:00:00"/>
    <s v="Sick Leave"/>
    <n v="2"/>
    <x v="0"/>
    <s v="Approved"/>
  </r>
  <r>
    <x v="208"/>
    <d v="2026-07-16T00:00:00"/>
    <s v="Emergency Leave"/>
    <n v="1"/>
    <x v="4"/>
    <s v="Approved"/>
  </r>
  <r>
    <x v="209"/>
    <d v="2026-06-19T00:00:00"/>
    <s v="Casual Leave"/>
    <n v="4"/>
    <x v="6"/>
    <s v="Approved"/>
  </r>
  <r>
    <x v="210"/>
    <d v="2026-08-16T00:00:00"/>
    <s v="Annual Leave"/>
    <n v="1"/>
    <x v="3"/>
    <s v="Pending"/>
  </r>
  <r>
    <x v="211"/>
    <d v="2026-05-25T00:00:00"/>
    <s v="Annual Leave"/>
    <n v="1"/>
    <x v="2"/>
    <s v="Rejected"/>
  </r>
  <r>
    <x v="212"/>
    <d v="2026-04-18T00:00:00"/>
    <s v="Sick Leave"/>
    <n v="3"/>
    <x v="4"/>
    <s v="Approved"/>
  </r>
  <r>
    <x v="213"/>
    <d v="2026-04-05T00:00:00"/>
    <s v="Casual Leave"/>
    <n v="4"/>
    <x v="4"/>
    <s v="Approved"/>
  </r>
  <r>
    <x v="214"/>
    <d v="2026-08-21T00:00:00"/>
    <s v="Casual Leave"/>
    <n v="3"/>
    <x v="2"/>
    <s v="Approved"/>
  </r>
  <r>
    <x v="215"/>
    <d v="2026-06-05T00:00:00"/>
    <s v="Sick Leave"/>
    <n v="3"/>
    <x v="4"/>
    <s v="Approved"/>
  </r>
  <r>
    <x v="216"/>
    <d v="2026-06-06T00:00:00"/>
    <s v="Annual Leave"/>
    <n v="2"/>
    <x v="3"/>
    <s v="Approved"/>
  </r>
  <r>
    <x v="217"/>
    <d v="2026-08-02T00:00:00"/>
    <s v="Casual Leave"/>
    <n v="3"/>
    <x v="5"/>
    <s v="Approved"/>
  </r>
  <r>
    <x v="218"/>
    <d v="2026-01-08T00:00:00"/>
    <s v="Annual Leave"/>
    <n v="2"/>
    <x v="1"/>
    <s v="Rejected"/>
  </r>
  <r>
    <x v="219"/>
    <d v="2026-09-24T00:00:00"/>
    <s v="Casual Leave"/>
    <n v="3"/>
    <x v="4"/>
    <s v="Approved"/>
  </r>
  <r>
    <x v="220"/>
    <d v="2026-01-13T00:00:00"/>
    <s v="Sick Leave"/>
    <n v="3"/>
    <x v="5"/>
    <s v="Approved"/>
  </r>
  <r>
    <x v="221"/>
    <d v="2025-10-15T00:00:00"/>
    <s v="Emergency Leave"/>
    <n v="1"/>
    <x v="3"/>
    <s v="Approved"/>
  </r>
  <r>
    <x v="222"/>
    <d v="2025-12-15T00:00:00"/>
    <s v="Emergency Leave"/>
    <n v="4"/>
    <x v="5"/>
    <s v="Pending"/>
  </r>
  <r>
    <x v="223"/>
    <d v="2025-12-20T00:00:00"/>
    <s v="Emergency Leave"/>
    <n v="3"/>
    <x v="3"/>
    <s v="Approved"/>
  </r>
  <r>
    <x v="224"/>
    <d v="2026-02-18T00:00:00"/>
    <s v="Emergency Leave"/>
    <n v="3"/>
    <x v="5"/>
    <s v="Approved"/>
  </r>
  <r>
    <x v="225"/>
    <d v="2026-05-21T00:00:00"/>
    <s v="Annual Leave"/>
    <n v="2"/>
    <x v="3"/>
    <s v="Pending"/>
  </r>
  <r>
    <x v="226"/>
    <d v="2025-12-05T00:00:00"/>
    <s v="Annual Leave"/>
    <n v="1"/>
    <x v="0"/>
    <s v="Approved"/>
  </r>
  <r>
    <x v="227"/>
    <d v="2025-10-27T00:00:00"/>
    <s v="Annual Leave"/>
    <n v="4"/>
    <x v="4"/>
    <s v="Approved"/>
  </r>
  <r>
    <x v="228"/>
    <d v="2025-12-12T00:00:00"/>
    <s v="Annual Leave"/>
    <n v="4"/>
    <x v="6"/>
    <s v="Pending"/>
  </r>
  <r>
    <x v="229"/>
    <d v="2026-08-27T00:00:00"/>
    <s v="Annual Leave"/>
    <n v="4"/>
    <x v="4"/>
    <s v="Approved"/>
  </r>
  <r>
    <x v="230"/>
    <d v="2026-03-17T00:00:00"/>
    <s v="Casual Leave"/>
    <n v="3"/>
    <x v="3"/>
    <s v="Approved"/>
  </r>
  <r>
    <x v="231"/>
    <d v="2026-07-17T00:00:00"/>
    <s v="Casual Leave"/>
    <n v="1"/>
    <x v="3"/>
    <s v="Approved"/>
  </r>
  <r>
    <x v="232"/>
    <d v="2025-11-02T00:00:00"/>
    <s v="Casual Leave"/>
    <n v="2"/>
    <x v="6"/>
    <s v="Approved"/>
  </r>
  <r>
    <x v="233"/>
    <d v="2025-11-22T00:00:00"/>
    <s v="Sick Leave"/>
    <n v="2"/>
    <x v="3"/>
    <s v="Approved"/>
  </r>
  <r>
    <x v="234"/>
    <d v="2026-04-03T00:00:00"/>
    <s v="Annual Leave"/>
    <n v="3"/>
    <x v="2"/>
    <s v="Approved"/>
  </r>
  <r>
    <x v="235"/>
    <d v="2026-03-25T00:00:00"/>
    <s v="Casual Leave"/>
    <n v="4"/>
    <x v="1"/>
    <s v="Rejected"/>
  </r>
  <r>
    <x v="236"/>
    <d v="2026-07-07T00:00:00"/>
    <s v="Casual Leave"/>
    <n v="4"/>
    <x v="4"/>
    <s v="Rejected"/>
  </r>
  <r>
    <x v="237"/>
    <d v="2026-09-21T00:00:00"/>
    <s v="Sick Leave"/>
    <n v="1"/>
    <x v="0"/>
    <s v="Approved"/>
  </r>
  <r>
    <x v="238"/>
    <d v="2025-12-21T00:00:00"/>
    <s v="Casual Leave"/>
    <n v="3"/>
    <x v="1"/>
    <s v="Approved"/>
  </r>
  <r>
    <x v="239"/>
    <d v="2026-01-31T00:00:00"/>
    <s v="Casual Leave"/>
    <n v="1"/>
    <x v="5"/>
    <s v="Approved"/>
  </r>
  <r>
    <x v="240"/>
    <d v="2026-08-26T00:00:00"/>
    <s v="Sick Leave"/>
    <n v="4"/>
    <x v="5"/>
    <s v="Approved"/>
  </r>
  <r>
    <x v="241"/>
    <d v="2026-01-28T00:00:00"/>
    <s v="Sick Leave"/>
    <n v="2"/>
    <x v="3"/>
    <s v="Pending"/>
  </r>
  <r>
    <x v="242"/>
    <d v="2026-03-15T00:00:00"/>
    <s v="Emergency Leave"/>
    <n v="4"/>
    <x v="6"/>
    <s v="Approved"/>
  </r>
  <r>
    <x v="243"/>
    <d v="2026-06-19T00:00:00"/>
    <s v="Annual Leave"/>
    <n v="4"/>
    <x v="1"/>
    <s v="Approved"/>
  </r>
  <r>
    <x v="244"/>
    <d v="2026-07-09T00:00:00"/>
    <s v="Casual Leave"/>
    <n v="1"/>
    <x v="2"/>
    <s v="Approved"/>
  </r>
  <r>
    <x v="245"/>
    <d v="2026-07-29T00:00:00"/>
    <s v="Casual Leave"/>
    <n v="2"/>
    <x v="5"/>
    <s v="Approved"/>
  </r>
  <r>
    <x v="246"/>
    <d v="2026-07-26T00:00:00"/>
    <s v="Emergency Leave"/>
    <n v="1"/>
    <x v="4"/>
    <s v="Approved"/>
  </r>
  <r>
    <x v="247"/>
    <d v="2026-04-07T00:00:00"/>
    <s v="Sick Leave"/>
    <n v="4"/>
    <x v="1"/>
    <s v="Approved"/>
  </r>
  <r>
    <x v="248"/>
    <d v="2025-12-17T00:00:00"/>
    <s v="Casual Leave"/>
    <n v="3"/>
    <x v="4"/>
    <s v="Approved"/>
  </r>
  <r>
    <x v="249"/>
    <d v="2026-07-12T00:00:00"/>
    <s v="Annual Leave"/>
    <n v="4"/>
    <x v="2"/>
    <s v="Approved"/>
  </r>
  <r>
    <x v="250"/>
    <d v="2026-01-12T00:00:00"/>
    <s v="Annual Leave"/>
    <n v="3"/>
    <x v="1"/>
    <s v="Approved"/>
  </r>
  <r>
    <x v="251"/>
    <d v="2026-02-11T00:00:00"/>
    <s v="Emergency Leave"/>
    <n v="1"/>
    <x v="2"/>
    <s v="Approved"/>
  </r>
  <r>
    <x v="252"/>
    <d v="2026-05-20T00:00:00"/>
    <s v="Casual Leave"/>
    <n v="4"/>
    <x v="3"/>
    <s v="Pending"/>
  </r>
  <r>
    <x v="253"/>
    <d v="2026-04-26T00:00:00"/>
    <s v="Sick Leave"/>
    <n v="2"/>
    <x v="5"/>
    <s v="Approved"/>
  </r>
  <r>
    <x v="254"/>
    <d v="2025-10-22T00:00:00"/>
    <s v="Emergency Leave"/>
    <n v="1"/>
    <x v="2"/>
    <s v="Approved"/>
  </r>
  <r>
    <x v="255"/>
    <d v="2026-01-11T00:00:00"/>
    <s v="Annual Leave"/>
    <n v="2"/>
    <x v="4"/>
    <s v="Pending"/>
  </r>
  <r>
    <x v="256"/>
    <d v="2026-03-05T00:00:00"/>
    <s v="Annual Leave"/>
    <n v="4"/>
    <x v="5"/>
    <s v="Approved"/>
  </r>
  <r>
    <x v="257"/>
    <d v="2026-07-18T00:00:00"/>
    <s v="Annual Leave"/>
    <n v="2"/>
    <x v="1"/>
    <s v="Pending"/>
  </r>
  <r>
    <x v="258"/>
    <d v="2025-10-07T00:00:00"/>
    <s v="Sick Leave"/>
    <n v="2"/>
    <x v="2"/>
    <s v="Approved"/>
  </r>
  <r>
    <x v="259"/>
    <d v="2026-01-14T00:00:00"/>
    <s v="Emergency Leave"/>
    <n v="4"/>
    <x v="5"/>
    <s v="Approved"/>
  </r>
  <r>
    <x v="260"/>
    <d v="2026-04-19T00:00:00"/>
    <s v="Sick Leave"/>
    <n v="4"/>
    <x v="1"/>
    <s v="Rejected"/>
  </r>
  <r>
    <x v="261"/>
    <d v="2026-07-15T00:00:00"/>
    <s v="Annual Leave"/>
    <n v="2"/>
    <x v="3"/>
    <s v="Approved"/>
  </r>
  <r>
    <x v="262"/>
    <d v="2026-08-12T00:00:00"/>
    <s v="Casual Leave"/>
    <n v="1"/>
    <x v="1"/>
    <s v="Approved"/>
  </r>
  <r>
    <x v="263"/>
    <d v="2025-10-26T00:00:00"/>
    <s v="Casual Leave"/>
    <n v="3"/>
    <x v="4"/>
    <s v="Approved"/>
  </r>
  <r>
    <x v="264"/>
    <d v="2026-03-05T00:00:00"/>
    <s v="Emergency Leave"/>
    <n v="4"/>
    <x v="4"/>
    <s v="Pending"/>
  </r>
  <r>
    <x v="265"/>
    <d v="2025-12-21T00:00:00"/>
    <s v="Casual Leave"/>
    <n v="1"/>
    <x v="1"/>
    <s v="Approved"/>
  </r>
  <r>
    <x v="266"/>
    <d v="2026-01-19T00:00:00"/>
    <s v="Sick Leave"/>
    <n v="4"/>
    <x v="4"/>
    <s v="Approved"/>
  </r>
  <r>
    <x v="267"/>
    <d v="2026-05-02T00:00:00"/>
    <s v="Casual Leave"/>
    <n v="3"/>
    <x v="5"/>
    <s v="Approved"/>
  </r>
  <r>
    <x v="268"/>
    <d v="2025-12-01T00:00:00"/>
    <s v="Annual Leave"/>
    <n v="2"/>
    <x v="2"/>
    <s v="Approved"/>
  </r>
  <r>
    <x v="269"/>
    <d v="2026-01-13T00:00:00"/>
    <s v="Casual Leave"/>
    <n v="1"/>
    <x v="2"/>
    <s v="Rejected"/>
  </r>
  <r>
    <x v="270"/>
    <d v="2025-12-29T00:00:00"/>
    <s v="Casual Leave"/>
    <n v="1"/>
    <x v="6"/>
    <s v="Approved"/>
  </r>
  <r>
    <x v="271"/>
    <d v="2026-01-29T00:00:00"/>
    <s v="Emergency Leave"/>
    <n v="3"/>
    <x v="3"/>
    <s v="Approved"/>
  </r>
  <r>
    <x v="272"/>
    <d v="2026-06-03T00:00:00"/>
    <s v="Casual Leave"/>
    <n v="2"/>
    <x v="0"/>
    <s v="Approved"/>
  </r>
  <r>
    <x v="273"/>
    <d v="2025-11-03T00:00:00"/>
    <s v="Emergency Leave"/>
    <n v="4"/>
    <x v="4"/>
    <s v="Approved"/>
  </r>
  <r>
    <x v="274"/>
    <d v="2025-10-20T00:00:00"/>
    <s v="Emergency Leave"/>
    <n v="4"/>
    <x v="0"/>
    <s v="Rejected"/>
  </r>
  <r>
    <x v="275"/>
    <d v="2026-04-30T00:00:00"/>
    <s v="Sick Leave"/>
    <n v="1"/>
    <x v="3"/>
    <s v="Pending"/>
  </r>
  <r>
    <x v="276"/>
    <d v="2026-09-29T00:00:00"/>
    <s v="Annual Leave"/>
    <n v="4"/>
    <x v="0"/>
    <s v="Approved"/>
  </r>
  <r>
    <x v="277"/>
    <d v="2026-02-14T00:00:00"/>
    <s v="Casual Leave"/>
    <n v="3"/>
    <x v="5"/>
    <s v="Approved"/>
  </r>
  <r>
    <x v="278"/>
    <d v="2026-09-19T00:00:00"/>
    <s v="Emergency Leave"/>
    <n v="1"/>
    <x v="4"/>
    <s v="Approved"/>
  </r>
  <r>
    <x v="279"/>
    <d v="2026-05-11T00:00:00"/>
    <s v="Emergency Leave"/>
    <n v="2"/>
    <x v="1"/>
    <s v="Approved"/>
  </r>
  <r>
    <x v="280"/>
    <d v="2026-02-24T00:00:00"/>
    <s v="Annual Leave"/>
    <n v="1"/>
    <x v="4"/>
    <s v="Pending"/>
  </r>
  <r>
    <x v="281"/>
    <d v="2026-04-07T00:00:00"/>
    <s v="Emergency Leave"/>
    <n v="4"/>
    <x v="1"/>
    <s v="Pending"/>
  </r>
  <r>
    <x v="282"/>
    <d v="2025-12-23T00:00:00"/>
    <s v="Annual Leave"/>
    <n v="3"/>
    <x v="1"/>
    <s v="Pending"/>
  </r>
  <r>
    <x v="283"/>
    <d v="2025-12-14T00:00:00"/>
    <s v="Annual Leave"/>
    <n v="3"/>
    <x v="4"/>
    <s v="Rejected"/>
  </r>
  <r>
    <x v="284"/>
    <d v="2025-12-29T00:00:00"/>
    <s v="Emergency Leave"/>
    <n v="3"/>
    <x v="1"/>
    <s v="Rejected"/>
  </r>
  <r>
    <x v="285"/>
    <d v="2026-03-27T00:00:00"/>
    <s v="Annual Leave"/>
    <n v="2"/>
    <x v="1"/>
    <s v="Rejected"/>
  </r>
  <r>
    <x v="286"/>
    <d v="2026-09-11T00:00:00"/>
    <s v="Emergency Leave"/>
    <n v="3"/>
    <x v="4"/>
    <s v="Rejected"/>
  </r>
  <r>
    <x v="287"/>
    <d v="2026-02-07T00:00:00"/>
    <s v="Sick Leave"/>
    <n v="3"/>
    <x v="1"/>
    <s v="Approved"/>
  </r>
  <r>
    <x v="288"/>
    <d v="2026-08-27T00:00:00"/>
    <s v="Emergency Leave"/>
    <n v="4"/>
    <x v="2"/>
    <s v="Pending"/>
  </r>
  <r>
    <x v="289"/>
    <d v="2026-09-14T00:00:00"/>
    <s v="Sick Leave"/>
    <n v="1"/>
    <x v="2"/>
    <s v="Approved"/>
  </r>
  <r>
    <x v="290"/>
    <d v="2026-06-17T00:00:00"/>
    <s v="Sick Leave"/>
    <n v="3"/>
    <x v="4"/>
    <s v="Pending"/>
  </r>
  <r>
    <x v="291"/>
    <d v="2026-07-21T00:00:00"/>
    <s v="Sick Leave"/>
    <n v="2"/>
    <x v="3"/>
    <s v="Rejected"/>
  </r>
  <r>
    <x v="292"/>
    <d v="2025-11-27T00:00:00"/>
    <s v="Casual Leave"/>
    <n v="1"/>
    <x v="0"/>
    <s v="Pending"/>
  </r>
  <r>
    <x v="293"/>
    <d v="2025-10-03T00:00:00"/>
    <s v="Annual Leave"/>
    <n v="2"/>
    <x v="3"/>
    <s v="Approved"/>
  </r>
  <r>
    <x v="294"/>
    <d v="2026-09-16T00:00:00"/>
    <s v="Annual Leave"/>
    <n v="4"/>
    <x v="5"/>
    <s v="Approved"/>
  </r>
  <r>
    <x v="295"/>
    <d v="2026-04-10T00:00:00"/>
    <s v="Emergency Leave"/>
    <n v="4"/>
    <x v="5"/>
    <s v="Approved"/>
  </r>
  <r>
    <x v="296"/>
    <d v="2026-07-23T00:00:00"/>
    <s v="Annual Leave"/>
    <n v="4"/>
    <x v="1"/>
    <s v="Approved"/>
  </r>
  <r>
    <x v="297"/>
    <d v="2026-08-24T00:00:00"/>
    <s v="Emergency Leave"/>
    <n v="2"/>
    <x v="1"/>
    <s v="Approved"/>
  </r>
  <r>
    <x v="298"/>
    <d v="2025-11-25T00:00:00"/>
    <s v="Emergency Leave"/>
    <n v="2"/>
    <x v="5"/>
    <s v="Approved"/>
  </r>
  <r>
    <x v="299"/>
    <d v="2026-09-21T00:00:00"/>
    <s v="Annual Leave"/>
    <n v="2"/>
    <x v="0"/>
    <s v="Rejected"/>
  </r>
  <r>
    <x v="300"/>
    <d v="2026-03-05T00:00:00"/>
    <s v="Sick Leave"/>
    <n v="1"/>
    <x v="7"/>
    <s v="Approved"/>
  </r>
  <r>
    <x v="301"/>
    <d v="2025-10-13T00:00:00"/>
    <s v="Casual Leave"/>
    <n v="1"/>
    <x v="7"/>
    <s v="Approved"/>
  </r>
  <r>
    <x v="302"/>
    <d v="2026-01-04T00:00:00"/>
    <s v="Casual Leave"/>
    <n v="1"/>
    <x v="7"/>
    <s v="Approved"/>
  </r>
  <r>
    <x v="303"/>
    <d v="2025-11-30T00:00:00"/>
    <s v="Emergency Leave"/>
    <n v="3"/>
    <x v="7"/>
    <s v="Rejected"/>
  </r>
  <r>
    <x v="304"/>
    <d v="2025-10-06T00:00:00"/>
    <s v="Annual Leave"/>
    <n v="3"/>
    <x v="7"/>
    <s v="Rejected"/>
  </r>
  <r>
    <x v="305"/>
    <d v="2026-04-10T00:00:00"/>
    <s v="Sick Leave"/>
    <n v="3"/>
    <x v="7"/>
    <s v="Rejected"/>
  </r>
  <r>
    <x v="306"/>
    <d v="2026-07-29T00:00:00"/>
    <s v="Emergency Leave"/>
    <n v="1"/>
    <x v="7"/>
    <s v="Rejected"/>
  </r>
  <r>
    <x v="307"/>
    <d v="2025-10-17T00:00:00"/>
    <s v="Emergency Leave"/>
    <n v="3"/>
    <x v="7"/>
    <s v="Approved"/>
  </r>
  <r>
    <x v="308"/>
    <d v="2025-10-16T00:00:00"/>
    <s v="Annual Leave"/>
    <n v="4"/>
    <x v="7"/>
    <s v="Rejected"/>
  </r>
  <r>
    <x v="309"/>
    <d v="2026-07-03T00:00:00"/>
    <s v="Casual Leave"/>
    <n v="4"/>
    <x v="7"/>
    <s v="Pending"/>
  </r>
  <r>
    <x v="310"/>
    <d v="2026-03-29T00:00:00"/>
    <s v="Emergency Leave"/>
    <n v="1"/>
    <x v="7"/>
    <s v="Rejected"/>
  </r>
  <r>
    <x v="311"/>
    <d v="2025-10-20T00:00:00"/>
    <s v="Emergency Leave"/>
    <n v="1"/>
    <x v="7"/>
    <s v="Rejected"/>
  </r>
  <r>
    <x v="312"/>
    <d v="2026-02-07T00:00:00"/>
    <s v="Casual Leave"/>
    <n v="1"/>
    <x v="7"/>
    <s v="Approved"/>
  </r>
  <r>
    <x v="313"/>
    <d v="2026-08-20T00:00:00"/>
    <s v="Casual Leave"/>
    <n v="4"/>
    <x v="7"/>
    <s v="Rejected"/>
  </r>
  <r>
    <x v="314"/>
    <d v="2026-02-01T00:00:00"/>
    <s v="Emergency Leave"/>
    <n v="1"/>
    <x v="7"/>
    <s v="Approved"/>
  </r>
  <r>
    <x v="315"/>
    <d v="2026-03-08T00:00:00"/>
    <s v="Emergency Leave"/>
    <n v="2"/>
    <x v="7"/>
    <s v="Pending"/>
  </r>
  <r>
    <x v="316"/>
    <d v="2025-11-18T00:00:00"/>
    <s v="Casual Leave"/>
    <n v="2"/>
    <x v="7"/>
    <s v="Pending"/>
  </r>
  <r>
    <x v="317"/>
    <d v="2026-09-11T00:00:00"/>
    <s v="Casual Leave"/>
    <n v="4"/>
    <x v="7"/>
    <s v="Approved"/>
  </r>
  <r>
    <x v="318"/>
    <d v="2026-06-15T00:00:00"/>
    <s v="Sick Leave"/>
    <n v="4"/>
    <x v="7"/>
    <s v="Approved"/>
  </r>
  <r>
    <x v="319"/>
    <d v="2026-04-17T00:00:00"/>
    <s v="Casual Leave"/>
    <n v="3"/>
    <x v="7"/>
    <s v="Pending"/>
  </r>
  <r>
    <x v="320"/>
    <d v="2025-11-30T00:00:00"/>
    <s v="Emergency Leave"/>
    <n v="2"/>
    <x v="7"/>
    <s v="Rejected"/>
  </r>
  <r>
    <x v="321"/>
    <d v="2026-02-28T00:00:00"/>
    <s v="Sick Leave"/>
    <n v="1"/>
    <x v="7"/>
    <s v="Approved"/>
  </r>
  <r>
    <x v="322"/>
    <d v="2026-08-04T00:00:00"/>
    <s v="Annual Leave"/>
    <n v="4"/>
    <x v="7"/>
    <s v="Approved"/>
  </r>
  <r>
    <x v="323"/>
    <d v="2025-11-09T00:00:00"/>
    <s v="Sick Leave"/>
    <n v="4"/>
    <x v="7"/>
    <s v="Rejected"/>
  </r>
  <r>
    <x v="324"/>
    <d v="2025-10-03T00:00:00"/>
    <s v="Emergency Leave"/>
    <n v="2"/>
    <x v="7"/>
    <s v="Rejected"/>
  </r>
  <r>
    <x v="325"/>
    <d v="2026-01-02T00:00:00"/>
    <s v="Sick Leave"/>
    <n v="3"/>
    <x v="7"/>
    <s v="Pending"/>
  </r>
  <r>
    <x v="326"/>
    <d v="2026-06-10T00:00:00"/>
    <s v="Sick Leave"/>
    <n v="4"/>
    <x v="7"/>
    <s v="Approved"/>
  </r>
  <r>
    <x v="327"/>
    <d v="2025-12-11T00:00:00"/>
    <s v="Sick Leave"/>
    <n v="1"/>
    <x v="7"/>
    <s v="Rejected"/>
  </r>
  <r>
    <x v="328"/>
    <d v="2026-04-06T00:00:00"/>
    <s v="Emergency Leave"/>
    <n v="1"/>
    <x v="7"/>
    <s v="Pending"/>
  </r>
  <r>
    <x v="329"/>
    <d v="2026-09-21T00:00:00"/>
    <s v="Annual Leave"/>
    <n v="1"/>
    <x v="7"/>
    <s v="Rejected"/>
  </r>
  <r>
    <x v="330"/>
    <d v="2026-05-31T00:00:00"/>
    <s v="Casual Leave"/>
    <n v="3"/>
    <x v="7"/>
    <s v="Rejected"/>
  </r>
  <r>
    <x v="331"/>
    <d v="2026-09-25T00:00:00"/>
    <s v="Emergency Leave"/>
    <n v="1"/>
    <x v="7"/>
    <s v="Approved"/>
  </r>
  <r>
    <x v="332"/>
    <d v="2025-11-14T00:00:00"/>
    <s v="Annual Leave"/>
    <n v="3"/>
    <x v="7"/>
    <s v="Rejected"/>
  </r>
  <r>
    <x v="333"/>
    <d v="2026-04-24T00:00:00"/>
    <s v="Sick Leave"/>
    <n v="2"/>
    <x v="7"/>
    <s v="Approved"/>
  </r>
  <r>
    <x v="334"/>
    <d v="2025-10-13T00:00:00"/>
    <s v="Sick Leave"/>
    <n v="1"/>
    <x v="7"/>
    <s v="Pending"/>
  </r>
  <r>
    <x v="335"/>
    <d v="2026-09-06T00:00:00"/>
    <s v="Sick Leave"/>
    <n v="4"/>
    <x v="7"/>
    <s v="Pending"/>
  </r>
  <r>
    <x v="336"/>
    <d v="2026-07-13T00:00:00"/>
    <s v="Annual Leave"/>
    <n v="4"/>
    <x v="7"/>
    <s v="Approved"/>
  </r>
  <r>
    <x v="337"/>
    <d v="2026-09-02T00:00:00"/>
    <s v="Sick Leave"/>
    <n v="4"/>
    <x v="7"/>
    <s v="Approved"/>
  </r>
  <r>
    <x v="338"/>
    <d v="2025-10-21T00:00:00"/>
    <s v="Sick Leave"/>
    <n v="2"/>
    <x v="7"/>
    <s v="Approved"/>
  </r>
  <r>
    <x v="339"/>
    <d v="2026-03-03T00:00:00"/>
    <s v="Sick Leave"/>
    <n v="4"/>
    <x v="7"/>
    <s v="Approved"/>
  </r>
  <r>
    <x v="340"/>
    <d v="2026-04-09T00:00:00"/>
    <s v="Casual Leave"/>
    <n v="1"/>
    <x v="7"/>
    <s v="Approved"/>
  </r>
  <r>
    <x v="341"/>
    <d v="2026-06-26T00:00:00"/>
    <s v="Annual Leave"/>
    <n v="1"/>
    <x v="7"/>
    <s v="Approved"/>
  </r>
  <r>
    <x v="342"/>
    <d v="2026-03-13T00:00:00"/>
    <s v="Sick Leave"/>
    <n v="4"/>
    <x v="7"/>
    <s v="Approved"/>
  </r>
  <r>
    <x v="343"/>
    <d v="2026-09-05T00:00:00"/>
    <s v="Emergency Leave"/>
    <n v="4"/>
    <x v="7"/>
    <s v="Rejected"/>
  </r>
  <r>
    <x v="344"/>
    <d v="2025-11-20T00:00:00"/>
    <s v="Sick Leave"/>
    <n v="4"/>
    <x v="7"/>
    <s v="Pending"/>
  </r>
  <r>
    <x v="345"/>
    <d v="2025-11-06T00:00:00"/>
    <s v="Sick Leave"/>
    <n v="2"/>
    <x v="7"/>
    <s v="Pending"/>
  </r>
  <r>
    <x v="346"/>
    <d v="2025-12-14T00:00:00"/>
    <s v="Casual Leave"/>
    <n v="4"/>
    <x v="7"/>
    <s v="Pending"/>
  </r>
  <r>
    <x v="347"/>
    <d v="2025-11-07T00:00:00"/>
    <s v="Sick Leave"/>
    <n v="2"/>
    <x v="7"/>
    <s v="Rejected"/>
  </r>
  <r>
    <x v="348"/>
    <d v="2026-08-17T00:00:00"/>
    <s v="Annual Leave"/>
    <n v="2"/>
    <x v="7"/>
    <s v="Approved"/>
  </r>
  <r>
    <x v="349"/>
    <d v="2025-10-31T00:00:00"/>
    <s v="Emergency Leave"/>
    <n v="1"/>
    <x v="7"/>
    <s v="Approved"/>
  </r>
  <r>
    <x v="350"/>
    <d v="2026-04-21T00:00:00"/>
    <s v="Casual Leave"/>
    <n v="2"/>
    <x v="7"/>
    <s v="Approved"/>
  </r>
  <r>
    <x v="351"/>
    <d v="2026-04-19T00:00:00"/>
    <s v="Emergency Leave"/>
    <n v="2"/>
    <x v="7"/>
    <s v="Approved"/>
  </r>
  <r>
    <x v="352"/>
    <d v="2026-08-11T00:00:00"/>
    <s v="Emergency Leave"/>
    <n v="2"/>
    <x v="7"/>
    <s v="Approved"/>
  </r>
  <r>
    <x v="353"/>
    <d v="2026-08-03T00:00:00"/>
    <s v="Annual Leave"/>
    <n v="4"/>
    <x v="7"/>
    <s v="Approved"/>
  </r>
  <r>
    <x v="354"/>
    <d v="2026-05-10T00:00:00"/>
    <s v="Casual Leave"/>
    <n v="4"/>
    <x v="7"/>
    <s v="Approved"/>
  </r>
  <r>
    <x v="355"/>
    <d v="2025-11-13T00:00:00"/>
    <s v="Sick Leave"/>
    <n v="1"/>
    <x v="7"/>
    <s v="Approved"/>
  </r>
  <r>
    <x v="356"/>
    <d v="2026-02-20T00:00:00"/>
    <s v="Emergency Leave"/>
    <n v="3"/>
    <x v="7"/>
    <s v="Rejected"/>
  </r>
  <r>
    <x v="357"/>
    <d v="2026-08-29T00:00:00"/>
    <s v="Annual Leave"/>
    <n v="3"/>
    <x v="7"/>
    <s v="Pending"/>
  </r>
  <r>
    <x v="358"/>
    <d v="2026-08-06T00:00:00"/>
    <s v="Annual Leave"/>
    <n v="3"/>
    <x v="7"/>
    <s v="Rejected"/>
  </r>
  <r>
    <x v="359"/>
    <d v="2026-06-07T00:00:00"/>
    <s v="Emergency Leave"/>
    <n v="2"/>
    <x v="7"/>
    <s v="Rejected"/>
  </r>
  <r>
    <x v="360"/>
    <d v="2026-03-22T00:00:00"/>
    <s v="Casual Leave"/>
    <n v="4"/>
    <x v="7"/>
    <s v="Approved"/>
  </r>
  <r>
    <x v="361"/>
    <d v="2026-06-30T00:00:00"/>
    <s v="Casual Leave"/>
    <n v="3"/>
    <x v="7"/>
    <s v="Approved"/>
  </r>
  <r>
    <x v="362"/>
    <d v="2026-02-16T00:00:00"/>
    <s v="Annual Leave"/>
    <n v="2"/>
    <x v="7"/>
    <s v="Approved"/>
  </r>
  <r>
    <x v="363"/>
    <d v="2026-01-31T00:00:00"/>
    <s v="Sick Leave"/>
    <n v="3"/>
    <x v="7"/>
    <s v="Approved"/>
  </r>
  <r>
    <x v="364"/>
    <d v="2026-01-07T00:00:00"/>
    <s v="Annual Leave"/>
    <n v="4"/>
    <x v="7"/>
    <s v="Approved"/>
  </r>
  <r>
    <x v="365"/>
    <d v="2026-08-03T00:00:00"/>
    <s v="Emergency Leave"/>
    <n v="2"/>
    <x v="7"/>
    <s v="Pending"/>
  </r>
  <r>
    <x v="366"/>
    <d v="2025-12-11T00:00:00"/>
    <s v="Annual Leave"/>
    <n v="2"/>
    <x v="7"/>
    <s v="Approved"/>
  </r>
  <r>
    <x v="367"/>
    <d v="2026-07-11T00:00:00"/>
    <s v="Annual Leave"/>
    <n v="2"/>
    <x v="7"/>
    <s v="Rejected"/>
  </r>
  <r>
    <x v="368"/>
    <d v="2026-07-25T00:00:00"/>
    <s v="Sick Leave"/>
    <n v="1"/>
    <x v="7"/>
    <s v="Approved"/>
  </r>
  <r>
    <x v="369"/>
    <d v="2026-08-23T00:00:00"/>
    <s v="Sick Leave"/>
    <n v="2"/>
    <x v="7"/>
    <s v="Pending"/>
  </r>
  <r>
    <x v="370"/>
    <d v="2026-08-21T00:00:00"/>
    <s v="Annual Leave"/>
    <n v="2"/>
    <x v="7"/>
    <s v="Rejected"/>
  </r>
  <r>
    <x v="371"/>
    <d v="2026-02-03T00:00:00"/>
    <s v="Emergency Leave"/>
    <n v="4"/>
    <x v="7"/>
    <s v="Approved"/>
  </r>
  <r>
    <x v="372"/>
    <d v="2026-07-18T00:00:00"/>
    <s v="Emergency Leave"/>
    <n v="3"/>
    <x v="7"/>
    <s v="Approved"/>
  </r>
  <r>
    <x v="373"/>
    <d v="2026-08-07T00:00:00"/>
    <s v="Casual Leave"/>
    <n v="3"/>
    <x v="7"/>
    <s v="Approved"/>
  </r>
  <r>
    <x v="374"/>
    <d v="2026-04-11T00:00:00"/>
    <s v="Emergency Leave"/>
    <n v="1"/>
    <x v="7"/>
    <s v="Approved"/>
  </r>
  <r>
    <x v="375"/>
    <d v="2026-02-08T00:00:00"/>
    <s v="Emergency Leave"/>
    <n v="4"/>
    <x v="7"/>
    <s v="Pending"/>
  </r>
  <r>
    <x v="376"/>
    <d v="2026-02-19T00:00:00"/>
    <s v="Emergency Leave"/>
    <n v="2"/>
    <x v="7"/>
    <s v="Approved"/>
  </r>
  <r>
    <x v="377"/>
    <d v="2025-10-27T00:00:00"/>
    <s v="Emergency Leave"/>
    <n v="4"/>
    <x v="7"/>
    <s v="Pending"/>
  </r>
  <r>
    <x v="378"/>
    <d v="2025-11-25T00:00:00"/>
    <s v="Emergency Leave"/>
    <n v="4"/>
    <x v="7"/>
    <s v="Rejected"/>
  </r>
  <r>
    <x v="379"/>
    <d v="2026-03-10T00:00:00"/>
    <s v="Casual Leave"/>
    <n v="2"/>
    <x v="7"/>
    <s v="Approved"/>
  </r>
  <r>
    <x v="380"/>
    <d v="2025-10-28T00:00:00"/>
    <s v="Casual Leave"/>
    <n v="1"/>
    <x v="7"/>
    <s v="Approved"/>
  </r>
  <r>
    <x v="381"/>
    <d v="2025-11-25T00:00:00"/>
    <s v="Annual Leave"/>
    <n v="2"/>
    <x v="7"/>
    <s v="Approved"/>
  </r>
  <r>
    <x v="382"/>
    <d v="2026-01-13T00:00:00"/>
    <s v="Casual Leave"/>
    <n v="1"/>
    <x v="7"/>
    <s v="Approved"/>
  </r>
  <r>
    <x v="383"/>
    <d v="2025-11-27T00:00:00"/>
    <s v="Annual Leave"/>
    <n v="3"/>
    <x v="7"/>
    <s v="Approved"/>
  </r>
  <r>
    <x v="384"/>
    <d v="2026-05-09T00:00:00"/>
    <s v="Sick Leave"/>
    <n v="2"/>
    <x v="7"/>
    <s v="Approved"/>
  </r>
  <r>
    <x v="385"/>
    <d v="2026-08-06T00:00:00"/>
    <s v="Annual Leave"/>
    <n v="3"/>
    <x v="7"/>
    <s v="Approved"/>
  </r>
  <r>
    <x v="386"/>
    <d v="2025-12-17T00:00:00"/>
    <s v="Casual Leave"/>
    <n v="3"/>
    <x v="7"/>
    <s v="Approved"/>
  </r>
  <r>
    <x v="387"/>
    <d v="2025-12-27T00:00:00"/>
    <s v="Emergency Leave"/>
    <n v="2"/>
    <x v="7"/>
    <s v="Pending"/>
  </r>
  <r>
    <x v="388"/>
    <d v="2026-08-12T00:00:00"/>
    <s v="Casual Leave"/>
    <n v="2"/>
    <x v="7"/>
    <s v="Approved"/>
  </r>
  <r>
    <x v="389"/>
    <d v="2026-08-11T00:00:00"/>
    <s v="Annual Leave"/>
    <n v="4"/>
    <x v="7"/>
    <s v="Approved"/>
  </r>
  <r>
    <x v="390"/>
    <d v="2025-11-18T00:00:00"/>
    <s v="Sick Leave"/>
    <n v="4"/>
    <x v="7"/>
    <s v="Approved"/>
  </r>
  <r>
    <x v="391"/>
    <d v="2026-02-01T00:00:00"/>
    <s v="Emergency Leave"/>
    <n v="2"/>
    <x v="7"/>
    <s v="Approved"/>
  </r>
  <r>
    <x v="392"/>
    <d v="2026-01-21T00:00:00"/>
    <s v="Annual Leave"/>
    <n v="1"/>
    <x v="7"/>
    <s v="Approved"/>
  </r>
  <r>
    <x v="393"/>
    <d v="2026-09-09T00:00:00"/>
    <s v="Annual Leave"/>
    <n v="4"/>
    <x v="7"/>
    <s v="Pending"/>
  </r>
  <r>
    <x v="394"/>
    <d v="2026-04-16T00:00:00"/>
    <s v="Emergency Leave"/>
    <n v="2"/>
    <x v="7"/>
    <s v="Approved"/>
  </r>
  <r>
    <x v="395"/>
    <d v="2025-11-21T00:00:00"/>
    <s v="Casual Leave"/>
    <n v="4"/>
    <x v="7"/>
    <s v="Rejected"/>
  </r>
  <r>
    <x v="396"/>
    <d v="2026-05-15T00:00:00"/>
    <s v="Sick Leave"/>
    <n v="4"/>
    <x v="7"/>
    <s v="Pending"/>
  </r>
  <r>
    <x v="397"/>
    <d v="2026-04-13T00:00:00"/>
    <s v="Casual Leave"/>
    <n v="3"/>
    <x v="7"/>
    <s v="Approved"/>
  </r>
  <r>
    <x v="398"/>
    <d v="2026-05-12T00:00:00"/>
    <s v="Annual Leave"/>
    <n v="3"/>
    <x v="7"/>
    <s v="Approved"/>
  </r>
  <r>
    <x v="399"/>
    <d v="2026-06-13T00:00:00"/>
    <s v="Emergency Leave"/>
    <n v="4"/>
    <x v="7"/>
    <s v="Pending"/>
  </r>
  <r>
    <x v="400"/>
    <d v="2026-01-14T00:00:00"/>
    <s v="Annual Leave"/>
    <n v="2"/>
    <x v="7"/>
    <s v="Approved"/>
  </r>
  <r>
    <x v="401"/>
    <d v="2026-09-23T00:00:00"/>
    <s v="Emergency Leave"/>
    <n v="2"/>
    <x v="7"/>
    <s v="Rejected"/>
  </r>
  <r>
    <x v="402"/>
    <d v="2026-01-15T00:00:00"/>
    <s v="Sick Leave"/>
    <n v="3"/>
    <x v="7"/>
    <s v="Approved"/>
  </r>
  <r>
    <x v="403"/>
    <d v="2026-04-26T00:00:00"/>
    <s v="Annual Leave"/>
    <n v="2"/>
    <x v="7"/>
    <s v="Approved"/>
  </r>
  <r>
    <x v="404"/>
    <d v="2026-01-27T00:00:00"/>
    <s v="Emergency Leave"/>
    <n v="4"/>
    <x v="7"/>
    <s v="Approved"/>
  </r>
  <r>
    <x v="405"/>
    <d v="2026-02-02T00:00:00"/>
    <s v="Casual Leave"/>
    <n v="4"/>
    <x v="7"/>
    <s v="Approved"/>
  </r>
  <r>
    <x v="406"/>
    <d v="2026-04-18T00:00:00"/>
    <s v="Annual Leave"/>
    <n v="3"/>
    <x v="7"/>
    <s v="Rejected"/>
  </r>
  <r>
    <x v="407"/>
    <d v="2025-10-11T00:00:00"/>
    <s v="Emergency Leave"/>
    <n v="4"/>
    <x v="7"/>
    <s v="Rejected"/>
  </r>
  <r>
    <x v="408"/>
    <d v="2026-05-06T00:00:00"/>
    <s v="Casual Leave"/>
    <n v="4"/>
    <x v="7"/>
    <s v="Approved"/>
  </r>
  <r>
    <x v="409"/>
    <d v="2026-01-26T00:00:00"/>
    <s v="Annual Leave"/>
    <n v="3"/>
    <x v="7"/>
    <s v="Approved"/>
  </r>
  <r>
    <x v="410"/>
    <d v="2026-06-03T00:00:00"/>
    <s v="Sick Leave"/>
    <n v="2"/>
    <x v="7"/>
    <s v="Approved"/>
  </r>
  <r>
    <x v="411"/>
    <d v="2026-08-27T00:00:00"/>
    <s v="Sick Leave"/>
    <n v="1"/>
    <x v="7"/>
    <s v="Rejected"/>
  </r>
  <r>
    <x v="412"/>
    <d v="2026-04-05T00:00:00"/>
    <s v="Casual Leave"/>
    <n v="2"/>
    <x v="7"/>
    <s v="Approved"/>
  </r>
  <r>
    <x v="413"/>
    <d v="2026-09-28T00:00:00"/>
    <s v="Sick Leave"/>
    <n v="1"/>
    <x v="7"/>
    <s v="Pending"/>
  </r>
  <r>
    <x v="414"/>
    <d v="2026-09-22T00:00:00"/>
    <s v="Casual Leave"/>
    <n v="3"/>
    <x v="7"/>
    <s v="Approved"/>
  </r>
  <r>
    <x v="415"/>
    <d v="2026-02-08T00:00:00"/>
    <s v="Emergency Leave"/>
    <n v="2"/>
    <x v="7"/>
    <s v="Approved"/>
  </r>
  <r>
    <x v="416"/>
    <d v="2025-12-12T00:00:00"/>
    <s v="Emergency Leave"/>
    <n v="3"/>
    <x v="7"/>
    <s v="Approved"/>
  </r>
  <r>
    <x v="417"/>
    <d v="2026-01-26T00:00:00"/>
    <s v="Emergency Leave"/>
    <n v="3"/>
    <x v="7"/>
    <s v="Approved"/>
  </r>
  <r>
    <x v="418"/>
    <d v="2026-06-24T00:00:00"/>
    <s v="Casual Leave"/>
    <n v="2"/>
    <x v="7"/>
    <s v="Approved"/>
  </r>
  <r>
    <x v="419"/>
    <d v="2025-10-27T00:00:00"/>
    <s v="Sick Leave"/>
    <n v="3"/>
    <x v="7"/>
    <s v="Pending"/>
  </r>
  <r>
    <x v="420"/>
    <d v="2026-05-29T00:00:00"/>
    <s v="Emergency Leave"/>
    <n v="2"/>
    <x v="7"/>
    <s v="Approved"/>
  </r>
  <r>
    <x v="421"/>
    <d v="2025-10-09T00:00:00"/>
    <s v="Sick Leave"/>
    <n v="1"/>
    <x v="7"/>
    <s v="Approved"/>
  </r>
  <r>
    <x v="422"/>
    <d v="2025-11-21T00:00:00"/>
    <s v="Annual Leave"/>
    <n v="2"/>
    <x v="7"/>
    <s v="Pending"/>
  </r>
  <r>
    <x v="423"/>
    <d v="2026-07-11T00:00:00"/>
    <s v="Annual Leave"/>
    <n v="2"/>
    <x v="7"/>
    <s v="Approved"/>
  </r>
  <r>
    <x v="424"/>
    <d v="2026-07-01T00:00:00"/>
    <s v="Sick Leave"/>
    <n v="2"/>
    <x v="7"/>
    <s v="Approved"/>
  </r>
  <r>
    <x v="425"/>
    <d v="2026-03-16T00:00:00"/>
    <s v="Sick Leave"/>
    <n v="3"/>
    <x v="7"/>
    <s v="Pending"/>
  </r>
  <r>
    <x v="426"/>
    <d v="2026-06-16T00:00:00"/>
    <s v="Casual Leave"/>
    <n v="4"/>
    <x v="7"/>
    <s v="Approved"/>
  </r>
  <r>
    <x v="427"/>
    <d v="2025-12-25T00:00:00"/>
    <s v="Casual Leave"/>
    <n v="4"/>
    <x v="7"/>
    <s v="Approved"/>
  </r>
  <r>
    <x v="428"/>
    <d v="2025-12-07T00:00:00"/>
    <s v="Sick Leave"/>
    <n v="3"/>
    <x v="7"/>
    <s v="Pending"/>
  </r>
  <r>
    <x v="429"/>
    <d v="2026-02-20T00:00:00"/>
    <s v="Emergency Leave"/>
    <n v="2"/>
    <x v="7"/>
    <s v="Rejected"/>
  </r>
  <r>
    <x v="430"/>
    <d v="2026-09-29T00:00:00"/>
    <s v="Casual Leave"/>
    <n v="2"/>
    <x v="7"/>
    <s v="Approved"/>
  </r>
  <r>
    <x v="431"/>
    <d v="2025-10-22T00:00:00"/>
    <s v="Casual Leave"/>
    <n v="4"/>
    <x v="7"/>
    <s v="Approved"/>
  </r>
  <r>
    <x v="432"/>
    <d v="2025-10-01T00:00:00"/>
    <s v="Annual Leave"/>
    <n v="4"/>
    <x v="7"/>
    <s v="Pending"/>
  </r>
  <r>
    <x v="433"/>
    <d v="2026-06-08T00:00:00"/>
    <s v="Emergency Leave"/>
    <n v="4"/>
    <x v="7"/>
    <s v="Pending"/>
  </r>
  <r>
    <x v="434"/>
    <d v="2026-05-27T00:00:00"/>
    <s v="Annual Leave"/>
    <n v="4"/>
    <x v="7"/>
    <s v="Approved"/>
  </r>
  <r>
    <x v="435"/>
    <d v="2026-04-27T00:00:00"/>
    <s v="Sick Leave"/>
    <n v="4"/>
    <x v="7"/>
    <s v="Approved"/>
  </r>
  <r>
    <x v="436"/>
    <d v="2025-10-19T00:00:00"/>
    <s v="Sick Leave"/>
    <n v="1"/>
    <x v="7"/>
    <s v="Pending"/>
  </r>
  <r>
    <x v="437"/>
    <d v="2026-04-07T00:00:00"/>
    <s v="Annual Leave"/>
    <n v="1"/>
    <x v="7"/>
    <s v="Pending"/>
  </r>
  <r>
    <x v="438"/>
    <d v="2026-04-30T00:00:00"/>
    <s v="Emergency Leave"/>
    <n v="4"/>
    <x v="7"/>
    <s v="Approved"/>
  </r>
  <r>
    <x v="439"/>
    <d v="2025-10-13T00:00:00"/>
    <s v="Annual Leave"/>
    <n v="4"/>
    <x v="7"/>
    <s v="Approved"/>
  </r>
  <r>
    <x v="440"/>
    <d v="2025-10-09T00:00:00"/>
    <s v="Sick Leave"/>
    <n v="4"/>
    <x v="7"/>
    <s v="Approved"/>
  </r>
  <r>
    <x v="441"/>
    <d v="2026-07-30T00:00:00"/>
    <s v="Sick Leave"/>
    <n v="3"/>
    <x v="7"/>
    <s v="Rejected"/>
  </r>
  <r>
    <x v="442"/>
    <d v="2026-02-03T00:00:00"/>
    <s v="Sick Leave"/>
    <n v="1"/>
    <x v="7"/>
    <s v="Approved"/>
  </r>
  <r>
    <x v="443"/>
    <d v="2026-05-13T00:00:00"/>
    <s v="Annual Leave"/>
    <n v="4"/>
    <x v="7"/>
    <s v="Rejected"/>
  </r>
  <r>
    <x v="444"/>
    <d v="2026-09-30T00:00:00"/>
    <s v="Emergency Leave"/>
    <n v="3"/>
    <x v="7"/>
    <s v="Approved"/>
  </r>
  <r>
    <x v="445"/>
    <d v="2026-05-26T00:00:00"/>
    <s v="Sick Leave"/>
    <n v="4"/>
    <x v="7"/>
    <s v="Approved"/>
  </r>
  <r>
    <x v="446"/>
    <d v="2026-02-03T00:00:00"/>
    <s v="Sick Leave"/>
    <n v="1"/>
    <x v="7"/>
    <s v="Approved"/>
  </r>
  <r>
    <x v="447"/>
    <d v="2025-10-28T00:00:00"/>
    <s v="Annual Leave"/>
    <n v="4"/>
    <x v="7"/>
    <s v="Rejected"/>
  </r>
  <r>
    <x v="448"/>
    <d v="2026-08-31T00:00:00"/>
    <s v="Emergency Leave"/>
    <n v="1"/>
    <x v="7"/>
    <s v="Pending"/>
  </r>
  <r>
    <x v="449"/>
    <d v="2026-03-31T00:00:00"/>
    <s v="Emergency Leave"/>
    <n v="1"/>
    <x v="7"/>
    <s v="Rejected"/>
  </r>
  <r>
    <x v="450"/>
    <d v="2025-11-04T00:00:00"/>
    <s v="Annual Leave"/>
    <n v="3"/>
    <x v="7"/>
    <s v="Approved"/>
  </r>
  <r>
    <x v="451"/>
    <d v="2026-06-17T00:00:00"/>
    <s v="Sick Leave"/>
    <n v="1"/>
    <x v="7"/>
    <s v="Approved"/>
  </r>
  <r>
    <x v="452"/>
    <d v="2025-12-14T00:00:00"/>
    <s v="Annual Leave"/>
    <n v="1"/>
    <x v="7"/>
    <s v="Approved"/>
  </r>
  <r>
    <x v="453"/>
    <d v="2026-01-20T00:00:00"/>
    <s v="Annual Leave"/>
    <n v="1"/>
    <x v="7"/>
    <s v="Rejected"/>
  </r>
  <r>
    <x v="454"/>
    <d v="2026-04-25T00:00:00"/>
    <s v="Annual Leave"/>
    <n v="4"/>
    <x v="7"/>
    <s v="Approved"/>
  </r>
  <r>
    <x v="455"/>
    <d v="2026-08-15T00:00:00"/>
    <s v="Annual Leave"/>
    <n v="3"/>
    <x v="7"/>
    <s v="Approved"/>
  </r>
  <r>
    <x v="456"/>
    <d v="2025-10-27T00:00:00"/>
    <s v="Casual Leave"/>
    <n v="4"/>
    <x v="7"/>
    <s v="Rejected"/>
  </r>
  <r>
    <x v="457"/>
    <d v="2026-06-21T00:00:00"/>
    <s v="Casual Leave"/>
    <n v="1"/>
    <x v="7"/>
    <s v="Approved"/>
  </r>
  <r>
    <x v="458"/>
    <d v="2026-04-12T00:00:00"/>
    <s v="Annual Leave"/>
    <n v="4"/>
    <x v="7"/>
    <s v="Approved"/>
  </r>
  <r>
    <x v="459"/>
    <d v="2025-12-13T00:00:00"/>
    <s v="Sick Leave"/>
    <n v="2"/>
    <x v="7"/>
    <s v="Approved"/>
  </r>
  <r>
    <x v="460"/>
    <d v="2026-04-15T00:00:00"/>
    <s v="Annual Leave"/>
    <n v="4"/>
    <x v="7"/>
    <s v="Approved"/>
  </r>
  <r>
    <x v="461"/>
    <d v="2025-10-22T00:00:00"/>
    <s v="Casual Leave"/>
    <n v="3"/>
    <x v="7"/>
    <s v="Approved"/>
  </r>
  <r>
    <x v="462"/>
    <d v="2025-12-08T00:00:00"/>
    <s v="Sick Leave"/>
    <n v="4"/>
    <x v="7"/>
    <s v="Pending"/>
  </r>
  <r>
    <x v="463"/>
    <d v="2026-01-08T00:00:00"/>
    <s v="Emergency Leave"/>
    <n v="2"/>
    <x v="7"/>
    <s v="Rejected"/>
  </r>
  <r>
    <x v="464"/>
    <d v="2026-07-18T00:00:00"/>
    <s v="Annual Leave"/>
    <n v="2"/>
    <x v="7"/>
    <s v="Approved"/>
  </r>
  <r>
    <x v="465"/>
    <d v="2025-11-03T00:00:00"/>
    <s v="Sick Leave"/>
    <n v="1"/>
    <x v="7"/>
    <s v="Approved"/>
  </r>
  <r>
    <x v="466"/>
    <d v="2026-06-05T00:00:00"/>
    <s v="Casual Leave"/>
    <n v="2"/>
    <x v="7"/>
    <s v="Rejected"/>
  </r>
  <r>
    <x v="467"/>
    <d v="2025-12-24T00:00:00"/>
    <s v="Emergency Leave"/>
    <n v="1"/>
    <x v="7"/>
    <s v="Approved"/>
  </r>
  <r>
    <x v="468"/>
    <d v="2026-03-25T00:00:00"/>
    <s v="Annual Leave"/>
    <n v="4"/>
    <x v="7"/>
    <s v="Approved"/>
  </r>
  <r>
    <x v="469"/>
    <d v="2026-07-23T00:00:00"/>
    <s v="Annual Leave"/>
    <n v="3"/>
    <x v="7"/>
    <s v="Pending"/>
  </r>
  <r>
    <x v="470"/>
    <d v="2025-12-19T00:00:00"/>
    <s v="Annual Leave"/>
    <n v="2"/>
    <x v="7"/>
    <s v="Approved"/>
  </r>
  <r>
    <x v="471"/>
    <d v="2026-06-05T00:00:00"/>
    <s v="Annual Leave"/>
    <n v="3"/>
    <x v="7"/>
    <s v="Pending"/>
  </r>
  <r>
    <x v="472"/>
    <d v="2026-03-03T00:00:00"/>
    <s v="Emergency Leave"/>
    <n v="4"/>
    <x v="7"/>
    <s v="Approved"/>
  </r>
  <r>
    <x v="473"/>
    <d v="2026-07-30T00:00:00"/>
    <s v="Annual Leave"/>
    <n v="3"/>
    <x v="7"/>
    <s v="Approved"/>
  </r>
  <r>
    <x v="474"/>
    <d v="2026-07-12T00:00:00"/>
    <s v="Sick Leave"/>
    <n v="2"/>
    <x v="7"/>
    <s v="Approved"/>
  </r>
  <r>
    <x v="475"/>
    <d v="2025-12-18T00:00:00"/>
    <s v="Casual Leave"/>
    <n v="3"/>
    <x v="7"/>
    <s v="Rejected"/>
  </r>
  <r>
    <x v="476"/>
    <d v="2026-04-23T00:00:00"/>
    <s v="Emergency Leave"/>
    <n v="3"/>
    <x v="7"/>
    <s v="Approved"/>
  </r>
  <r>
    <x v="477"/>
    <d v="2025-11-11T00:00:00"/>
    <s v="Sick Leave"/>
    <n v="2"/>
    <x v="7"/>
    <s v="Pending"/>
  </r>
  <r>
    <x v="478"/>
    <d v="2026-09-05T00:00:00"/>
    <s v="Casual Leave"/>
    <n v="3"/>
    <x v="7"/>
    <s v="Approved"/>
  </r>
  <r>
    <x v="479"/>
    <d v="2026-05-12T00:00:00"/>
    <s v="Emergency Leave"/>
    <n v="4"/>
    <x v="7"/>
    <s v="Approved"/>
  </r>
  <r>
    <x v="480"/>
    <d v="2026-05-01T00:00:00"/>
    <s v="Emergency Leave"/>
    <n v="1"/>
    <x v="7"/>
    <s v="Approved"/>
  </r>
  <r>
    <x v="481"/>
    <d v="2025-11-30T00:00:00"/>
    <s v="Annual Leave"/>
    <n v="2"/>
    <x v="7"/>
    <s v="Rejected"/>
  </r>
  <r>
    <x v="482"/>
    <d v="2026-06-09T00:00:00"/>
    <s v="Emergency Leave"/>
    <n v="2"/>
    <x v="7"/>
    <s v="Rejected"/>
  </r>
  <r>
    <x v="483"/>
    <d v="2026-01-29T00:00:00"/>
    <s v="Annual Leave"/>
    <n v="2"/>
    <x v="7"/>
    <s v="Pending"/>
  </r>
  <r>
    <x v="484"/>
    <d v="2025-12-24T00:00:00"/>
    <s v="Annual Leave"/>
    <n v="2"/>
    <x v="7"/>
    <s v="Pending"/>
  </r>
  <r>
    <x v="485"/>
    <d v="2026-03-17T00:00:00"/>
    <s v="Emergency Leave"/>
    <n v="1"/>
    <x v="7"/>
    <s v="Approved"/>
  </r>
  <r>
    <x v="486"/>
    <d v="2026-07-04T00:00:00"/>
    <s v="Emergency Leave"/>
    <n v="4"/>
    <x v="7"/>
    <s v="Approved"/>
  </r>
  <r>
    <x v="487"/>
    <d v="2025-10-27T00:00:00"/>
    <s v="Casual Leave"/>
    <n v="4"/>
    <x v="7"/>
    <s v="Approved"/>
  </r>
  <r>
    <x v="488"/>
    <d v="2026-02-27T00:00:00"/>
    <s v="Annual Leave"/>
    <n v="3"/>
    <x v="7"/>
    <s v="Pending"/>
  </r>
  <r>
    <x v="489"/>
    <d v="2026-03-08T00:00:00"/>
    <s v="Annual Leave"/>
    <n v="1"/>
    <x v="7"/>
    <s v="Approved"/>
  </r>
  <r>
    <x v="490"/>
    <d v="2025-11-12T00:00:00"/>
    <s v="Casual Leave"/>
    <n v="1"/>
    <x v="7"/>
    <s v="Approved"/>
  </r>
  <r>
    <x v="491"/>
    <d v="2025-12-27T00:00:00"/>
    <s v="Emergency Leave"/>
    <n v="4"/>
    <x v="7"/>
    <s v="Approved"/>
  </r>
  <r>
    <x v="492"/>
    <d v="2026-02-14T00:00:00"/>
    <s v="Annual Leave"/>
    <n v="1"/>
    <x v="7"/>
    <s v="Pending"/>
  </r>
  <r>
    <x v="493"/>
    <d v="2026-02-23T00:00:00"/>
    <s v="Sick Leave"/>
    <n v="1"/>
    <x v="7"/>
    <s v="Rejected"/>
  </r>
  <r>
    <x v="494"/>
    <d v="2026-02-11T00:00:00"/>
    <s v="Sick Leave"/>
    <n v="1"/>
    <x v="7"/>
    <s v="Rejected"/>
  </r>
  <r>
    <x v="495"/>
    <d v="2026-08-07T00:00:00"/>
    <s v="Sick Leave"/>
    <n v="3"/>
    <x v="7"/>
    <s v="Approved"/>
  </r>
  <r>
    <x v="496"/>
    <d v="2026-04-20T00:00:00"/>
    <s v="Annual Leave"/>
    <n v="2"/>
    <x v="7"/>
    <s v="Rejected"/>
  </r>
  <r>
    <x v="497"/>
    <d v="2026-05-20T00:00:00"/>
    <s v="Annual Leave"/>
    <n v="3"/>
    <x v="7"/>
    <s v="Approved"/>
  </r>
  <r>
    <x v="498"/>
    <d v="2026-05-03T00:00:00"/>
    <s v="Sick Leave"/>
    <n v="3"/>
    <x v="7"/>
    <s v="Approved"/>
  </r>
  <r>
    <x v="499"/>
    <d v="2026-01-16T00:00:00"/>
    <s v="Sick Leave"/>
    <n v="4"/>
    <x v="7"/>
    <s v="Approved"/>
  </r>
  <r>
    <x v="500"/>
    <d v="2026-09-26T00:00:00"/>
    <s v="Sick Leave"/>
    <n v="1"/>
    <x v="7"/>
    <s v="Approved"/>
  </r>
  <r>
    <x v="501"/>
    <d v="2025-11-30T00:00:00"/>
    <s v="Sick Leave"/>
    <n v="1"/>
    <x v="7"/>
    <s v="Rejected"/>
  </r>
  <r>
    <x v="502"/>
    <d v="2025-12-04T00:00:00"/>
    <s v="Sick Leave"/>
    <n v="1"/>
    <x v="7"/>
    <s v="Approved"/>
  </r>
  <r>
    <x v="503"/>
    <d v="2026-03-20T00:00:00"/>
    <s v="Annual Leave"/>
    <n v="2"/>
    <x v="7"/>
    <s v="Rejected"/>
  </r>
  <r>
    <x v="504"/>
    <d v="2026-05-11T00:00:00"/>
    <s v="Emergency Leave"/>
    <n v="1"/>
    <x v="7"/>
    <s v="Pending"/>
  </r>
  <r>
    <x v="505"/>
    <d v="2026-03-04T00:00:00"/>
    <s v="Sick Leave"/>
    <n v="4"/>
    <x v="7"/>
    <s v="Approved"/>
  </r>
  <r>
    <x v="506"/>
    <d v="2026-04-05T00:00:00"/>
    <s v="Sick Leave"/>
    <n v="4"/>
    <x v="7"/>
    <s v="Approved"/>
  </r>
  <r>
    <x v="507"/>
    <d v="2026-03-26T00:00:00"/>
    <s v="Casual Leave"/>
    <n v="1"/>
    <x v="7"/>
    <s v="Approved"/>
  </r>
  <r>
    <x v="508"/>
    <d v="2026-02-07T00:00:00"/>
    <s v="Emergency Leave"/>
    <n v="2"/>
    <x v="7"/>
    <s v="Rejected"/>
  </r>
  <r>
    <x v="509"/>
    <d v="2026-09-03T00:00:00"/>
    <s v="Emergency Leave"/>
    <n v="3"/>
    <x v="7"/>
    <s v="Rejected"/>
  </r>
  <r>
    <x v="510"/>
    <d v="2025-12-08T00:00:00"/>
    <s v="Annual Leave"/>
    <n v="4"/>
    <x v="7"/>
    <s v="Approved"/>
  </r>
  <r>
    <x v="511"/>
    <d v="2026-07-18T00:00:00"/>
    <s v="Sick Leave"/>
    <n v="1"/>
    <x v="7"/>
    <s v="Approved"/>
  </r>
  <r>
    <x v="512"/>
    <d v="2026-05-01T00:00:00"/>
    <s v="Casual Leave"/>
    <n v="4"/>
    <x v="7"/>
    <s v="Approved"/>
  </r>
  <r>
    <x v="513"/>
    <d v="2025-12-15T00:00:00"/>
    <s v="Casual Leave"/>
    <n v="2"/>
    <x v="7"/>
    <s v="Approved"/>
  </r>
  <r>
    <x v="514"/>
    <d v="2026-08-06T00:00:00"/>
    <s v="Emergency Leave"/>
    <n v="3"/>
    <x v="7"/>
    <s v="Approved"/>
  </r>
  <r>
    <x v="515"/>
    <d v="2026-01-01T00:00:00"/>
    <s v="Emergency Leave"/>
    <n v="1"/>
    <x v="7"/>
    <s v="Approved"/>
  </r>
  <r>
    <x v="516"/>
    <d v="2026-08-20T00:00:00"/>
    <s v="Annual Leave"/>
    <n v="3"/>
    <x v="7"/>
    <s v="Pending"/>
  </r>
  <r>
    <x v="517"/>
    <d v="2026-04-09T00:00:00"/>
    <s v="Annual Leave"/>
    <n v="1"/>
    <x v="7"/>
    <s v="Approved"/>
  </r>
  <r>
    <x v="518"/>
    <d v="2026-06-14T00:00:00"/>
    <s v="Sick Leave"/>
    <n v="2"/>
    <x v="7"/>
    <s v="Approved"/>
  </r>
  <r>
    <x v="519"/>
    <d v="2026-03-20T00:00:00"/>
    <s v="Annual Leave"/>
    <n v="4"/>
    <x v="7"/>
    <s v="Pending"/>
  </r>
  <r>
    <x v="520"/>
    <d v="2026-07-30T00:00:00"/>
    <s v="Sick Leave"/>
    <n v="4"/>
    <x v="7"/>
    <s v="Approved"/>
  </r>
  <r>
    <x v="521"/>
    <d v="2026-07-30T00:00:00"/>
    <s v="Annual Leave"/>
    <n v="4"/>
    <x v="7"/>
    <s v="Approved"/>
  </r>
  <r>
    <x v="522"/>
    <d v="2026-02-23T00:00:00"/>
    <s v="Annual Leave"/>
    <n v="1"/>
    <x v="7"/>
    <s v="Rejected"/>
  </r>
  <r>
    <x v="523"/>
    <d v="2026-07-29T00:00:00"/>
    <s v="Casual Leave"/>
    <n v="4"/>
    <x v="7"/>
    <s v="Rejected"/>
  </r>
  <r>
    <x v="524"/>
    <d v="2026-08-08T00:00:00"/>
    <s v="Sick Leave"/>
    <n v="3"/>
    <x v="7"/>
    <s v="Pending"/>
  </r>
  <r>
    <x v="525"/>
    <d v="2026-01-23T00:00:00"/>
    <s v="Emergency Leave"/>
    <n v="3"/>
    <x v="7"/>
    <s v="Approved"/>
  </r>
  <r>
    <x v="526"/>
    <d v="2026-08-30T00:00:00"/>
    <s v="Casual Leave"/>
    <n v="2"/>
    <x v="7"/>
    <s v="Pending"/>
  </r>
  <r>
    <x v="527"/>
    <d v="2026-04-21T00:00:00"/>
    <s v="Annual Leave"/>
    <n v="1"/>
    <x v="7"/>
    <s v="Pending"/>
  </r>
  <r>
    <x v="528"/>
    <d v="2026-01-26T00:00:00"/>
    <s v="Casual Leave"/>
    <n v="2"/>
    <x v="7"/>
    <s v="Rejected"/>
  </r>
  <r>
    <x v="529"/>
    <d v="2026-04-22T00:00:00"/>
    <s v="Casual Leave"/>
    <n v="4"/>
    <x v="7"/>
    <s v="Approved"/>
  </r>
  <r>
    <x v="530"/>
    <d v="2026-07-02T00:00:00"/>
    <s v="Emergency Leave"/>
    <n v="1"/>
    <x v="7"/>
    <s v="Pending"/>
  </r>
  <r>
    <x v="531"/>
    <d v="2026-08-24T00:00:00"/>
    <s v="Annual Leave"/>
    <n v="1"/>
    <x v="7"/>
    <s v="Rejected"/>
  </r>
  <r>
    <x v="532"/>
    <d v="2026-01-18T00:00:00"/>
    <s v="Annual Leave"/>
    <n v="1"/>
    <x v="7"/>
    <s v="Approved"/>
  </r>
  <r>
    <x v="533"/>
    <d v="2026-04-18T00:00:00"/>
    <s v="Annual Leave"/>
    <n v="2"/>
    <x v="7"/>
    <s v="Pending"/>
  </r>
  <r>
    <x v="534"/>
    <d v="2026-09-01T00:00:00"/>
    <s v="Sick Leave"/>
    <n v="1"/>
    <x v="7"/>
    <s v="Rejected"/>
  </r>
  <r>
    <x v="535"/>
    <d v="2025-11-10T00:00:00"/>
    <s v="Annual Leave"/>
    <n v="2"/>
    <x v="7"/>
    <s v="Rejected"/>
  </r>
  <r>
    <x v="536"/>
    <d v="2026-02-10T00:00:00"/>
    <s v="Sick Leave"/>
    <n v="3"/>
    <x v="7"/>
    <s v="Approved"/>
  </r>
  <r>
    <x v="537"/>
    <d v="2025-12-22T00:00:00"/>
    <s v="Emergency Leave"/>
    <n v="2"/>
    <x v="7"/>
    <s v="Approved"/>
  </r>
  <r>
    <x v="538"/>
    <d v="2026-04-04T00:00:00"/>
    <s v="Casual Leave"/>
    <n v="3"/>
    <x v="7"/>
    <s v="Approved"/>
  </r>
  <r>
    <x v="539"/>
    <d v="2026-07-05T00:00:00"/>
    <s v="Casual Leave"/>
    <n v="1"/>
    <x v="7"/>
    <s v="Approved"/>
  </r>
  <r>
    <x v="540"/>
    <d v="2025-11-03T00:00:00"/>
    <s v="Annual Leave"/>
    <n v="2"/>
    <x v="7"/>
    <s v="Approved"/>
  </r>
  <r>
    <x v="541"/>
    <d v="2026-03-22T00:00:00"/>
    <s v="Casual Leave"/>
    <n v="4"/>
    <x v="7"/>
    <s v="Pending"/>
  </r>
  <r>
    <x v="542"/>
    <d v="2025-12-02T00:00:00"/>
    <s v="Emergency Leave"/>
    <n v="3"/>
    <x v="7"/>
    <s v="Approved"/>
  </r>
  <r>
    <x v="543"/>
    <d v="2026-04-01T00:00:00"/>
    <s v="Casual Leave"/>
    <n v="3"/>
    <x v="7"/>
    <s v="Approved"/>
  </r>
  <r>
    <x v="544"/>
    <d v="2026-01-05T00:00:00"/>
    <s v="Annual Leave"/>
    <n v="1"/>
    <x v="7"/>
    <s v="Pending"/>
  </r>
  <r>
    <x v="545"/>
    <d v="2025-11-14T00:00:00"/>
    <s v="Casual Leave"/>
    <n v="2"/>
    <x v="7"/>
    <s v="Approved"/>
  </r>
  <r>
    <x v="546"/>
    <d v="2026-03-25T00:00:00"/>
    <s v="Sick Leave"/>
    <n v="2"/>
    <x v="7"/>
    <s v="Rejected"/>
  </r>
  <r>
    <x v="547"/>
    <d v="2025-10-16T00:00:00"/>
    <s v="Annual Leave"/>
    <n v="4"/>
    <x v="7"/>
    <s v="Rejected"/>
  </r>
  <r>
    <x v="548"/>
    <d v="2025-11-23T00:00:00"/>
    <s v="Emergency Leave"/>
    <n v="2"/>
    <x v="7"/>
    <s v="Approved"/>
  </r>
  <r>
    <x v="549"/>
    <d v="2026-08-14T00:00:00"/>
    <s v="Emergency Leave"/>
    <n v="1"/>
    <x v="7"/>
    <s v="Approved"/>
  </r>
  <r>
    <x v="550"/>
    <d v="2026-07-13T00:00:00"/>
    <s v="Emergency Leave"/>
    <n v="4"/>
    <x v="7"/>
    <s v="Approved"/>
  </r>
  <r>
    <x v="551"/>
    <d v="2026-08-25T00:00:00"/>
    <s v="Annual Leave"/>
    <n v="2"/>
    <x v="7"/>
    <s v="Approved"/>
  </r>
  <r>
    <x v="552"/>
    <d v="2025-10-19T00:00:00"/>
    <s v="Emergency Leave"/>
    <n v="2"/>
    <x v="7"/>
    <s v="Approved"/>
  </r>
  <r>
    <x v="553"/>
    <d v="2026-03-31T00:00:00"/>
    <s v="Casual Leave"/>
    <n v="3"/>
    <x v="7"/>
    <s v="Approved"/>
  </r>
  <r>
    <x v="554"/>
    <d v="2026-05-01T00:00:00"/>
    <s v="Casual Leave"/>
    <n v="3"/>
    <x v="7"/>
    <s v="Rejected"/>
  </r>
  <r>
    <x v="555"/>
    <d v="2025-11-13T00:00:00"/>
    <s v="Sick Leave"/>
    <n v="1"/>
    <x v="7"/>
    <s v="Pending"/>
  </r>
  <r>
    <x v="556"/>
    <d v="2026-06-24T00:00:00"/>
    <s v="Casual Leave"/>
    <n v="2"/>
    <x v="7"/>
    <s v="Rejected"/>
  </r>
  <r>
    <x v="557"/>
    <d v="2026-07-11T00:00:00"/>
    <s v="Annual Leave"/>
    <n v="1"/>
    <x v="7"/>
    <s v="Pending"/>
  </r>
  <r>
    <x v="558"/>
    <d v="2025-10-17T00:00:00"/>
    <s v="Annual Leave"/>
    <n v="2"/>
    <x v="7"/>
    <s v="Approved"/>
  </r>
  <r>
    <x v="559"/>
    <d v="2026-07-02T00:00:00"/>
    <s v="Emergency Leave"/>
    <n v="3"/>
    <x v="7"/>
    <s v="Approved"/>
  </r>
  <r>
    <x v="560"/>
    <d v="2026-09-06T00:00:00"/>
    <s v="Sick Leave"/>
    <n v="3"/>
    <x v="7"/>
    <s v="Rejected"/>
  </r>
  <r>
    <x v="561"/>
    <d v="2025-12-18T00:00:00"/>
    <s v="Annual Leave"/>
    <n v="3"/>
    <x v="7"/>
    <s v="Rejected"/>
  </r>
  <r>
    <x v="562"/>
    <d v="2026-04-05T00:00:00"/>
    <s v="Casual Leave"/>
    <n v="4"/>
    <x v="7"/>
    <s v="Approved"/>
  </r>
  <r>
    <x v="563"/>
    <d v="2026-03-03T00:00:00"/>
    <s v="Emergency Leave"/>
    <n v="1"/>
    <x v="7"/>
    <s v="Approved"/>
  </r>
  <r>
    <x v="564"/>
    <d v="2026-02-23T00:00:00"/>
    <s v="Annual Leave"/>
    <n v="2"/>
    <x v="7"/>
    <s v="Approved"/>
  </r>
  <r>
    <x v="565"/>
    <d v="2025-12-10T00:00:00"/>
    <s v="Casual Leave"/>
    <n v="3"/>
    <x v="7"/>
    <s v="Approved"/>
  </r>
  <r>
    <x v="566"/>
    <d v="2026-03-20T00:00:00"/>
    <s v="Annual Leave"/>
    <n v="1"/>
    <x v="7"/>
    <s v="Approved"/>
  </r>
  <r>
    <x v="567"/>
    <d v="2026-07-23T00:00:00"/>
    <s v="Sick Leave"/>
    <n v="1"/>
    <x v="7"/>
    <s v="Approved"/>
  </r>
  <r>
    <x v="568"/>
    <d v="2026-03-09T00:00:00"/>
    <s v="Casual Leave"/>
    <n v="3"/>
    <x v="7"/>
    <s v="Pending"/>
  </r>
  <r>
    <x v="569"/>
    <d v="2026-09-02T00:00:00"/>
    <s v="Annual Leave"/>
    <n v="1"/>
    <x v="7"/>
    <s v="Rejected"/>
  </r>
  <r>
    <x v="570"/>
    <d v="2026-05-04T00:00:00"/>
    <s v="Casual Leave"/>
    <n v="3"/>
    <x v="7"/>
    <s v="Approved"/>
  </r>
  <r>
    <x v="571"/>
    <d v="2025-10-27T00:00:00"/>
    <s v="Sick Leave"/>
    <n v="1"/>
    <x v="7"/>
    <s v="Approved"/>
  </r>
  <r>
    <x v="572"/>
    <d v="2025-10-03T00:00:00"/>
    <s v="Casual Leave"/>
    <n v="4"/>
    <x v="7"/>
    <s v="Approved"/>
  </r>
  <r>
    <x v="573"/>
    <d v="2026-05-29T00:00:00"/>
    <s v="Annual Leave"/>
    <n v="4"/>
    <x v="7"/>
    <s v="Pending"/>
  </r>
  <r>
    <x v="574"/>
    <d v="2025-11-24T00:00:00"/>
    <s v="Annual Leave"/>
    <n v="2"/>
    <x v="7"/>
    <s v="Pending"/>
  </r>
  <r>
    <x v="575"/>
    <d v="2026-07-15T00:00:00"/>
    <s v="Sick Leave"/>
    <n v="1"/>
    <x v="7"/>
    <s v="Approved"/>
  </r>
  <r>
    <x v="576"/>
    <d v="2026-01-03T00:00:00"/>
    <s v="Casual Leave"/>
    <n v="1"/>
    <x v="7"/>
    <s v="Rejected"/>
  </r>
  <r>
    <x v="577"/>
    <d v="2026-09-28T00:00:00"/>
    <s v="Sick Leave"/>
    <n v="2"/>
    <x v="7"/>
    <s v="Pending"/>
  </r>
  <r>
    <x v="578"/>
    <d v="2026-04-27T00:00:00"/>
    <s v="Casual Leave"/>
    <n v="3"/>
    <x v="7"/>
    <s v="Pending"/>
  </r>
  <r>
    <x v="579"/>
    <d v="2026-06-10T00:00:00"/>
    <s v="Sick Leave"/>
    <n v="1"/>
    <x v="7"/>
    <s v="Rejected"/>
  </r>
  <r>
    <x v="580"/>
    <d v="2026-08-10T00:00:00"/>
    <s v="Emergency Leave"/>
    <n v="2"/>
    <x v="7"/>
    <s v="Pending"/>
  </r>
  <r>
    <x v="581"/>
    <d v="2026-03-26T00:00:00"/>
    <s v="Sick Leave"/>
    <n v="4"/>
    <x v="7"/>
    <s v="Pending"/>
  </r>
  <r>
    <x v="582"/>
    <d v="2026-04-29T00:00:00"/>
    <s v="Annual Leave"/>
    <n v="3"/>
    <x v="7"/>
    <s v="Approved"/>
  </r>
  <r>
    <x v="583"/>
    <d v="2025-12-03T00:00:00"/>
    <s v="Emergency Leave"/>
    <n v="3"/>
    <x v="7"/>
    <s v="Pending"/>
  </r>
  <r>
    <x v="584"/>
    <d v="2026-06-12T00:00:00"/>
    <s v="Casual Leave"/>
    <n v="1"/>
    <x v="7"/>
    <s v="Rejected"/>
  </r>
  <r>
    <x v="585"/>
    <d v="2026-07-30T00:00:00"/>
    <s v="Sick Leave"/>
    <n v="3"/>
    <x v="7"/>
    <s v="Approved"/>
  </r>
  <r>
    <x v="586"/>
    <d v="2026-07-23T00:00:00"/>
    <s v="Sick Leave"/>
    <n v="1"/>
    <x v="7"/>
    <s v="Approved"/>
  </r>
  <r>
    <x v="587"/>
    <d v="2026-09-30T00:00:00"/>
    <s v="Casual Leave"/>
    <n v="2"/>
    <x v="7"/>
    <s v="Approved"/>
  </r>
  <r>
    <x v="588"/>
    <d v="2025-12-08T00:00:00"/>
    <s v="Sick Leave"/>
    <n v="3"/>
    <x v="7"/>
    <s v="Approved"/>
  </r>
  <r>
    <x v="589"/>
    <d v="2026-07-22T00:00:00"/>
    <s v="Casual Leave"/>
    <n v="2"/>
    <x v="7"/>
    <s v="Approved"/>
  </r>
  <r>
    <x v="590"/>
    <d v="2026-09-22T00:00:00"/>
    <s v="Casual Leave"/>
    <n v="4"/>
    <x v="7"/>
    <s v="Approved"/>
  </r>
  <r>
    <x v="591"/>
    <d v="2026-01-14T00:00:00"/>
    <s v="Emergency Leave"/>
    <n v="2"/>
    <x v="7"/>
    <s v="Approved"/>
  </r>
  <r>
    <x v="592"/>
    <d v="2026-08-28T00:00:00"/>
    <s v="Casual Leave"/>
    <n v="3"/>
    <x v="7"/>
    <s v="Approved"/>
  </r>
  <r>
    <x v="593"/>
    <d v="2026-04-12T00:00:00"/>
    <s v="Annual Leave"/>
    <n v="4"/>
    <x v="7"/>
    <s v="Approved"/>
  </r>
  <r>
    <x v="594"/>
    <d v="2026-08-22T00:00:00"/>
    <s v="Sick Leave"/>
    <n v="2"/>
    <x v="7"/>
    <s v="Rejected"/>
  </r>
  <r>
    <x v="595"/>
    <d v="2026-03-30T00:00:00"/>
    <s v="Sick Leave"/>
    <n v="2"/>
    <x v="7"/>
    <s v="Rejected"/>
  </r>
  <r>
    <x v="596"/>
    <d v="2026-02-18T00:00:00"/>
    <s v="Emergency Leave"/>
    <n v="1"/>
    <x v="7"/>
    <s v="Approved"/>
  </r>
  <r>
    <x v="597"/>
    <d v="2025-10-02T00:00:00"/>
    <s v="Emergency Leave"/>
    <n v="4"/>
    <x v="7"/>
    <s v="Approved"/>
  </r>
  <r>
    <x v="598"/>
    <d v="2025-11-01T00:00:00"/>
    <s v="Casual Leave"/>
    <n v="4"/>
    <x v="7"/>
    <s v="Pending"/>
  </r>
  <r>
    <x v="599"/>
    <d v="2026-01-13T00:00:00"/>
    <s v="Emergency Leave"/>
    <n v="1"/>
    <x v="7"/>
    <s v="Approved"/>
  </r>
  <r>
    <x v="600"/>
    <d v="2025-12-12T00:00:00"/>
    <s v="Annual Leave"/>
    <n v="3"/>
    <x v="7"/>
    <s v="Approved"/>
  </r>
  <r>
    <x v="601"/>
    <d v="2025-10-08T00:00:00"/>
    <s v="Emergency Leave"/>
    <n v="1"/>
    <x v="7"/>
    <s v="Pending"/>
  </r>
  <r>
    <x v="602"/>
    <d v="2026-05-21T00:00:00"/>
    <s v="Annual Leave"/>
    <n v="3"/>
    <x v="7"/>
    <s v="Approved"/>
  </r>
  <r>
    <x v="603"/>
    <d v="2026-05-19T00:00:00"/>
    <s v="Sick Leave"/>
    <n v="3"/>
    <x v="7"/>
    <s v="Rejected"/>
  </r>
  <r>
    <x v="604"/>
    <d v="2026-02-16T00:00:00"/>
    <s v="Sick Leave"/>
    <n v="4"/>
    <x v="7"/>
    <s v="Approved"/>
  </r>
  <r>
    <x v="605"/>
    <d v="2026-05-13T00:00:00"/>
    <s v="Sick Leave"/>
    <n v="1"/>
    <x v="7"/>
    <s v="Approved"/>
  </r>
  <r>
    <x v="606"/>
    <d v="2026-08-27T00:00:00"/>
    <s v="Emergency Leave"/>
    <n v="4"/>
    <x v="7"/>
    <s v="Approved"/>
  </r>
  <r>
    <x v="607"/>
    <d v="2026-06-18T00:00:00"/>
    <s v="Sick Leave"/>
    <n v="1"/>
    <x v="7"/>
    <s v="Approved"/>
  </r>
  <r>
    <x v="608"/>
    <d v="2026-04-08T00:00:00"/>
    <s v="Annual Leave"/>
    <n v="1"/>
    <x v="7"/>
    <s v="Approved"/>
  </r>
  <r>
    <x v="609"/>
    <d v="2026-09-03T00:00:00"/>
    <s v="Annual Leave"/>
    <n v="4"/>
    <x v="7"/>
    <s v="Approved"/>
  </r>
  <r>
    <x v="610"/>
    <d v="2025-11-02T00:00:00"/>
    <s v="Casual Leave"/>
    <n v="2"/>
    <x v="7"/>
    <s v="Approved"/>
  </r>
  <r>
    <x v="611"/>
    <d v="2026-02-03T00:00:00"/>
    <s v="Sick Leave"/>
    <n v="4"/>
    <x v="7"/>
    <s v="Pending"/>
  </r>
  <r>
    <x v="612"/>
    <d v="2025-10-02T00:00:00"/>
    <s v="Sick Leave"/>
    <n v="1"/>
    <x v="7"/>
    <s v="Approved"/>
  </r>
  <r>
    <x v="613"/>
    <d v="2026-05-03T00:00:00"/>
    <s v="Annual Leave"/>
    <n v="1"/>
    <x v="7"/>
    <s v="Rejected"/>
  </r>
  <r>
    <x v="614"/>
    <d v="2026-01-08T00:00:00"/>
    <s v="Sick Leave"/>
    <n v="1"/>
    <x v="7"/>
    <s v="Approved"/>
  </r>
  <r>
    <x v="615"/>
    <d v="2026-05-06T00:00:00"/>
    <s v="Annual Leave"/>
    <n v="3"/>
    <x v="7"/>
    <s v="Pending"/>
  </r>
  <r>
    <x v="616"/>
    <d v="2026-01-11T00:00:00"/>
    <s v="Emergency Leave"/>
    <n v="3"/>
    <x v="7"/>
    <s v="Approved"/>
  </r>
  <r>
    <x v="617"/>
    <d v="2026-05-30T00:00:00"/>
    <s v="Sick Leave"/>
    <n v="2"/>
    <x v="7"/>
    <s v="Approved"/>
  </r>
  <r>
    <x v="618"/>
    <d v="2025-10-24T00:00:00"/>
    <s v="Annual Leave"/>
    <n v="3"/>
    <x v="7"/>
    <s v="Rejected"/>
  </r>
  <r>
    <x v="619"/>
    <d v="2026-02-01T00:00:00"/>
    <s v="Annual Leave"/>
    <n v="4"/>
    <x v="7"/>
    <s v="Approved"/>
  </r>
  <r>
    <x v="620"/>
    <d v="2026-07-15T00:00:00"/>
    <s v="Casual Leave"/>
    <n v="1"/>
    <x v="7"/>
    <s v="Approved"/>
  </r>
  <r>
    <x v="621"/>
    <d v="2026-07-17T00:00:00"/>
    <s v="Sick Leave"/>
    <n v="2"/>
    <x v="7"/>
    <s v="Rejected"/>
  </r>
  <r>
    <x v="622"/>
    <d v="2025-10-23T00:00:00"/>
    <s v="Sick Leave"/>
    <n v="4"/>
    <x v="7"/>
    <s v="Rejected"/>
  </r>
  <r>
    <x v="623"/>
    <d v="2025-11-07T00:00:00"/>
    <s v="Casual Leave"/>
    <n v="4"/>
    <x v="7"/>
    <s v="Approved"/>
  </r>
  <r>
    <x v="624"/>
    <d v="2026-01-22T00:00:00"/>
    <s v="Sick Leave"/>
    <n v="2"/>
    <x v="7"/>
    <s v="Approved"/>
  </r>
  <r>
    <x v="625"/>
    <d v="2025-11-19T00:00:00"/>
    <s v="Casual Leave"/>
    <n v="3"/>
    <x v="7"/>
    <s v="Approved"/>
  </r>
  <r>
    <x v="626"/>
    <d v="2026-07-28T00:00:00"/>
    <s v="Emergency Leave"/>
    <n v="1"/>
    <x v="7"/>
    <s v="Approved"/>
  </r>
  <r>
    <x v="627"/>
    <d v="2026-05-19T00:00:00"/>
    <s v="Sick Leave"/>
    <n v="1"/>
    <x v="7"/>
    <s v="Approved"/>
  </r>
  <r>
    <x v="628"/>
    <d v="2026-01-30T00:00:00"/>
    <s v="Casual Leave"/>
    <n v="1"/>
    <x v="7"/>
    <s v="Approved"/>
  </r>
  <r>
    <x v="629"/>
    <d v="2026-08-03T00:00:00"/>
    <s v="Sick Leave"/>
    <n v="1"/>
    <x v="7"/>
    <s v="Rejected"/>
  </r>
  <r>
    <x v="630"/>
    <d v="2026-09-18T00:00:00"/>
    <s v="Annual Leave"/>
    <n v="2"/>
    <x v="7"/>
    <s v="Approved"/>
  </r>
  <r>
    <x v="631"/>
    <d v="2026-01-19T00:00:00"/>
    <s v="Emergency Leave"/>
    <n v="3"/>
    <x v="7"/>
    <s v="Approved"/>
  </r>
  <r>
    <x v="632"/>
    <d v="2025-11-15T00:00:00"/>
    <s v="Sick Leave"/>
    <n v="3"/>
    <x v="7"/>
    <s v="Approved"/>
  </r>
  <r>
    <x v="633"/>
    <d v="2026-05-07T00:00:00"/>
    <s v="Annual Leave"/>
    <n v="3"/>
    <x v="7"/>
    <s v="Rejected"/>
  </r>
  <r>
    <x v="634"/>
    <d v="2026-09-22T00:00:00"/>
    <s v="Sick Leave"/>
    <n v="1"/>
    <x v="7"/>
    <s v="Approved"/>
  </r>
  <r>
    <x v="635"/>
    <d v="2026-08-18T00:00:00"/>
    <s v="Casual Leave"/>
    <n v="3"/>
    <x v="7"/>
    <s v="Approved"/>
  </r>
  <r>
    <x v="636"/>
    <d v="2025-12-28T00:00:00"/>
    <s v="Sick Leave"/>
    <n v="2"/>
    <x v="7"/>
    <s v="Approved"/>
  </r>
  <r>
    <x v="637"/>
    <d v="2025-12-31T00:00:00"/>
    <s v="Sick Leave"/>
    <n v="2"/>
    <x v="7"/>
    <s v="Approved"/>
  </r>
  <r>
    <x v="638"/>
    <d v="2026-03-01T00:00:00"/>
    <s v="Emergency Leave"/>
    <n v="1"/>
    <x v="7"/>
    <s v="Rejected"/>
  </r>
  <r>
    <x v="639"/>
    <d v="2026-08-13T00:00:00"/>
    <s v="Sick Leave"/>
    <n v="1"/>
    <x v="7"/>
    <s v="Approve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n v="1"/>
    <x v="0"/>
    <d v="2026-06-12T00:00:00"/>
    <s v="Sick Leave"/>
    <n v="4"/>
    <s v="Marketing"/>
    <x v="0"/>
    <n v="2.4624999999999999"/>
    <n v="60.9375"/>
  </r>
  <r>
    <n v="2"/>
    <x v="0"/>
    <d v="2026-02-13T00:00:00"/>
    <s v="Emergency Leave"/>
    <n v="3"/>
    <s v="Marketing"/>
    <x v="0"/>
    <n v="2.460093896713615"/>
    <n v="61.09375"/>
  </r>
  <r>
    <n v="3"/>
    <x v="0"/>
    <d v="2026-05-13T00:00:00"/>
    <s v="Annual Leave"/>
    <n v="2"/>
    <s v="Marketing"/>
    <x v="0"/>
    <n v="2.4592476489028212"/>
    <n v="61.032863849765263"/>
  </r>
  <r>
    <n v="4"/>
    <x v="0"/>
    <d v="2026-03-15T00:00:00"/>
    <s v="Casual Leave"/>
    <n v="1"/>
    <s v="Marketing"/>
    <x v="0"/>
    <n v="2.4599686028257457"/>
    <n v="60.971786833855802"/>
  </r>
  <r>
    <n v="5"/>
    <x v="1"/>
    <d v="2026-03-08T00:00:00"/>
    <s v="Annual Leave"/>
    <n v="2"/>
    <s v="IT"/>
    <x v="1"/>
    <n v="2.4622641509433962"/>
    <n v="60.910518053375199"/>
  </r>
  <r>
    <n v="6"/>
    <x v="1"/>
    <d v="2026-08-13T00:00:00"/>
    <s v="Casual Leave"/>
    <n v="2"/>
    <s v="IT"/>
    <x v="0"/>
    <n v="2.4629921259842518"/>
    <n v="60.84905660377359"/>
  </r>
  <r>
    <n v="7"/>
    <x v="1"/>
    <d v="2025-11-16T00:00:00"/>
    <s v="Emergency Leave"/>
    <n v="3"/>
    <s v="IT"/>
    <x v="0"/>
    <n v="2.4637223974763405"/>
    <n v="60.944881889763778"/>
  </r>
  <r>
    <n v="8"/>
    <x v="1"/>
    <d v="2026-03-24T00:00:00"/>
    <s v="Annual Leave"/>
    <n v="4"/>
    <s v="IT"/>
    <x v="0"/>
    <n v="2.4628751974723539"/>
    <n v="60.883280757097793"/>
  </r>
  <r>
    <n v="9"/>
    <x v="2"/>
    <d v="2025-11-23T00:00:00"/>
    <s v="Annual Leave"/>
    <n v="1"/>
    <s v="Customer Support"/>
    <x v="0"/>
    <n v="2.4604430379746836"/>
    <n v="60.821484992101105"/>
  </r>
  <r>
    <n v="10"/>
    <x v="2"/>
    <d v="2026-01-24T00:00:00"/>
    <s v="Emergency Leave"/>
    <n v="1"/>
    <s v="Customer Support"/>
    <x v="0"/>
    <n v="2.4627575277337561"/>
    <n v="60.75949367088608"/>
  </r>
  <r>
    <n v="11"/>
    <x v="2"/>
    <d v="2026-07-08T00:00:00"/>
    <s v="Sick Leave"/>
    <n v="3"/>
    <s v="Customer Support"/>
    <x v="0"/>
    <n v="2.4650793650793652"/>
    <n v="60.697305863708394"/>
  </r>
  <r>
    <n v="12"/>
    <x v="3"/>
    <d v="2026-01-23T00:00:00"/>
    <s v="Sick Leave"/>
    <n v="2"/>
    <s v="HR"/>
    <x v="0"/>
    <n v="2.4642289348171702"/>
    <n v="60.634920634920633"/>
  </r>
  <r>
    <n v="13"/>
    <x v="3"/>
    <d v="2026-05-14T00:00:00"/>
    <s v="Sick Leave"/>
    <n v="2"/>
    <s v="HR"/>
    <x v="0"/>
    <n v="2.4649681528662422"/>
    <n v="60.57233704292527"/>
  </r>
  <r>
    <n v="14"/>
    <x v="3"/>
    <d v="2026-03-01T00:00:00"/>
    <s v="Sick Leave"/>
    <n v="1"/>
    <s v="HR"/>
    <x v="2"/>
    <n v="2.4657097288676235"/>
    <n v="60.509554140127385"/>
  </r>
  <r>
    <n v="15"/>
    <x v="4"/>
    <d v="2026-05-13T00:00:00"/>
    <s v="Emergency Leave"/>
    <n v="2"/>
    <s v="Sales"/>
    <x v="1"/>
    <n v="2.4680511182108624"/>
    <n v="60.446570972886761"/>
  </r>
  <r>
    <n v="16"/>
    <x v="4"/>
    <d v="2026-01-04T00:00:00"/>
    <s v="Emergency Leave"/>
    <n v="4"/>
    <s v="Sales"/>
    <x v="0"/>
    <n v="2.4687999999999999"/>
    <n v="60.543130990415342"/>
  </r>
  <r>
    <n v="17"/>
    <x v="4"/>
    <d v="2026-09-27T00:00:00"/>
    <s v="Annual Leave"/>
    <n v="3"/>
    <s v="Sales"/>
    <x v="1"/>
    <n v="2.4663461538461537"/>
    <n v="60.640000000000008"/>
  </r>
  <r>
    <n v="18"/>
    <x v="5"/>
    <d v="2026-04-05T00:00:00"/>
    <s v="Sick Leave"/>
    <n v="3"/>
    <s v="Sales"/>
    <x v="2"/>
    <n v="2.465489566613162"/>
    <n v="60.576923076923073"/>
  </r>
  <r>
    <n v="19"/>
    <x v="5"/>
    <d v="2026-04-01T00:00:00"/>
    <s v="Casual Leave"/>
    <n v="2"/>
    <s v="Sales"/>
    <x v="0"/>
    <n v="2.464630225080386"/>
    <n v="60.674157303370791"/>
  </r>
  <r>
    <n v="20"/>
    <x v="6"/>
    <d v="2026-07-03T00:00:00"/>
    <s v="Sick Leave"/>
    <n v="1"/>
    <s v="Marketing"/>
    <x v="2"/>
    <n v="2.4653784219001609"/>
    <n v="60.771704180064312"/>
  </r>
  <r>
    <n v="21"/>
    <x v="7"/>
    <d v="2026-07-02T00:00:00"/>
    <s v="Annual Leave"/>
    <n v="1"/>
    <s v="Finance"/>
    <x v="2"/>
    <n v="2.467741935483871"/>
    <n v="60.708534621578103"/>
  </r>
  <r>
    <n v="22"/>
    <x v="7"/>
    <d v="2026-01-25T00:00:00"/>
    <s v="Annual Leave"/>
    <n v="2"/>
    <s v="Finance"/>
    <x v="1"/>
    <n v="2.4701130856219708"/>
    <n v="60.806451612903224"/>
  </r>
  <r>
    <n v="23"/>
    <x v="7"/>
    <d v="2026-02-15T00:00:00"/>
    <s v="Casual Leave"/>
    <n v="4"/>
    <s v="Finance"/>
    <x v="2"/>
    <n v="2.470873786407767"/>
    <n v="60.904684975767367"/>
  </r>
  <r>
    <n v="24"/>
    <x v="8"/>
    <d v="2026-06-12T00:00:00"/>
    <s v="Emergency Leave"/>
    <n v="1"/>
    <s v="HR"/>
    <x v="0"/>
    <n v="2.4683954619124799"/>
    <n v="61.003236245954696"/>
  </r>
  <r>
    <n v="25"/>
    <x v="8"/>
    <d v="2025-10-12T00:00:00"/>
    <s v="Emergency Leave"/>
    <n v="1"/>
    <s v="HR"/>
    <x v="0"/>
    <n v="2.470779220779221"/>
    <n v="61.102106969205835"/>
  </r>
  <r>
    <n v="26"/>
    <x v="8"/>
    <d v="2026-06-02T00:00:00"/>
    <s v="Sick Leave"/>
    <n v="1"/>
    <s v="HR"/>
    <x v="0"/>
    <n v="2.473170731707317"/>
    <n v="61.038961038961034"/>
  </r>
  <r>
    <n v="27"/>
    <x v="9"/>
    <d v="2026-07-19T00:00:00"/>
    <s v="Annual Leave"/>
    <n v="1"/>
    <s v="HR"/>
    <x v="2"/>
    <n v="2.4755700325732901"/>
    <n v="60.975609756097562"/>
  </r>
  <r>
    <n v="28"/>
    <x v="9"/>
    <d v="2026-06-09T00:00:00"/>
    <s v="Emergency Leave"/>
    <n v="2"/>
    <s v="HR"/>
    <x v="1"/>
    <n v="2.4779771615008155"/>
    <n v="60.912052117263848"/>
  </r>
  <r>
    <n v="29"/>
    <x v="10"/>
    <d v="2026-09-04T00:00:00"/>
    <s v="Emergency Leave"/>
    <n v="3"/>
    <s v="Marketing"/>
    <x v="2"/>
    <n v="2.4787581699346406"/>
    <n v="61.011419249592166"/>
  </r>
  <r>
    <n v="30"/>
    <x v="11"/>
    <d v="2026-03-19T00:00:00"/>
    <s v="Sick Leave"/>
    <n v="4"/>
    <s v="HR"/>
    <x v="0"/>
    <n v="2.4779050736497545"/>
    <n v="61.111111111111114"/>
  </r>
  <r>
    <n v="31"/>
    <x v="11"/>
    <d v="2026-07-04T00:00:00"/>
    <s v="Annual Leave"/>
    <n v="1"/>
    <s v="HR"/>
    <x v="2"/>
    <n v="2.4754098360655736"/>
    <n v="61.211129296235676"/>
  </r>
  <r>
    <n v="32"/>
    <x v="12"/>
    <d v="2026-07-28T00:00:00"/>
    <s v="Casual Leave"/>
    <n v="1"/>
    <s v="Customer Support"/>
    <x v="2"/>
    <n v="2.4778325123152709"/>
    <n v="61.147540983606554"/>
  </r>
  <r>
    <n v="33"/>
    <x v="12"/>
    <d v="2025-11-02T00:00:00"/>
    <s v="Emergency Leave"/>
    <n v="2"/>
    <s v="Customer Support"/>
    <x v="0"/>
    <n v="2.4802631578947367"/>
    <n v="61.247947454844009"/>
  </r>
  <r>
    <n v="34"/>
    <x v="13"/>
    <d v="2026-08-04T00:00:00"/>
    <s v="Sick Leave"/>
    <n v="2"/>
    <s v="Sales"/>
    <x v="0"/>
    <n v="2.4810543657331139"/>
    <n v="61.348684210526315"/>
  </r>
  <r>
    <n v="35"/>
    <x v="14"/>
    <d v="2025-12-01T00:00:00"/>
    <s v="Annual Leave"/>
    <n v="1"/>
    <s v="IT"/>
    <x v="0"/>
    <n v="2.4818481848184817"/>
    <n v="61.285008237232283"/>
  </r>
  <r>
    <n v="36"/>
    <x v="14"/>
    <d v="2026-04-25T00:00:00"/>
    <s v="Emergency Leave"/>
    <n v="4"/>
    <s v="IT"/>
    <x v="1"/>
    <n v="2.4842975206611571"/>
    <n v="61.221122112211226"/>
  </r>
  <r>
    <n v="37"/>
    <x v="14"/>
    <d v="2026-09-22T00:00:00"/>
    <s v="Emergency Leave"/>
    <n v="2"/>
    <s v="IT"/>
    <x v="0"/>
    <n v="2.4817880794701987"/>
    <n v="61.157024793388423"/>
  </r>
  <r>
    <n v="38"/>
    <x v="15"/>
    <d v="2025-11-19T00:00:00"/>
    <s v="Annual Leave"/>
    <n v="3"/>
    <s v="Sales"/>
    <x v="0"/>
    <n v="2.4825870646766171"/>
    <n v="61.258278145695364"/>
  </r>
  <r>
    <n v="39"/>
    <x v="16"/>
    <d v="2026-02-07T00:00:00"/>
    <s v="Emergency Leave"/>
    <n v="1"/>
    <s v="Finance"/>
    <x v="0"/>
    <n v="2.4817275747508307"/>
    <n v="61.194029850746269"/>
  </r>
  <r>
    <n v="40"/>
    <x v="16"/>
    <d v="2026-02-11T00:00:00"/>
    <s v="Emergency Leave"/>
    <n v="2"/>
    <s v="Finance"/>
    <x v="0"/>
    <n v="2.4841930116472546"/>
    <n v="61.129568106312291"/>
  </r>
  <r>
    <n v="41"/>
    <x v="16"/>
    <d v="2026-03-29T00:00:00"/>
    <s v="Casual Leave"/>
    <n v="3"/>
    <s v="Finance"/>
    <x v="1"/>
    <n v="2.4849999999999999"/>
    <n v="61.064891846921796"/>
  </r>
  <r>
    <n v="42"/>
    <x v="17"/>
    <d v="2026-02-09T00:00:00"/>
    <s v="Casual Leave"/>
    <n v="1"/>
    <s v="IT"/>
    <x v="2"/>
    <n v="2.4841402337228713"/>
    <n v="61"/>
  </r>
  <r>
    <n v="43"/>
    <x v="17"/>
    <d v="2025-10-31T00:00:00"/>
    <s v="Annual Leave"/>
    <n v="1"/>
    <s v="IT"/>
    <x v="0"/>
    <n v="2.4866220735785953"/>
    <n v="61.101836393989984"/>
  </r>
  <r>
    <n v="44"/>
    <x v="17"/>
    <d v="2025-10-01T00:00:00"/>
    <s v="Casual Leave"/>
    <n v="1"/>
    <s v="IT"/>
    <x v="0"/>
    <n v="2.4891122278056952"/>
    <n v="61.204013377926422"/>
  </r>
  <r>
    <n v="45"/>
    <x v="17"/>
    <d v="2026-04-15T00:00:00"/>
    <s v="Annual Leave"/>
    <n v="1"/>
    <s v="IT"/>
    <x v="2"/>
    <n v="2.4916107382550337"/>
    <n v="61.139028475711889"/>
  </r>
  <r>
    <n v="46"/>
    <x v="18"/>
    <d v="2026-04-10T00:00:00"/>
    <s v="Casual Leave"/>
    <n v="2"/>
    <s v="IT"/>
    <x v="0"/>
    <n v="2.4941176470588236"/>
    <n v="61.073825503355707"/>
  </r>
  <r>
    <n v="47"/>
    <x v="18"/>
    <d v="2026-08-22T00:00:00"/>
    <s v="Emergency Leave"/>
    <n v="2"/>
    <s v="IT"/>
    <x v="2"/>
    <n v="2.4949494949494948"/>
    <n v="61.176470588235297"/>
  </r>
  <r>
    <n v="48"/>
    <x v="18"/>
    <d v="2026-01-20T00:00:00"/>
    <s v="Annual Leave"/>
    <n v="1"/>
    <s v="IT"/>
    <x v="0"/>
    <n v="2.4957841483979766"/>
    <n v="61.111111111111114"/>
  </r>
  <r>
    <n v="49"/>
    <x v="18"/>
    <d v="2026-08-04T00:00:00"/>
    <s v="Annual Leave"/>
    <n v="2"/>
    <s v="IT"/>
    <x v="1"/>
    <n v="2.498310810810811"/>
    <n v="61.214165261382803"/>
  </r>
  <r>
    <n v="50"/>
    <x v="19"/>
    <d v="2026-06-17T00:00:00"/>
    <s v="Sick Leave"/>
    <n v="4"/>
    <s v="IT"/>
    <x v="0"/>
    <n v="2.4991539763113368"/>
    <n v="61.148648648648653"/>
  </r>
  <r>
    <n v="51"/>
    <x v="20"/>
    <d v="2025-10-20T00:00:00"/>
    <s v="Casual Leave"/>
    <n v="3"/>
    <s v="Operations"/>
    <x v="0"/>
    <n v="2.4966101694915253"/>
    <n v="61.252115059221659"/>
  </r>
  <r>
    <n v="52"/>
    <x v="20"/>
    <d v="2025-11-25T00:00:00"/>
    <s v="Annual Leave"/>
    <n v="2"/>
    <s v="Operations"/>
    <x v="2"/>
    <n v="2.4957555178268249"/>
    <n v="61.186440677966104"/>
  </r>
  <r>
    <n v="53"/>
    <x v="20"/>
    <d v="2026-06-23T00:00:00"/>
    <s v="Sick Leave"/>
    <n v="1"/>
    <s v="Operations"/>
    <x v="1"/>
    <n v="2.4965986394557822"/>
    <n v="61.120543293718164"/>
  </r>
  <r>
    <n v="54"/>
    <x v="20"/>
    <d v="2026-01-07T00:00:00"/>
    <s v="Sick Leave"/>
    <n v="3"/>
    <s v="Operations"/>
    <x v="1"/>
    <n v="2.4991482112436114"/>
    <n v="61.224489795918366"/>
  </r>
  <r>
    <n v="55"/>
    <x v="21"/>
    <d v="2026-04-18T00:00:00"/>
    <s v="Emergency Leave"/>
    <n v="1"/>
    <s v="HR"/>
    <x v="2"/>
    <n v="2.4982935153583616"/>
    <n v="61.32879045996593"/>
  </r>
  <r>
    <n v="56"/>
    <x v="21"/>
    <d v="2025-11-03T00:00:00"/>
    <s v="Annual Leave"/>
    <n v="2"/>
    <s v="HR"/>
    <x v="0"/>
    <n v="2.5008547008547009"/>
    <n v="61.43344709897611"/>
  </r>
  <r>
    <n v="57"/>
    <x v="21"/>
    <d v="2025-12-12T00:00:00"/>
    <s v="Sick Leave"/>
    <n v="4"/>
    <s v="HR"/>
    <x v="0"/>
    <n v="2.5017123287671232"/>
    <n v="61.53846153846154"/>
  </r>
  <r>
    <n v="58"/>
    <x v="21"/>
    <d v="2026-04-25T00:00:00"/>
    <s v="Casual Leave"/>
    <n v="3"/>
    <s v="HR"/>
    <x v="0"/>
    <n v="2.4991423670668955"/>
    <n v="61.472602739726021"/>
  </r>
  <r>
    <n v="59"/>
    <x v="22"/>
    <d v="2026-09-03T00:00:00"/>
    <s v="Casual Leave"/>
    <n v="1"/>
    <s v="HR"/>
    <x v="0"/>
    <n v="2.4982817869415808"/>
    <n v="61.406518010291599"/>
  </r>
  <r>
    <n v="60"/>
    <x v="22"/>
    <d v="2026-06-27T00:00:00"/>
    <s v="Emergency Leave"/>
    <n v="2"/>
    <s v="HR"/>
    <x v="0"/>
    <n v="2.5008605851979344"/>
    <n v="61.340206185567013"/>
  </r>
  <r>
    <n v="61"/>
    <x v="22"/>
    <d v="2026-03-14T00:00:00"/>
    <s v="Sick Leave"/>
    <n v="4"/>
    <s v="HR"/>
    <x v="0"/>
    <n v="2.5017241379310344"/>
    <n v="61.273666092943202"/>
  </r>
  <r>
    <n v="62"/>
    <x v="23"/>
    <d v="2026-08-17T00:00:00"/>
    <s v="Emergency Leave"/>
    <n v="4"/>
    <s v="Sales"/>
    <x v="1"/>
    <n v="2.4991364421416233"/>
    <n v="61.206896551724135"/>
  </r>
  <r>
    <n v="63"/>
    <x v="23"/>
    <d v="2026-04-12T00:00:00"/>
    <s v="Casual Leave"/>
    <n v="4"/>
    <s v="Sales"/>
    <x v="0"/>
    <n v="2.4965397923875434"/>
    <n v="61.139896373056992"/>
  </r>
  <r>
    <n v="64"/>
    <x v="24"/>
    <d v="2025-11-23T00:00:00"/>
    <s v="Annual Leave"/>
    <n v="4"/>
    <s v="IT"/>
    <x v="2"/>
    <n v="2.4939341421143846"/>
    <n v="61.245674740484425"/>
  </r>
  <r>
    <n v="65"/>
    <x v="24"/>
    <d v="2026-04-18T00:00:00"/>
    <s v="Annual Leave"/>
    <n v="4"/>
    <s v="IT"/>
    <x v="0"/>
    <n v="2.4913194444444446"/>
    <n v="61.178509532062385"/>
  </r>
  <r>
    <n v="66"/>
    <x v="24"/>
    <d v="2026-09-16T00:00:00"/>
    <s v="Casual Leave"/>
    <n v="1"/>
    <s v="IT"/>
    <x v="0"/>
    <n v="2.488695652173913"/>
    <n v="61.284722222222221"/>
  </r>
  <r>
    <n v="67"/>
    <x v="25"/>
    <d v="2026-07-28T00:00:00"/>
    <s v="Sick Leave"/>
    <n v="3"/>
    <s v="Sales"/>
    <x v="0"/>
    <n v="2.491289198606272"/>
    <n v="61.217391304347821"/>
  </r>
  <r>
    <n v="68"/>
    <x v="25"/>
    <d v="2026-07-01T00:00:00"/>
    <s v="Casual Leave"/>
    <n v="1"/>
    <s v="Sales"/>
    <x v="0"/>
    <n v="2.4904013961605584"/>
    <n v="61.149825783972119"/>
  </r>
  <r>
    <n v="69"/>
    <x v="26"/>
    <d v="2026-01-05T00:00:00"/>
    <s v="Annual Leave"/>
    <n v="1"/>
    <s v="Customer Support"/>
    <x v="1"/>
    <n v="2.4930069930069929"/>
    <n v="61.082024432809781"/>
  </r>
  <r>
    <n v="70"/>
    <x v="26"/>
    <d v="2026-06-18T00:00:00"/>
    <s v="Sick Leave"/>
    <n v="3"/>
    <s v="Customer Support"/>
    <x v="0"/>
    <n v="2.4956217162872156"/>
    <n v="61.013986013986013"/>
  </r>
  <r>
    <n v="71"/>
    <x v="26"/>
    <d v="2026-01-18T00:00:00"/>
    <s v="Casual Leave"/>
    <n v="4"/>
    <s v="Customer Support"/>
    <x v="0"/>
    <n v="2.4947368421052634"/>
    <n v="61.120840630472848"/>
  </r>
  <r>
    <n v="72"/>
    <x v="27"/>
    <d v="2026-09-30T00:00:00"/>
    <s v="Annual Leave"/>
    <n v="1"/>
    <s v="Sales"/>
    <x v="0"/>
    <n v="2.492091388400703"/>
    <n v="61.05263157894737"/>
  </r>
  <r>
    <n v="73"/>
    <x v="28"/>
    <d v="2026-01-14T00:00:00"/>
    <s v="Casual Leave"/>
    <n v="1"/>
    <s v="IT"/>
    <x v="1"/>
    <n v="2.494718309859155"/>
    <n v="60.984182776801411"/>
  </r>
  <r>
    <n v="74"/>
    <x v="28"/>
    <d v="2026-01-14T00:00:00"/>
    <s v="Casual Leave"/>
    <n v="3"/>
    <s v="IT"/>
    <x v="0"/>
    <n v="2.4973544973544972"/>
    <n v="60.915492957746473"/>
  </r>
  <r>
    <n v="75"/>
    <x v="28"/>
    <d v="2026-02-01T00:00:00"/>
    <s v="Annual Leave"/>
    <n v="2"/>
    <s v="IT"/>
    <x v="1"/>
    <n v="2.4964664310954063"/>
    <n v="61.022927689594354"/>
  </r>
  <r>
    <n v="76"/>
    <x v="29"/>
    <d v="2026-04-09T00:00:00"/>
    <s v="Emergency Leave"/>
    <n v="1"/>
    <s v="IT"/>
    <x v="0"/>
    <n v="2.4973451327433627"/>
    <n v="60.954063604240282"/>
  </r>
  <r>
    <n v="77"/>
    <x v="30"/>
    <d v="2026-08-03T00:00:00"/>
    <s v="Sick Leave"/>
    <n v="3"/>
    <s v="Operations"/>
    <x v="1"/>
    <n v="2.5"/>
    <n v="61.06194690265486"/>
  </r>
  <r>
    <n v="78"/>
    <x v="31"/>
    <d v="2026-09-29T00:00:00"/>
    <s v="Annual Leave"/>
    <n v="2"/>
    <s v="Marketing"/>
    <x v="0"/>
    <n v="2.4991119005328595"/>
    <n v="60.99290780141844"/>
  </r>
  <r>
    <n v="79"/>
    <x v="31"/>
    <d v="2026-04-28T00:00:00"/>
    <s v="Casual Leave"/>
    <n v="4"/>
    <s v="Marketing"/>
    <x v="1"/>
    <n v="2.5"/>
    <n v="61.101243339253998"/>
  </r>
  <r>
    <n v="80"/>
    <x v="31"/>
    <d v="2026-04-12T00:00:00"/>
    <s v="Annual Leave"/>
    <n v="2"/>
    <s v="Marketing"/>
    <x v="1"/>
    <n v="2.4973262032085564"/>
    <n v="61.032028469750884"/>
  </r>
  <r>
    <n v="81"/>
    <x v="31"/>
    <d v="2026-02-07T00:00:00"/>
    <s v="Casual Leave"/>
    <n v="4"/>
    <s v="Marketing"/>
    <x v="0"/>
    <n v="2.4982142857142855"/>
    <n v="61.140819964349383"/>
  </r>
  <r>
    <n v="82"/>
    <x v="32"/>
    <d v="2025-12-05T00:00:00"/>
    <s v="Sick Leave"/>
    <n v="1"/>
    <s v="Sales"/>
    <x v="0"/>
    <n v="2.4955277280858676"/>
    <n v="61.250000000000007"/>
  </r>
  <r>
    <n v="83"/>
    <x v="32"/>
    <d v="2025-11-29T00:00:00"/>
    <s v="Sick Leave"/>
    <n v="4"/>
    <s v="Sales"/>
    <x v="0"/>
    <n v="2.4982078853046596"/>
    <n v="61.180679785330952"/>
  </r>
  <r>
    <n v="84"/>
    <x v="32"/>
    <d v="2026-01-02T00:00:00"/>
    <s v="Annual Leave"/>
    <n v="2"/>
    <s v="Sales"/>
    <x v="0"/>
    <n v="2.495511669658887"/>
    <n v="61.111111111111114"/>
  </r>
  <r>
    <n v="85"/>
    <x v="33"/>
    <d v="2026-02-23T00:00:00"/>
    <s v="Annual Leave"/>
    <n v="3"/>
    <s v="Customer Support"/>
    <x v="2"/>
    <n v="2.4964028776978417"/>
    <n v="61.041292639138248"/>
  </r>
  <r>
    <n v="86"/>
    <x v="33"/>
    <d v="2026-02-11T00:00:00"/>
    <s v="Casual Leave"/>
    <n v="1"/>
    <s v="Customer Support"/>
    <x v="1"/>
    <n v="2.4954954954954953"/>
    <n v="60.97122302158273"/>
  </r>
  <r>
    <n v="87"/>
    <x v="33"/>
    <d v="2026-01-12T00:00:00"/>
    <s v="Casual Leave"/>
    <n v="4"/>
    <s v="Customer Support"/>
    <x v="0"/>
    <n v="2.4981949458483754"/>
    <n v="61.081081081081081"/>
  </r>
  <r>
    <n v="88"/>
    <x v="34"/>
    <d v="2026-06-23T00:00:00"/>
    <s v="Casual Leave"/>
    <n v="4"/>
    <s v="Operations"/>
    <x v="1"/>
    <n v="2.4954792043399636"/>
    <n v="61.191335740072205"/>
  </r>
  <r>
    <n v="89"/>
    <x v="35"/>
    <d v="2025-10-20T00:00:00"/>
    <s v="Emergency Leave"/>
    <n v="2"/>
    <s v="Customer Support"/>
    <x v="0"/>
    <n v="2.4927536231884058"/>
    <n v="61.121157323688969"/>
  </r>
  <r>
    <n v="90"/>
    <x v="36"/>
    <d v="2026-05-12T00:00:00"/>
    <s v="Annual Leave"/>
    <n v="4"/>
    <s v="Marketing"/>
    <x v="0"/>
    <n v="2.4936479128856623"/>
    <n v="61.231884057971023"/>
  </r>
  <r>
    <n v="91"/>
    <x v="37"/>
    <d v="2026-08-02T00:00:00"/>
    <s v="Casual Leave"/>
    <n v="2"/>
    <s v="Customer Support"/>
    <x v="0"/>
    <n v="2.4909090909090907"/>
    <n v="61.16152450090744"/>
  </r>
  <r>
    <n v="92"/>
    <x v="37"/>
    <d v="2026-03-12T00:00:00"/>
    <s v="Casual Leave"/>
    <n v="1"/>
    <s v="Customer Support"/>
    <x v="0"/>
    <n v="2.4918032786885247"/>
    <n v="61.090909090909093"/>
  </r>
  <r>
    <n v="93"/>
    <x v="37"/>
    <d v="2026-03-24T00:00:00"/>
    <s v="Annual Leave"/>
    <n v="2"/>
    <s v="Customer Support"/>
    <x v="0"/>
    <n v="2.4945255474452557"/>
    <n v="61.020036429872491"/>
  </r>
  <r>
    <n v="94"/>
    <x v="38"/>
    <d v="2026-01-11T00:00:00"/>
    <s v="Casual Leave"/>
    <n v="4"/>
    <s v="Sales"/>
    <x v="1"/>
    <n v="2.4954296160877512"/>
    <n v="60.948905109489047"/>
  </r>
  <r>
    <n v="95"/>
    <x v="38"/>
    <d v="2025-12-18T00:00:00"/>
    <s v="Annual Leave"/>
    <n v="1"/>
    <s v="Sales"/>
    <x v="0"/>
    <n v="2.4926739926739927"/>
    <n v="60.877513711151735"/>
  </r>
  <r>
    <n v="96"/>
    <x v="38"/>
    <d v="2026-01-03T00:00:00"/>
    <s v="Sick Leave"/>
    <n v="3"/>
    <s v="Sales"/>
    <x v="1"/>
    <n v="2.4954128440366974"/>
    <n v="60.989010989010993"/>
  </r>
  <r>
    <n v="97"/>
    <x v="39"/>
    <d v="2025-11-05T00:00:00"/>
    <s v="Sick Leave"/>
    <n v="3"/>
    <s v="HR"/>
    <x v="2"/>
    <n v="2.4944852941176472"/>
    <n v="60.917431192660551"/>
  </r>
  <r>
    <n v="98"/>
    <x v="39"/>
    <d v="2025-12-22T00:00:00"/>
    <s v="Sick Leave"/>
    <n v="3"/>
    <s v="HR"/>
    <x v="0"/>
    <n v="2.4935543278084715"/>
    <n v="61.029411764705884"/>
  </r>
  <r>
    <n v="99"/>
    <x v="39"/>
    <d v="2025-11-27T00:00:00"/>
    <s v="Casual Leave"/>
    <n v="4"/>
    <s v="HR"/>
    <x v="2"/>
    <n v="2.4926199261992621"/>
    <n v="61.141804788213626"/>
  </r>
  <r>
    <n v="100"/>
    <x v="40"/>
    <d v="2025-10-09T00:00:00"/>
    <s v="Sick Leave"/>
    <n v="3"/>
    <s v="Marketing"/>
    <x v="0"/>
    <n v="2.4898336414048061"/>
    <n v="61.070110701107019"/>
  </r>
  <r>
    <n v="101"/>
    <x v="40"/>
    <d v="2025-10-20T00:00:00"/>
    <s v="Sick Leave"/>
    <n v="1"/>
    <s v="Marketing"/>
    <x v="0"/>
    <n v="2.4888888888888889"/>
    <n v="61.182994454713494"/>
  </r>
  <r>
    <n v="102"/>
    <x v="40"/>
    <d v="2025-10-04T00:00:00"/>
    <s v="Emergency Leave"/>
    <n v="1"/>
    <s v="Marketing"/>
    <x v="2"/>
    <n v="2.49165120593692"/>
    <n v="61.111111111111114"/>
  </r>
  <r>
    <n v="103"/>
    <x v="40"/>
    <d v="2025-10-30T00:00:00"/>
    <s v="Emergency Leave"/>
    <n v="1"/>
    <s v="Marketing"/>
    <x v="0"/>
    <n v="2.4944237918215615"/>
    <n v="61.038961038961034"/>
  </r>
  <r>
    <n v="104"/>
    <x v="41"/>
    <d v="2026-07-07T00:00:00"/>
    <s v="Casual Leave"/>
    <n v="1"/>
    <s v="HR"/>
    <x v="1"/>
    <n v="2.4972067039106145"/>
    <n v="61.152416356877325"/>
  </r>
  <r>
    <n v="105"/>
    <x v="41"/>
    <d v="2026-07-20T00:00:00"/>
    <s v="Emergency Leave"/>
    <n v="3"/>
    <s v="HR"/>
    <x v="2"/>
    <n v="2.5"/>
    <n v="61.080074487895722"/>
  </r>
  <r>
    <n v="106"/>
    <x v="41"/>
    <d v="2026-04-17T00:00:00"/>
    <s v="Emergency Leave"/>
    <n v="2"/>
    <s v="HR"/>
    <x v="1"/>
    <n v="2.4990654205607479"/>
    <n v="61.194029850746269"/>
  </r>
  <r>
    <n v="107"/>
    <x v="41"/>
    <d v="2026-08-10T00:00:00"/>
    <s v="Annual Leave"/>
    <n v="3"/>
    <s v="HR"/>
    <x v="1"/>
    <n v="2.5"/>
    <n v="61.308411214953274"/>
  </r>
  <r>
    <n v="108"/>
    <x v="42"/>
    <d v="2025-12-18T00:00:00"/>
    <s v="Emergency Leave"/>
    <n v="3"/>
    <s v="Marketing"/>
    <x v="0"/>
    <n v="2.4990619136960599"/>
    <n v="61.423220973782769"/>
  </r>
  <r>
    <n v="109"/>
    <x v="42"/>
    <d v="2025-12-13T00:00:00"/>
    <s v="Annual Leave"/>
    <n v="2"/>
    <s v="Marketing"/>
    <x v="1"/>
    <n v="2.4981203007518795"/>
    <n v="61.53846153846154"/>
  </r>
  <r>
    <n v="110"/>
    <x v="42"/>
    <d v="2026-02-09T00:00:00"/>
    <s v="Sick Leave"/>
    <n v="3"/>
    <s v="Marketing"/>
    <x v="0"/>
    <n v="2.4990583804143127"/>
    <n v="61.466165413533837"/>
  </r>
  <r>
    <n v="111"/>
    <x v="43"/>
    <d v="2026-03-03T00:00:00"/>
    <s v="Sick Leave"/>
    <n v="1"/>
    <s v="Customer Support"/>
    <x v="1"/>
    <n v="2.4981132075471697"/>
    <n v="61.581920903954803"/>
  </r>
  <r>
    <n v="112"/>
    <x v="43"/>
    <d v="2026-04-29T00:00:00"/>
    <s v="Sick Leave"/>
    <n v="4"/>
    <s v="Customer Support"/>
    <x v="0"/>
    <n v="2.5009451795841211"/>
    <n v="61.509433962264147"/>
  </r>
  <r>
    <n v="113"/>
    <x v="43"/>
    <d v="2026-08-17T00:00:00"/>
    <s v="Annual Leave"/>
    <n v="2"/>
    <s v="Customer Support"/>
    <x v="1"/>
    <n v="2.4981060606060606"/>
    <n v="61.625708884688088"/>
  </r>
  <r>
    <n v="114"/>
    <x v="44"/>
    <d v="2026-05-02T00:00:00"/>
    <s v="Emergency Leave"/>
    <n v="4"/>
    <s v="Operations"/>
    <x v="1"/>
    <n v="2.4990512333965844"/>
    <n v="61.553030303030297"/>
  </r>
  <r>
    <n v="115"/>
    <x v="44"/>
    <d v="2026-04-17T00:00:00"/>
    <s v="Emergency Leave"/>
    <n v="3"/>
    <s v="Operations"/>
    <x v="0"/>
    <n v="2.4961977186311786"/>
    <n v="61.669829222011387"/>
  </r>
  <r>
    <n v="116"/>
    <x v="44"/>
    <d v="2026-03-16T00:00:00"/>
    <s v="Emergency Leave"/>
    <n v="2"/>
    <s v="Operations"/>
    <x v="2"/>
    <n v="2.4952380952380953"/>
    <n v="61.78707224334601"/>
  </r>
  <r>
    <n v="117"/>
    <x v="45"/>
    <d v="2026-02-03T00:00:00"/>
    <s v="Sick Leave"/>
    <n v="2"/>
    <s v="Sales"/>
    <x v="2"/>
    <n v="2.4961832061068701"/>
    <n v="61.714285714285708"/>
  </r>
  <r>
    <n v="118"/>
    <x v="46"/>
    <d v="2026-09-03T00:00:00"/>
    <s v="Annual Leave"/>
    <n v="4"/>
    <s v="IT"/>
    <x v="2"/>
    <n v="2.497131931166348"/>
    <n v="61.832061068702295"/>
  </r>
  <r>
    <n v="119"/>
    <x v="47"/>
    <d v="2026-04-10T00:00:00"/>
    <s v="Annual Leave"/>
    <n v="2"/>
    <s v="Customer Support"/>
    <x v="1"/>
    <n v="2.4942528735632186"/>
    <n v="61.950286806883369"/>
  </r>
  <r>
    <n v="120"/>
    <x v="47"/>
    <d v="2025-12-12T00:00:00"/>
    <s v="Emergency Leave"/>
    <n v="1"/>
    <s v="Customer Support"/>
    <x v="2"/>
    <n v="2.4952015355086372"/>
    <n v="62.068965517241381"/>
  </r>
  <r>
    <n v="121"/>
    <x v="47"/>
    <d v="2026-08-30T00:00:00"/>
    <s v="Emergency Leave"/>
    <n v="3"/>
    <s v="Customer Support"/>
    <x v="2"/>
    <n v="2.4980769230769231"/>
    <n v="62.188099808061423"/>
  </r>
  <r>
    <n v="122"/>
    <x v="48"/>
    <d v="2025-10-27T00:00:00"/>
    <s v="Sick Leave"/>
    <n v="2"/>
    <s v="HR"/>
    <x v="0"/>
    <n v="2.4971098265895955"/>
    <n v="62.307692307692307"/>
  </r>
  <r>
    <n v="123"/>
    <x v="48"/>
    <d v="2026-07-10T00:00:00"/>
    <s v="Sick Leave"/>
    <n v="4"/>
    <s v="HR"/>
    <x v="2"/>
    <n v="2.4980694980694982"/>
    <n v="62.427745664739888"/>
  </r>
  <r>
    <n v="124"/>
    <x v="48"/>
    <d v="2026-05-10T00:00:00"/>
    <s v="Sick Leave"/>
    <n v="4"/>
    <s v="HR"/>
    <x v="0"/>
    <n v="2.495164410058027"/>
    <n v="62.355212355212352"/>
  </r>
  <r>
    <n v="125"/>
    <x v="49"/>
    <d v="2026-04-16T00:00:00"/>
    <s v="Sick Leave"/>
    <n v="3"/>
    <s v="Sales"/>
    <x v="2"/>
    <n v="2.4922480620155039"/>
    <n v="62.475822050290134"/>
  </r>
  <r>
    <n v="126"/>
    <x v="50"/>
    <d v="2026-08-25T00:00:00"/>
    <s v="Emergency Leave"/>
    <n v="2"/>
    <s v="HR"/>
    <x v="0"/>
    <n v="2.4912621359223301"/>
    <n v="62.403100775193799"/>
  </r>
  <r>
    <n v="127"/>
    <x v="51"/>
    <d v="2026-03-12T00:00:00"/>
    <s v="Emergency Leave"/>
    <n v="2"/>
    <s v="Customer Support"/>
    <x v="0"/>
    <n v="2.4922178988326849"/>
    <n v="62.524271844660198"/>
  </r>
  <r>
    <n v="128"/>
    <x v="51"/>
    <d v="2026-06-07T00:00:00"/>
    <s v="Annual Leave"/>
    <n v="1"/>
    <s v="Customer Support"/>
    <x v="0"/>
    <n v="2.4931773879142298"/>
    <n v="62.451361867704279"/>
  </r>
  <r>
    <n v="129"/>
    <x v="51"/>
    <d v="2025-11-03T00:00:00"/>
    <s v="Casual Leave"/>
    <n v="1"/>
    <s v="Customer Support"/>
    <x v="0"/>
    <n v="2.49609375"/>
    <n v="62.378167641325533"/>
  </r>
  <r>
    <n v="130"/>
    <x v="52"/>
    <d v="2025-11-16T00:00:00"/>
    <s v="Annual Leave"/>
    <n v="3"/>
    <s v="Operations"/>
    <x v="0"/>
    <n v="2.4990215264187867"/>
    <n v="62.3046875"/>
  </r>
  <r>
    <n v="131"/>
    <x v="52"/>
    <d v="2025-12-17T00:00:00"/>
    <s v="Sick Leave"/>
    <n v="3"/>
    <s v="Operations"/>
    <x v="0"/>
    <n v="2.4980392156862745"/>
    <n v="62.230919765166334"/>
  </r>
  <r>
    <n v="132"/>
    <x v="53"/>
    <d v="2026-08-16T00:00:00"/>
    <s v="Annual Leave"/>
    <n v="4"/>
    <s v="Marketing"/>
    <x v="1"/>
    <n v="2.4970530451866404"/>
    <n v="62.156862745098039"/>
  </r>
  <r>
    <n v="133"/>
    <x v="53"/>
    <d v="2026-03-23T00:00:00"/>
    <s v="Sick Leave"/>
    <n v="3"/>
    <s v="Marketing"/>
    <x v="0"/>
    <n v="2.4940944881889764"/>
    <n v="62.082514734774065"/>
  </r>
  <r>
    <n v="134"/>
    <x v="54"/>
    <d v="2025-12-21T00:00:00"/>
    <s v="Sick Leave"/>
    <n v="2"/>
    <s v="Finance"/>
    <x v="1"/>
    <n v="2.4930966469428006"/>
    <n v="62.204724409448822"/>
  </r>
  <r>
    <n v="135"/>
    <x v="54"/>
    <d v="2025-11-30T00:00:00"/>
    <s v="Emergency Leave"/>
    <n v="2"/>
    <s v="Finance"/>
    <x v="2"/>
    <n v="2.4940711462450591"/>
    <n v="62.130177514792898"/>
  </r>
  <r>
    <n v="136"/>
    <x v="54"/>
    <d v="2026-07-10T00:00:00"/>
    <s v="Emergency Leave"/>
    <n v="3"/>
    <s v="Finance"/>
    <x v="0"/>
    <n v="2.495049504950495"/>
    <n v="62.252964426877469"/>
  </r>
  <r>
    <n v="137"/>
    <x v="54"/>
    <d v="2025-11-28T00:00:00"/>
    <s v="Sick Leave"/>
    <n v="4"/>
    <s v="Finance"/>
    <x v="0"/>
    <n v="2.4940476190476191"/>
    <n v="62.376237623762378"/>
  </r>
  <r>
    <n v="138"/>
    <x v="55"/>
    <d v="2026-04-14T00:00:00"/>
    <s v="Emergency Leave"/>
    <n v="4"/>
    <s v="HR"/>
    <x v="1"/>
    <n v="2.4910536779324057"/>
    <n v="62.301587301587304"/>
  </r>
  <r>
    <n v="139"/>
    <x v="56"/>
    <d v="2025-10-11T00:00:00"/>
    <s v="Annual Leave"/>
    <n v="4"/>
    <s v="Customer Support"/>
    <x v="2"/>
    <n v="2.4880478087649402"/>
    <n v="62.226640159045722"/>
  </r>
  <r>
    <n v="140"/>
    <x v="57"/>
    <d v="2026-01-02T00:00:00"/>
    <s v="Emergency Leave"/>
    <n v="1"/>
    <s v="HR"/>
    <x v="1"/>
    <n v="2.4850299401197606"/>
    <n v="62.350597609561753"/>
  </r>
  <r>
    <n v="141"/>
    <x v="57"/>
    <d v="2026-09-09T00:00:00"/>
    <s v="Annual Leave"/>
    <n v="3"/>
    <s v="HR"/>
    <x v="0"/>
    <n v="2.488"/>
    <n v="62.4750499001996"/>
  </r>
  <r>
    <n v="142"/>
    <x v="57"/>
    <d v="2026-04-08T00:00:00"/>
    <s v="Casual Leave"/>
    <n v="2"/>
    <s v="HR"/>
    <x v="0"/>
    <n v="2.4869739478957915"/>
    <n v="62.6"/>
  </r>
  <r>
    <n v="143"/>
    <x v="57"/>
    <d v="2026-08-16T00:00:00"/>
    <s v="Annual Leave"/>
    <n v="4"/>
    <s v="HR"/>
    <x v="0"/>
    <n v="2.4879518072289155"/>
    <n v="62.525050100200396"/>
  </r>
  <r>
    <n v="144"/>
    <x v="58"/>
    <d v="2026-08-21T00:00:00"/>
    <s v="Annual Leave"/>
    <n v="3"/>
    <s v="HR"/>
    <x v="0"/>
    <n v="2.4849094567404428"/>
    <n v="62.449799196787147"/>
  </r>
  <r>
    <n v="145"/>
    <x v="59"/>
    <d v="2026-08-05T00:00:00"/>
    <s v="Emergency Leave"/>
    <n v="1"/>
    <s v="IT"/>
    <x v="2"/>
    <n v="2.4838709677419355"/>
    <n v="62.374245472837018"/>
  </r>
  <r>
    <n v="146"/>
    <x v="59"/>
    <d v="2026-07-30T00:00:00"/>
    <s v="Emergency Leave"/>
    <n v="2"/>
    <s v="IT"/>
    <x v="0"/>
    <n v="2.4868686868686867"/>
    <n v="62.298387096774185"/>
  </r>
  <r>
    <n v="147"/>
    <x v="60"/>
    <d v="2026-01-07T00:00:00"/>
    <s v="Annual Leave"/>
    <n v="1"/>
    <s v="Marketing"/>
    <x v="1"/>
    <n v="2.4878542510121457"/>
    <n v="62.424242424242429"/>
  </r>
  <r>
    <n v="148"/>
    <x v="60"/>
    <d v="2026-03-13T00:00:00"/>
    <s v="Sick Leave"/>
    <n v="1"/>
    <s v="Marketing"/>
    <x v="0"/>
    <n v="2.4908722109533468"/>
    <n v="62.348178137651821"/>
  </r>
  <r>
    <n v="149"/>
    <x v="61"/>
    <d v="2026-02-12T00:00:00"/>
    <s v="Emergency Leave"/>
    <n v="4"/>
    <s v="Customer Support"/>
    <x v="0"/>
    <n v="2.4939024390243905"/>
    <n v="62.474645030425968"/>
  </r>
  <r>
    <n v="150"/>
    <x v="61"/>
    <d v="2025-10-21T00:00:00"/>
    <s v="Annual Leave"/>
    <n v="4"/>
    <s v="Customer Support"/>
    <x v="0"/>
    <n v="2.4908350305498983"/>
    <n v="62.398373983739845"/>
  </r>
  <r>
    <n v="151"/>
    <x v="62"/>
    <d v="2026-07-10T00:00:00"/>
    <s v="Casual Leave"/>
    <n v="2"/>
    <s v="Finance"/>
    <x v="2"/>
    <n v="2.4877551020408162"/>
    <n v="62.321792260692469"/>
  </r>
  <r>
    <n v="152"/>
    <x v="62"/>
    <d v="2025-10-06T00:00:00"/>
    <s v="Casual Leave"/>
    <n v="3"/>
    <s v="Finance"/>
    <x v="1"/>
    <n v="2.4887525562372188"/>
    <n v="62.244897959183675"/>
  </r>
  <r>
    <n v="153"/>
    <x v="63"/>
    <d v="2026-05-29T00:00:00"/>
    <s v="Emergency Leave"/>
    <n v="4"/>
    <s v="Finance"/>
    <x v="0"/>
    <n v="2.487704918032787"/>
    <n v="62.372188139059304"/>
  </r>
  <r>
    <n v="154"/>
    <x v="64"/>
    <d v="2026-09-22T00:00:00"/>
    <s v="Emergency Leave"/>
    <n v="3"/>
    <s v="Operations"/>
    <x v="0"/>
    <n v="2.4845995893223818"/>
    <n v="62.5"/>
  </r>
  <r>
    <n v="155"/>
    <x v="64"/>
    <d v="2026-06-20T00:00:00"/>
    <s v="Emergency Leave"/>
    <n v="4"/>
    <s v="Operations"/>
    <x v="0"/>
    <n v="2.4835390946502058"/>
    <n v="62.422997946611915"/>
  </r>
  <r>
    <n v="156"/>
    <x v="65"/>
    <d v="2026-03-27T00:00:00"/>
    <s v="Annual Leave"/>
    <n v="2"/>
    <s v="Finance"/>
    <x v="1"/>
    <n v="2.4804123711340207"/>
    <n v="62.345679012345677"/>
  </r>
  <r>
    <n v="157"/>
    <x v="66"/>
    <d v="2026-02-14T00:00:00"/>
    <s v="Casual Leave"/>
    <n v="4"/>
    <s v="IT"/>
    <x v="0"/>
    <n v="2.4814049586776861"/>
    <n v="62.268041237113401"/>
  </r>
  <r>
    <n v="158"/>
    <x v="66"/>
    <d v="2026-09-07T00:00:00"/>
    <s v="Annual Leave"/>
    <n v="1"/>
    <s v="IT"/>
    <x v="0"/>
    <n v="2.4782608695652173"/>
    <n v="62.396694214876035"/>
  </r>
  <r>
    <n v="159"/>
    <x v="67"/>
    <d v="2025-11-24T00:00:00"/>
    <s v="Sick Leave"/>
    <n v="1"/>
    <s v="Sales"/>
    <x v="0"/>
    <n v="2.4813278008298756"/>
    <n v="62.318840579710141"/>
  </r>
  <r>
    <n v="160"/>
    <x v="68"/>
    <d v="2025-11-03T00:00:00"/>
    <s v="Sick Leave"/>
    <n v="2"/>
    <s v="Sales"/>
    <x v="0"/>
    <n v="2.4844074844074844"/>
    <n v="62.240663900414937"/>
  </r>
  <r>
    <n v="161"/>
    <x v="68"/>
    <d v="2025-11-08T00:00:00"/>
    <s v="Casual Leave"/>
    <n v="1"/>
    <s v="Sales"/>
    <x v="0"/>
    <n v="2.4854166666666666"/>
    <n v="62.162162162162161"/>
  </r>
  <r>
    <n v="162"/>
    <x v="69"/>
    <d v="2025-11-06T00:00:00"/>
    <s v="Sick Leave"/>
    <n v="4"/>
    <s v="HR"/>
    <x v="0"/>
    <n v="2.4885177453027141"/>
    <n v="62.083333333333336"/>
  </r>
  <r>
    <n v="163"/>
    <x v="69"/>
    <d v="2026-09-06T00:00:00"/>
    <s v="Casual Leave"/>
    <n v="1"/>
    <s v="HR"/>
    <x v="0"/>
    <n v="2.485355648535565"/>
    <n v="62.004175365344473"/>
  </r>
  <r>
    <n v="164"/>
    <x v="69"/>
    <d v="2026-09-26T00:00:00"/>
    <s v="Sick Leave"/>
    <n v="2"/>
    <s v="HR"/>
    <x v="0"/>
    <n v="2.4884696016771488"/>
    <n v="61.924686192468613"/>
  </r>
  <r>
    <n v="165"/>
    <x v="69"/>
    <d v="2026-01-04T00:00:00"/>
    <s v="Casual Leave"/>
    <n v="1"/>
    <s v="HR"/>
    <x v="0"/>
    <n v="2.4894957983193278"/>
    <n v="61.844863731656183"/>
  </r>
  <r>
    <n v="166"/>
    <x v="70"/>
    <d v="2026-09-17T00:00:00"/>
    <s v="Sick Leave"/>
    <n v="2"/>
    <s v="Customer Support"/>
    <x v="0"/>
    <n v="2.4926315789473685"/>
    <n v="61.764705882352942"/>
  </r>
  <r>
    <n v="167"/>
    <x v="70"/>
    <d v="2025-11-10T00:00:00"/>
    <s v="Emergency Leave"/>
    <n v="3"/>
    <s v="Customer Support"/>
    <x v="2"/>
    <n v="2.4936708860759493"/>
    <n v="61.684210526315788"/>
  </r>
  <r>
    <n v="168"/>
    <x v="70"/>
    <d v="2026-01-07T00:00:00"/>
    <s v="Emergency Leave"/>
    <n v="2"/>
    <s v="Customer Support"/>
    <x v="1"/>
    <n v="2.492600422832981"/>
    <n v="61.603375527426167"/>
  </r>
  <r>
    <n v="169"/>
    <x v="71"/>
    <d v="2026-09-27T00:00:00"/>
    <s v="Sick Leave"/>
    <n v="4"/>
    <s v="Customer Support"/>
    <x v="0"/>
    <n v="2.4936440677966103"/>
    <n v="61.733615221987314"/>
  </r>
  <r>
    <n v="170"/>
    <x v="71"/>
    <d v="2026-09-12T00:00:00"/>
    <s v="Casual Leave"/>
    <n v="4"/>
    <s v="Customer Support"/>
    <x v="0"/>
    <n v="2.4904458598726116"/>
    <n v="61.864406779661017"/>
  </r>
  <r>
    <n v="171"/>
    <x v="71"/>
    <d v="2026-06-17T00:00:00"/>
    <s v="Casual Leave"/>
    <n v="1"/>
    <s v="Customer Support"/>
    <x v="0"/>
    <n v="2.4872340425531916"/>
    <n v="61.783439490445858"/>
  </r>
  <r>
    <n v="172"/>
    <x v="71"/>
    <d v="2026-01-10T00:00:00"/>
    <s v="Annual Leave"/>
    <n v="2"/>
    <s v="Customer Support"/>
    <x v="2"/>
    <n v="2.4904051172707891"/>
    <n v="61.702127659574465"/>
  </r>
  <r>
    <n v="173"/>
    <x v="72"/>
    <d v="2026-01-05T00:00:00"/>
    <s v="Casual Leave"/>
    <n v="1"/>
    <s v="Customer Support"/>
    <x v="0"/>
    <n v="2.4914529914529915"/>
    <n v="61.620469083155648"/>
  </r>
  <r>
    <n v="174"/>
    <x v="72"/>
    <d v="2026-01-04T00:00:00"/>
    <s v="Annual Leave"/>
    <n v="2"/>
    <s v="Customer Support"/>
    <x v="0"/>
    <n v="2.4946466809421843"/>
    <n v="61.752136752136757"/>
  </r>
  <r>
    <n v="175"/>
    <x v="72"/>
    <d v="2026-04-21T00:00:00"/>
    <s v="Annual Leave"/>
    <n v="4"/>
    <s v="Customer Support"/>
    <x v="2"/>
    <n v="2.4957081545064379"/>
    <n v="61.670235546038541"/>
  </r>
  <r>
    <n v="176"/>
    <x v="72"/>
    <d v="2026-08-24T00:00:00"/>
    <s v="Annual Leave"/>
    <n v="2"/>
    <s v="Customer Support"/>
    <x v="1"/>
    <n v="2.4924731182795701"/>
    <n v="61.587982832618025"/>
  </r>
  <r>
    <n v="177"/>
    <x v="73"/>
    <d v="2026-03-26T00:00:00"/>
    <s v="Sick Leave"/>
    <n v="1"/>
    <s v="Customer Support"/>
    <x v="0"/>
    <n v="2.4935344827586206"/>
    <n v="61.72043010752688"/>
  </r>
  <r>
    <n v="178"/>
    <x v="73"/>
    <d v="2026-02-22T00:00:00"/>
    <s v="Sick Leave"/>
    <n v="1"/>
    <s v="Customer Support"/>
    <x v="0"/>
    <n v="2.4967602591792657"/>
    <n v="61.853448275862064"/>
  </r>
  <r>
    <n v="179"/>
    <x v="74"/>
    <d v="2026-03-26T00:00:00"/>
    <s v="Casual Leave"/>
    <n v="4"/>
    <s v="IT"/>
    <x v="0"/>
    <n v="2.5"/>
    <n v="61.77105831533477"/>
  </r>
  <r>
    <n v="180"/>
    <x v="74"/>
    <d v="2026-09-11T00:00:00"/>
    <s v="Emergency Leave"/>
    <n v="1"/>
    <s v="IT"/>
    <x v="0"/>
    <n v="2.4967462039045554"/>
    <n v="61.688311688311693"/>
  </r>
  <r>
    <n v="181"/>
    <x v="74"/>
    <d v="2026-03-13T00:00:00"/>
    <s v="Annual Leave"/>
    <n v="1"/>
    <s v="IT"/>
    <x v="2"/>
    <n v="2.5"/>
    <n v="61.605206073752719"/>
  </r>
  <r>
    <n v="182"/>
    <x v="75"/>
    <d v="2026-03-13T00:00:00"/>
    <s v="Emergency Leave"/>
    <n v="3"/>
    <s v="Finance"/>
    <x v="1"/>
    <n v="2.5032679738562091"/>
    <n v="61.521739130434781"/>
  </r>
  <r>
    <n v="183"/>
    <x v="75"/>
    <d v="2026-04-08T00:00:00"/>
    <s v="Emergency Leave"/>
    <n v="3"/>
    <s v="Finance"/>
    <x v="1"/>
    <n v="2.5021834061135371"/>
    <n v="61.655773420479299"/>
  </r>
  <r>
    <n v="184"/>
    <x v="76"/>
    <d v="2026-07-07T00:00:00"/>
    <s v="Sick Leave"/>
    <n v="2"/>
    <s v="Marketing"/>
    <x v="2"/>
    <n v="2.5010940919037199"/>
    <n v="61.790393013100442"/>
  </r>
  <r>
    <n v="185"/>
    <x v="76"/>
    <d v="2025-12-27T00:00:00"/>
    <s v="Casual Leave"/>
    <n v="3"/>
    <s v="Marketing"/>
    <x v="1"/>
    <n v="2.5021929824561404"/>
    <n v="61.925601750547045"/>
  </r>
  <r>
    <n v="186"/>
    <x v="77"/>
    <d v="2026-05-25T00:00:00"/>
    <s v="Annual Leave"/>
    <n v="4"/>
    <s v="Finance"/>
    <x v="1"/>
    <n v="2.5010989010989011"/>
    <n v="62.061403508771932"/>
  </r>
  <r>
    <n v="187"/>
    <x v="77"/>
    <d v="2026-05-26T00:00:00"/>
    <s v="Emergency Leave"/>
    <n v="2"/>
    <s v="Finance"/>
    <x v="0"/>
    <n v="2.4977973568281939"/>
    <n v="62.197802197802197"/>
  </r>
  <r>
    <n v="188"/>
    <x v="77"/>
    <d v="2026-04-16T00:00:00"/>
    <s v="Emergency Leave"/>
    <n v="1"/>
    <s v="Finance"/>
    <x v="0"/>
    <n v="2.498896247240618"/>
    <n v="62.33480176211453"/>
  </r>
  <r>
    <n v="189"/>
    <x v="78"/>
    <d v="2026-04-14T00:00:00"/>
    <s v="Sick Leave"/>
    <n v="4"/>
    <s v="Marketing"/>
    <x v="0"/>
    <n v="2.502212389380531"/>
    <n v="62.251655629139066"/>
  </r>
  <r>
    <n v="190"/>
    <x v="78"/>
    <d v="2025-10-08T00:00:00"/>
    <s v="Emergency Leave"/>
    <n v="2"/>
    <s v="Marketing"/>
    <x v="0"/>
    <n v="2.4988913525498893"/>
    <n v="62.168141592920357"/>
  </r>
  <r>
    <n v="191"/>
    <x v="79"/>
    <d v="2026-01-03T00:00:00"/>
    <s v="Sick Leave"/>
    <n v="1"/>
    <s v="Sales"/>
    <x v="0"/>
    <n v="2.5"/>
    <n v="62.084257206208427"/>
  </r>
  <r>
    <n v="192"/>
    <x v="79"/>
    <d v="2026-04-19T00:00:00"/>
    <s v="Emergency Leave"/>
    <n v="2"/>
    <s v="Sales"/>
    <x v="0"/>
    <n v="2.5033407572383073"/>
    <n v="62"/>
  </r>
  <r>
    <n v="193"/>
    <x v="79"/>
    <d v="2026-03-22T00:00:00"/>
    <s v="Sick Leave"/>
    <n v="1"/>
    <s v="Sales"/>
    <x v="1"/>
    <n v="2.5044642857142856"/>
    <n v="61.915367483296215"/>
  </r>
  <r>
    <n v="194"/>
    <x v="79"/>
    <d v="2026-04-19T00:00:00"/>
    <s v="Sick Leave"/>
    <n v="3"/>
    <s v="Sales"/>
    <x v="2"/>
    <n v="2.5078299776286355"/>
    <n v="61.830357142857139"/>
  </r>
  <r>
    <n v="195"/>
    <x v="80"/>
    <d v="2026-01-25T00:00:00"/>
    <s v="Sick Leave"/>
    <n v="4"/>
    <s v="Customer Support"/>
    <x v="2"/>
    <n v="2.506726457399103"/>
    <n v="61.96868008948546"/>
  </r>
  <r>
    <n v="196"/>
    <x v="80"/>
    <d v="2026-06-13T00:00:00"/>
    <s v="Emergency Leave"/>
    <n v="4"/>
    <s v="Customer Support"/>
    <x v="0"/>
    <n v="2.5033707865168537"/>
    <n v="62.107623318385649"/>
  </r>
  <r>
    <n v="197"/>
    <x v="81"/>
    <d v="2026-09-06T00:00:00"/>
    <s v="Casual Leave"/>
    <n v="3"/>
    <s v="Sales"/>
    <x v="0"/>
    <n v="2.5"/>
    <n v="62.247191011235955"/>
  </r>
  <r>
    <n v="198"/>
    <x v="81"/>
    <d v="2025-11-04T00:00:00"/>
    <s v="Annual Leave"/>
    <n v="4"/>
    <s v="Sales"/>
    <x v="2"/>
    <n v="2.4988713318284423"/>
    <n v="62.162162162162161"/>
  </r>
  <r>
    <n v="199"/>
    <x v="81"/>
    <d v="2026-02-26T00:00:00"/>
    <s v="Sick Leave"/>
    <n v="2"/>
    <s v="Sales"/>
    <x v="2"/>
    <n v="2.495475113122172"/>
    <n v="62.07674943566591"/>
  </r>
  <r>
    <n v="200"/>
    <x v="82"/>
    <d v="2026-01-19T00:00:00"/>
    <s v="Emergency Leave"/>
    <n v="4"/>
    <s v="IT"/>
    <x v="0"/>
    <n v="2.4965986394557822"/>
    <n v="62.217194570135746"/>
  </r>
  <r>
    <n v="201"/>
    <x v="82"/>
    <d v="2026-03-07T00:00:00"/>
    <s v="Sick Leave"/>
    <n v="3"/>
    <s v="IT"/>
    <x v="0"/>
    <n v="2.4931818181818182"/>
    <n v="62.358276643990926"/>
  </r>
  <r>
    <n v="202"/>
    <x v="82"/>
    <d v="2026-09-16T00:00:00"/>
    <s v="Emergency Leave"/>
    <n v="1"/>
    <s v="IT"/>
    <x v="2"/>
    <n v="2.4920273348519362"/>
    <n v="62.272727272727266"/>
  </r>
  <r>
    <n v="203"/>
    <x v="83"/>
    <d v="2026-06-29T00:00:00"/>
    <s v="Annual Leave"/>
    <n v="3"/>
    <s v="Operations"/>
    <x v="0"/>
    <n v="2.4954337899543377"/>
    <n v="62.186788154897499"/>
  </r>
  <r>
    <n v="204"/>
    <x v="84"/>
    <d v="2026-04-08T00:00:00"/>
    <s v="Emergency Leave"/>
    <n v="1"/>
    <s v="Finance"/>
    <x v="0"/>
    <n v="2.4942791762013732"/>
    <n v="62.328767123287676"/>
  </r>
  <r>
    <n v="205"/>
    <x v="85"/>
    <d v="2026-04-08T00:00:00"/>
    <s v="Emergency Leave"/>
    <n v="2"/>
    <s v="Operations"/>
    <x v="0"/>
    <n v="2.4977064220183487"/>
    <n v="62.242562929061783"/>
  </r>
  <r>
    <n v="206"/>
    <x v="85"/>
    <d v="2026-03-17T00:00:00"/>
    <s v="Sick Leave"/>
    <n v="3"/>
    <s v="Operations"/>
    <x v="1"/>
    <n v="2.4988505747126437"/>
    <n v="62.155963302752291"/>
  </r>
  <r>
    <n v="207"/>
    <x v="85"/>
    <d v="2026-02-21T00:00:00"/>
    <s v="Annual Leave"/>
    <n v="3"/>
    <s v="Operations"/>
    <x v="0"/>
    <n v="2.4976958525345623"/>
    <n v="62.068965517241381"/>
  </r>
  <r>
    <n v="208"/>
    <x v="86"/>
    <d v="2026-03-14T00:00:00"/>
    <s v="Sick Leave"/>
    <n v="2"/>
    <s v="Finance"/>
    <x v="0"/>
    <n v="2.4965357967667439"/>
    <n v="62.21198156682027"/>
  </r>
  <r>
    <n v="209"/>
    <x v="87"/>
    <d v="2026-07-16T00:00:00"/>
    <s v="Emergency Leave"/>
    <n v="1"/>
    <s v="Marketing"/>
    <x v="0"/>
    <n v="2.4976851851851851"/>
    <n v="62.124711316397232"/>
  </r>
  <r>
    <n v="210"/>
    <x v="87"/>
    <d v="2026-06-19T00:00:00"/>
    <s v="Casual Leave"/>
    <n v="4"/>
    <s v="Marketing"/>
    <x v="0"/>
    <n v="2.5011600928074245"/>
    <n v="62.037037037037038"/>
  </r>
  <r>
    <n v="211"/>
    <x v="87"/>
    <d v="2026-08-16T00:00:00"/>
    <s v="Annual Leave"/>
    <n v="1"/>
    <s v="Marketing"/>
    <x v="2"/>
    <n v="2.4976744186046513"/>
    <n v="61.948955916473317"/>
  </r>
  <r>
    <n v="212"/>
    <x v="88"/>
    <d v="2026-05-25T00:00:00"/>
    <s v="Annual Leave"/>
    <n v="1"/>
    <s v="Operations"/>
    <x v="1"/>
    <n v="2.501165501165501"/>
    <n v="61.860465116279073"/>
  </r>
  <r>
    <n v="213"/>
    <x v="88"/>
    <d v="2026-04-18T00:00:00"/>
    <s v="Sick Leave"/>
    <n v="3"/>
    <s v="Operations"/>
    <x v="0"/>
    <n v="2.5046728971962615"/>
    <n v="62.004662004662002"/>
  </r>
  <r>
    <n v="214"/>
    <x v="88"/>
    <d v="2026-04-05T00:00:00"/>
    <s v="Casual Leave"/>
    <n v="4"/>
    <s v="Operations"/>
    <x v="0"/>
    <n v="2.5035128805620608"/>
    <n v="62.149532710280376"/>
  </r>
  <r>
    <n v="215"/>
    <x v="89"/>
    <d v="2026-08-21T00:00:00"/>
    <s v="Casual Leave"/>
    <n v="3"/>
    <s v="IT"/>
    <x v="0"/>
    <n v="2.5"/>
    <n v="62.060889929742387"/>
  </r>
  <r>
    <n v="216"/>
    <x v="90"/>
    <d v="2026-06-05T00:00:00"/>
    <s v="Sick Leave"/>
    <n v="3"/>
    <s v="Sales"/>
    <x v="0"/>
    <n v="2.4988235294117649"/>
    <n v="61.971830985915489"/>
  </r>
  <r>
    <n v="217"/>
    <x v="90"/>
    <d v="2026-06-06T00:00:00"/>
    <s v="Annual Leave"/>
    <n v="2"/>
    <s v="Sales"/>
    <x v="0"/>
    <n v="2.4976415094339623"/>
    <n v="61.882352941176464"/>
  </r>
  <r>
    <n v="218"/>
    <x v="90"/>
    <d v="2026-08-02T00:00:00"/>
    <s v="Casual Leave"/>
    <n v="3"/>
    <s v="Sales"/>
    <x v="0"/>
    <n v="2.4988179669030735"/>
    <n v="61.79245283018868"/>
  </r>
  <r>
    <n v="219"/>
    <x v="90"/>
    <d v="2026-01-08T00:00:00"/>
    <s v="Annual Leave"/>
    <n v="2"/>
    <s v="Sales"/>
    <x v="1"/>
    <n v="2.4976303317535544"/>
    <n v="61.702127659574465"/>
  </r>
  <r>
    <n v="220"/>
    <x v="91"/>
    <d v="2026-09-24T00:00:00"/>
    <s v="Casual Leave"/>
    <n v="3"/>
    <s v="IT"/>
    <x v="0"/>
    <n v="2.4988123515439429"/>
    <n v="61.611374407582943"/>
  </r>
  <r>
    <n v="221"/>
    <x v="91"/>
    <d v="2026-01-13T00:00:00"/>
    <s v="Sick Leave"/>
    <n v="3"/>
    <s v="IT"/>
    <x v="0"/>
    <n v="2.4976190476190476"/>
    <n v="61.757719714964367"/>
  </r>
  <r>
    <n v="222"/>
    <x v="91"/>
    <d v="2025-10-15T00:00:00"/>
    <s v="Emergency Leave"/>
    <n v="1"/>
    <s v="IT"/>
    <x v="0"/>
    <n v="2.496420047732697"/>
    <n v="61.666666666666671"/>
  </r>
  <r>
    <n v="223"/>
    <x v="92"/>
    <d v="2025-12-15T00:00:00"/>
    <s v="Emergency Leave"/>
    <n v="4"/>
    <s v="Customer Support"/>
    <x v="2"/>
    <n v="2.5"/>
    <n v="61.575178997613364"/>
  </r>
  <r>
    <n v="224"/>
    <x v="92"/>
    <d v="2025-12-20T00:00:00"/>
    <s v="Emergency Leave"/>
    <n v="3"/>
    <s v="Customer Support"/>
    <x v="0"/>
    <n v="2.4964028776978417"/>
    <n v="61.483253588516753"/>
  </r>
  <r>
    <n v="225"/>
    <x v="92"/>
    <d v="2026-02-18T00:00:00"/>
    <s v="Emergency Leave"/>
    <n v="3"/>
    <s v="Customer Support"/>
    <x v="0"/>
    <n v="2.4951923076923075"/>
    <n v="61.630695443645088"/>
  </r>
  <r>
    <n v="226"/>
    <x v="93"/>
    <d v="2026-05-21T00:00:00"/>
    <s v="Annual Leave"/>
    <n v="2"/>
    <s v="HR"/>
    <x v="2"/>
    <n v="2.4939759036144578"/>
    <n v="61.53846153846154"/>
  </r>
  <r>
    <n v="227"/>
    <x v="93"/>
    <d v="2025-12-05T00:00:00"/>
    <s v="Annual Leave"/>
    <n v="1"/>
    <s v="HR"/>
    <x v="0"/>
    <n v="2.4951690821256038"/>
    <n v="61.445783132530117"/>
  </r>
  <r>
    <n v="228"/>
    <x v="93"/>
    <d v="2025-10-27T00:00:00"/>
    <s v="Annual Leave"/>
    <n v="4"/>
    <s v="HR"/>
    <x v="0"/>
    <n v="2.4987893462469732"/>
    <n v="61.594202898550719"/>
  </r>
  <r>
    <n v="229"/>
    <x v="93"/>
    <d v="2025-12-12T00:00:00"/>
    <s v="Annual Leave"/>
    <n v="4"/>
    <s v="HR"/>
    <x v="2"/>
    <n v="2.4951456310679609"/>
    <n v="61.501210653753027"/>
  </r>
  <r>
    <n v="230"/>
    <x v="94"/>
    <d v="2026-08-27T00:00:00"/>
    <s v="Annual Leave"/>
    <n v="4"/>
    <s v="Sales"/>
    <x v="0"/>
    <n v="2.4914841849148419"/>
    <n v="61.407766990291258"/>
  </r>
  <r>
    <n v="231"/>
    <x v="94"/>
    <d v="2026-03-17T00:00:00"/>
    <s v="Casual Leave"/>
    <n v="3"/>
    <s v="Sales"/>
    <x v="0"/>
    <n v="2.4878048780487805"/>
    <n v="61.557177615571781"/>
  </r>
  <r>
    <n v="232"/>
    <x v="94"/>
    <d v="2026-07-17T00:00:00"/>
    <s v="Casual Leave"/>
    <n v="1"/>
    <s v="Sales"/>
    <x v="0"/>
    <n v="2.486552567237164"/>
    <n v="61.463414634146339"/>
  </r>
  <r>
    <n v="233"/>
    <x v="95"/>
    <d v="2025-11-02T00:00:00"/>
    <s v="Casual Leave"/>
    <n v="2"/>
    <s v="IT"/>
    <x v="0"/>
    <n v="2.4901960784313726"/>
    <n v="61.369193154034228"/>
  </r>
  <r>
    <n v="234"/>
    <x v="95"/>
    <d v="2025-11-22T00:00:00"/>
    <s v="Sick Leave"/>
    <n v="2"/>
    <s v="IT"/>
    <x v="0"/>
    <n v="2.4914004914004915"/>
    <n v="61.274509803921575"/>
  </r>
  <r>
    <n v="235"/>
    <x v="95"/>
    <d v="2026-04-03T00:00:00"/>
    <s v="Annual Leave"/>
    <n v="3"/>
    <s v="IT"/>
    <x v="0"/>
    <n v="2.4926108374384235"/>
    <n v="61.17936117936118"/>
  </r>
  <r>
    <n v="236"/>
    <x v="96"/>
    <d v="2026-03-25T00:00:00"/>
    <s v="Casual Leave"/>
    <n v="4"/>
    <s v="Finance"/>
    <x v="1"/>
    <n v="2.4913580246913578"/>
    <n v="61.083743842364534"/>
  </r>
  <r>
    <n v="237"/>
    <x v="96"/>
    <d v="2026-07-07T00:00:00"/>
    <s v="Casual Leave"/>
    <n v="4"/>
    <s v="Finance"/>
    <x v="1"/>
    <n v="2.4876237623762378"/>
    <n v="60.987654320987652"/>
  </r>
  <r>
    <n v="238"/>
    <x v="96"/>
    <d v="2026-09-21T00:00:00"/>
    <s v="Sick Leave"/>
    <n v="1"/>
    <s v="Finance"/>
    <x v="0"/>
    <n v="2.4838709677419355"/>
    <n v="61.138613861386141"/>
  </r>
  <r>
    <n v="239"/>
    <x v="97"/>
    <d v="2025-12-21T00:00:00"/>
    <s v="Casual Leave"/>
    <n v="3"/>
    <s v="Marketing"/>
    <x v="0"/>
    <n v="2.4875621890547261"/>
    <n v="61.29032258064516"/>
  </r>
  <r>
    <n v="240"/>
    <x v="97"/>
    <d v="2026-01-31T00:00:00"/>
    <s v="Casual Leave"/>
    <n v="1"/>
    <s v="Marketing"/>
    <x v="0"/>
    <n v="2.4862842892768078"/>
    <n v="61.194029850746269"/>
  </r>
  <r>
    <n v="241"/>
    <x v="97"/>
    <d v="2026-08-26T00:00:00"/>
    <s v="Sick Leave"/>
    <n v="4"/>
    <s v="Marketing"/>
    <x v="0"/>
    <n v="2.4900000000000002"/>
    <n v="61.097256857855363"/>
  </r>
  <r>
    <n v="242"/>
    <x v="98"/>
    <d v="2026-01-28T00:00:00"/>
    <s v="Sick Leave"/>
    <n v="2"/>
    <s v="Customer Support"/>
    <x v="2"/>
    <n v="2.4862155388471177"/>
    <n v="61"/>
  </r>
  <r>
    <n v="243"/>
    <x v="99"/>
    <d v="2026-03-15T00:00:00"/>
    <s v="Emergency Leave"/>
    <n v="4"/>
    <s v="Marketing"/>
    <x v="0"/>
    <n v="2.487437185929648"/>
    <n v="60.902255639097746"/>
  </r>
  <r>
    <n v="244"/>
    <x v="99"/>
    <d v="2026-06-19T00:00:00"/>
    <s v="Annual Leave"/>
    <n v="4"/>
    <s v="Marketing"/>
    <x v="0"/>
    <n v="2.4836272040302267"/>
    <n v="61.05527638190955"/>
  </r>
  <r>
    <n v="245"/>
    <x v="100"/>
    <d v="2026-07-09T00:00:00"/>
    <s v="Casual Leave"/>
    <n v="1"/>
    <s v="Customer Support"/>
    <x v="0"/>
    <n v="2.4797979797979797"/>
    <n v="60.957178841309826"/>
  </r>
  <r>
    <n v="246"/>
    <x v="100"/>
    <d v="2026-07-29T00:00:00"/>
    <s v="Casual Leave"/>
    <n v="2"/>
    <s v="Customer Support"/>
    <x v="0"/>
    <n v="2.4835443037974683"/>
    <n v="60.858585858585855"/>
  </r>
  <r>
    <n v="247"/>
    <x v="100"/>
    <d v="2026-07-26T00:00:00"/>
    <s v="Emergency Leave"/>
    <n v="1"/>
    <s v="Customer Support"/>
    <x v="0"/>
    <n v="2.484771573604061"/>
    <n v="60.75949367088608"/>
  </r>
  <r>
    <n v="248"/>
    <x v="101"/>
    <d v="2026-04-07T00:00:00"/>
    <s v="Sick Leave"/>
    <n v="4"/>
    <s v="IT"/>
    <x v="0"/>
    <n v="2.4885496183206106"/>
    <n v="60.659898477157356"/>
  </r>
  <r>
    <n v="249"/>
    <x v="101"/>
    <d v="2025-12-17T00:00:00"/>
    <s v="Casual Leave"/>
    <n v="3"/>
    <s v="IT"/>
    <x v="0"/>
    <n v="2.4846938775510203"/>
    <n v="60.559796437659031"/>
  </r>
  <r>
    <n v="250"/>
    <x v="101"/>
    <d v="2026-07-12T00:00:00"/>
    <s v="Annual Leave"/>
    <n v="4"/>
    <s v="IT"/>
    <x v="0"/>
    <n v="2.4833759590792841"/>
    <n v="60.459183673469383"/>
  </r>
  <r>
    <n v="251"/>
    <x v="101"/>
    <d v="2026-01-12T00:00:00"/>
    <s v="Annual Leave"/>
    <n v="3"/>
    <s v="IT"/>
    <x v="0"/>
    <n v="2.4794871794871796"/>
    <n v="60.358056265984651"/>
  </r>
  <r>
    <n v="252"/>
    <x v="102"/>
    <d v="2026-02-11T00:00:00"/>
    <s v="Emergency Leave"/>
    <n v="1"/>
    <s v="IT"/>
    <x v="0"/>
    <n v="2.4781491002570695"/>
    <n v="60.256410256410255"/>
  </r>
  <r>
    <n v="253"/>
    <x v="102"/>
    <d v="2026-05-20T00:00:00"/>
    <s v="Casual Leave"/>
    <n v="4"/>
    <s v="IT"/>
    <x v="2"/>
    <n v="2.481958762886598"/>
    <n v="60.154241645244213"/>
  </r>
  <r>
    <n v="254"/>
    <x v="103"/>
    <d v="2026-04-26T00:00:00"/>
    <s v="Sick Leave"/>
    <n v="2"/>
    <s v="Marketing"/>
    <x v="0"/>
    <n v="2.4780361757105944"/>
    <n v="60.051546391752574"/>
  </r>
  <r>
    <n v="255"/>
    <x v="103"/>
    <d v="2025-10-22T00:00:00"/>
    <s v="Emergency Leave"/>
    <n v="1"/>
    <s v="Marketing"/>
    <x v="0"/>
    <n v="2.4792746113989637"/>
    <n v="60.206718346253233"/>
  </r>
  <r>
    <n v="256"/>
    <x v="103"/>
    <d v="2026-01-11T00:00:00"/>
    <s v="Annual Leave"/>
    <n v="2"/>
    <s v="Marketing"/>
    <x v="2"/>
    <n v="2.4831168831168831"/>
    <n v="60.103626943005182"/>
  </r>
  <r>
    <n v="257"/>
    <x v="103"/>
    <d v="2026-03-05T00:00:00"/>
    <s v="Annual Leave"/>
    <n v="4"/>
    <s v="Marketing"/>
    <x v="0"/>
    <n v="2.484375"/>
    <n v="60"/>
  </r>
  <r>
    <n v="258"/>
    <x v="104"/>
    <d v="2026-07-18T00:00:00"/>
    <s v="Annual Leave"/>
    <n v="2"/>
    <s v="Marketing"/>
    <x v="2"/>
    <n v="2.4804177545691908"/>
    <n v="60.15625"/>
  </r>
  <r>
    <n v="259"/>
    <x v="105"/>
    <d v="2025-10-07T00:00:00"/>
    <s v="Sick Leave"/>
    <n v="2"/>
    <s v="Finance"/>
    <x v="0"/>
    <n v="2.4816753926701569"/>
    <n v="60.052219321148826"/>
  </r>
  <r>
    <n v="260"/>
    <x v="105"/>
    <d v="2026-01-14T00:00:00"/>
    <s v="Emergency Leave"/>
    <n v="4"/>
    <s v="Finance"/>
    <x v="0"/>
    <n v="2.4829396325459316"/>
    <n v="60.209424083769633"/>
  </r>
  <r>
    <n v="261"/>
    <x v="106"/>
    <d v="2026-04-19T00:00:00"/>
    <s v="Sick Leave"/>
    <n v="4"/>
    <s v="Finance"/>
    <x v="1"/>
    <n v="2.4789473684210526"/>
    <n v="60.104986876640417"/>
  </r>
  <r>
    <n v="262"/>
    <x v="106"/>
    <d v="2026-07-15T00:00:00"/>
    <s v="Annual Leave"/>
    <n v="2"/>
    <s v="Finance"/>
    <x v="0"/>
    <n v="2.474934036939314"/>
    <n v="60"/>
  </r>
  <r>
    <n v="263"/>
    <x v="106"/>
    <d v="2026-08-12T00:00:00"/>
    <s v="Casual Leave"/>
    <n v="1"/>
    <s v="Finance"/>
    <x v="0"/>
    <n v="2.4761904761904763"/>
    <n v="60.158311345646439"/>
  </r>
  <r>
    <n v="264"/>
    <x v="107"/>
    <d v="2025-10-26T00:00:00"/>
    <s v="Casual Leave"/>
    <n v="3"/>
    <s v="Finance"/>
    <x v="0"/>
    <n v="2.4801061007957559"/>
    <n v="60.052910052910057"/>
  </r>
  <r>
    <n v="265"/>
    <x v="107"/>
    <d v="2026-03-05T00:00:00"/>
    <s v="Emergency Leave"/>
    <n v="4"/>
    <s v="Finance"/>
    <x v="2"/>
    <n v="2.478723404255319"/>
    <n v="59.946949602122011"/>
  </r>
  <r>
    <n v="266"/>
    <x v="107"/>
    <d v="2025-12-21T00:00:00"/>
    <s v="Casual Leave"/>
    <n v="1"/>
    <s v="Finance"/>
    <x v="0"/>
    <n v="2.4746666666666668"/>
    <n v="59.840425531914896"/>
  </r>
  <r>
    <n v="267"/>
    <x v="107"/>
    <d v="2026-01-19T00:00:00"/>
    <s v="Sick Leave"/>
    <n v="4"/>
    <s v="Finance"/>
    <x v="0"/>
    <n v="2.4786096256684491"/>
    <n v="60"/>
  </r>
  <r>
    <n v="268"/>
    <x v="108"/>
    <d v="2026-05-02T00:00:00"/>
    <s v="Casual Leave"/>
    <n v="3"/>
    <s v="Customer Support"/>
    <x v="0"/>
    <n v="2.4745308310991958"/>
    <n v="59.893048128342244"/>
  </r>
  <r>
    <n v="269"/>
    <x v="108"/>
    <d v="2025-12-01T00:00:00"/>
    <s v="Annual Leave"/>
    <n v="2"/>
    <s v="Customer Support"/>
    <x v="0"/>
    <n v="2.4731182795698925"/>
    <n v="59.78552278820375"/>
  </r>
  <r>
    <n v="270"/>
    <x v="109"/>
    <d v="2026-01-13T00:00:00"/>
    <s v="Casual Leave"/>
    <n v="1"/>
    <s v="Sales"/>
    <x v="1"/>
    <n v="2.4743935309973044"/>
    <n v="59.677419354838712"/>
  </r>
  <r>
    <n v="271"/>
    <x v="109"/>
    <d v="2025-12-29T00:00:00"/>
    <s v="Casual Leave"/>
    <n v="1"/>
    <s v="Sales"/>
    <x v="0"/>
    <n v="2.4783783783783786"/>
    <n v="59.56873315363881"/>
  </r>
  <r>
    <n v="272"/>
    <x v="109"/>
    <d v="2026-01-29T00:00:00"/>
    <s v="Emergency Leave"/>
    <n v="3"/>
    <s v="Sales"/>
    <x v="0"/>
    <n v="2.4823848238482387"/>
    <n v="59.729729729729733"/>
  </r>
  <r>
    <n v="273"/>
    <x v="110"/>
    <d v="2026-06-03T00:00:00"/>
    <s v="Casual Leave"/>
    <n v="2"/>
    <s v="Operations"/>
    <x v="0"/>
    <n v="2.4809782608695654"/>
    <n v="59.620596205962059"/>
  </r>
  <r>
    <n v="274"/>
    <x v="110"/>
    <d v="2025-11-03T00:00:00"/>
    <s v="Emergency Leave"/>
    <n v="4"/>
    <s v="Operations"/>
    <x v="0"/>
    <n v="2.4822888283378748"/>
    <n v="59.510869565217398"/>
  </r>
  <r>
    <n v="275"/>
    <x v="110"/>
    <d v="2025-10-20T00:00:00"/>
    <s v="Emergency Leave"/>
    <n v="4"/>
    <s v="Operations"/>
    <x v="1"/>
    <n v="2.4781420765027322"/>
    <n v="59.400544959128062"/>
  </r>
  <r>
    <n v="276"/>
    <x v="110"/>
    <d v="2026-04-30T00:00:00"/>
    <s v="Sick Leave"/>
    <n v="1"/>
    <s v="Operations"/>
    <x v="2"/>
    <n v="2.473972602739726"/>
    <n v="59.289617486338798"/>
  </r>
  <r>
    <n v="277"/>
    <x v="111"/>
    <d v="2026-09-29T00:00:00"/>
    <s v="Annual Leave"/>
    <n v="4"/>
    <s v="HR"/>
    <x v="0"/>
    <n v="2.4780219780219781"/>
    <n v="59.452054794520549"/>
  </r>
  <r>
    <n v="278"/>
    <x v="111"/>
    <d v="2026-02-14T00:00:00"/>
    <s v="Casual Leave"/>
    <n v="3"/>
    <s v="HR"/>
    <x v="0"/>
    <n v="2.4738292011019283"/>
    <n v="59.615384615384613"/>
  </r>
  <r>
    <n v="279"/>
    <x v="112"/>
    <d v="2026-09-19T00:00:00"/>
    <s v="Emergency Leave"/>
    <n v="1"/>
    <s v="IT"/>
    <x v="0"/>
    <n v="2.472375690607735"/>
    <n v="59.504132231404959"/>
  </r>
  <r>
    <n v="280"/>
    <x v="113"/>
    <d v="2026-05-11T00:00:00"/>
    <s v="Emergency Leave"/>
    <n v="2"/>
    <s v="HR"/>
    <x v="0"/>
    <n v="2.4764542936288088"/>
    <n v="59.392265193370164"/>
  </r>
  <r>
    <n v="281"/>
    <x v="113"/>
    <d v="2026-02-24T00:00:00"/>
    <s v="Annual Leave"/>
    <n v="1"/>
    <s v="HR"/>
    <x v="2"/>
    <n v="2.4777777777777779"/>
    <n v="59.279778393351798"/>
  </r>
  <r>
    <n v="282"/>
    <x v="113"/>
    <d v="2026-04-07T00:00:00"/>
    <s v="Emergency Leave"/>
    <n v="4"/>
    <s v="HR"/>
    <x v="2"/>
    <n v="2.4818941504178271"/>
    <n v="59.166666666666664"/>
  </r>
  <r>
    <n v="283"/>
    <x v="113"/>
    <d v="2025-12-23T00:00:00"/>
    <s v="Annual Leave"/>
    <n v="3"/>
    <s v="HR"/>
    <x v="2"/>
    <n v="2.477653631284916"/>
    <n v="59.33147632311978"/>
  </r>
  <r>
    <n v="284"/>
    <x v="114"/>
    <d v="2025-12-14T00:00:00"/>
    <s v="Annual Leave"/>
    <n v="3"/>
    <s v="Customer Support"/>
    <x v="1"/>
    <n v="2.4761904761904763"/>
    <n v="59.497206703910607"/>
  </r>
  <r>
    <n v="285"/>
    <x v="114"/>
    <d v="2025-12-29T00:00:00"/>
    <s v="Emergency Leave"/>
    <n v="3"/>
    <s v="Customer Support"/>
    <x v="1"/>
    <n v="2.4747191011235956"/>
    <n v="59.663865546218489"/>
  </r>
  <r>
    <n v="286"/>
    <x v="114"/>
    <d v="2026-03-27T00:00:00"/>
    <s v="Annual Leave"/>
    <n v="2"/>
    <s v="Customer Support"/>
    <x v="1"/>
    <n v="2.4732394366197181"/>
    <n v="59.831460674157299"/>
  </r>
  <r>
    <n v="287"/>
    <x v="114"/>
    <d v="2026-09-11T00:00:00"/>
    <s v="Emergency Leave"/>
    <n v="3"/>
    <s v="Customer Support"/>
    <x v="1"/>
    <n v="2.4745762711864407"/>
    <n v="60"/>
  </r>
  <r>
    <n v="288"/>
    <x v="115"/>
    <d v="2026-02-07T00:00:00"/>
    <s v="Sick Leave"/>
    <n v="3"/>
    <s v="Operations"/>
    <x v="0"/>
    <n v="2.4730878186968837"/>
    <n v="60.169491525423723"/>
  </r>
  <r>
    <n v="289"/>
    <x v="115"/>
    <d v="2026-08-27T00:00:00"/>
    <s v="Emergency Leave"/>
    <n v="4"/>
    <s v="Operations"/>
    <x v="2"/>
    <n v="2.4715909090909092"/>
    <n v="60.339943342776202"/>
  </r>
  <r>
    <n v="290"/>
    <x v="115"/>
    <d v="2026-09-14T00:00:00"/>
    <s v="Sick Leave"/>
    <n v="1"/>
    <s v="Operations"/>
    <x v="0"/>
    <n v="2.4672364672364671"/>
    <n v="60.227272727272727"/>
  </r>
  <r>
    <n v="291"/>
    <x v="115"/>
    <d v="2026-06-17T00:00:00"/>
    <s v="Sick Leave"/>
    <n v="3"/>
    <s v="Operations"/>
    <x v="2"/>
    <n v="2.4714285714285715"/>
    <n v="60.3988603988604"/>
  </r>
  <r>
    <n v="292"/>
    <x v="116"/>
    <d v="2026-07-21T00:00:00"/>
    <s v="Sick Leave"/>
    <n v="2"/>
    <s v="Finance"/>
    <x v="1"/>
    <n v="2.4699140401146131"/>
    <n v="60.285714285714285"/>
  </r>
  <r>
    <n v="293"/>
    <x v="117"/>
    <d v="2025-11-27T00:00:00"/>
    <s v="Casual Leave"/>
    <n v="1"/>
    <s v="Operations"/>
    <x v="2"/>
    <n v="2.4712643678160919"/>
    <n v="60.458452722063036"/>
  </r>
  <r>
    <n v="294"/>
    <x v="117"/>
    <d v="2025-10-03T00:00:00"/>
    <s v="Annual Leave"/>
    <n v="2"/>
    <s v="Operations"/>
    <x v="0"/>
    <n v="2.4755043227665707"/>
    <n v="60.632183908045981"/>
  </r>
  <r>
    <n v="295"/>
    <x v="117"/>
    <d v="2026-09-16T00:00:00"/>
    <s v="Annual Leave"/>
    <n v="4"/>
    <s v="Operations"/>
    <x v="0"/>
    <n v="2.4768786127167628"/>
    <n v="60.80691642651297"/>
  </r>
  <r>
    <n v="296"/>
    <x v="118"/>
    <d v="2026-04-10T00:00:00"/>
    <s v="Emergency Leave"/>
    <n v="4"/>
    <s v="Marketing"/>
    <x v="0"/>
    <n v="2.4724637681159418"/>
    <n v="60.693641618497111"/>
  </r>
  <r>
    <n v="297"/>
    <x v="118"/>
    <d v="2026-07-23T00:00:00"/>
    <s v="Annual Leave"/>
    <n v="4"/>
    <s v="Marketing"/>
    <x v="0"/>
    <n v="2.4680232558139537"/>
    <n v="60.579710144927532"/>
  </r>
  <r>
    <n v="298"/>
    <x v="119"/>
    <d v="2026-08-24T00:00:00"/>
    <s v="Emergency Leave"/>
    <n v="2"/>
    <s v="Operations"/>
    <x v="0"/>
    <n v="2.4635568513119535"/>
    <n v="60.465116279069761"/>
  </r>
  <r>
    <n v="299"/>
    <x v="120"/>
    <d v="2025-11-25T00:00:00"/>
    <s v="Emergency Leave"/>
    <n v="2"/>
    <s v="Sales"/>
    <x v="0"/>
    <n v="2.4649122807017543"/>
    <n v="60.349854227405253"/>
  </r>
  <r>
    <n v="300"/>
    <x v="120"/>
    <d v="2026-09-21T00:00:00"/>
    <s v="Annual Leave"/>
    <n v="2"/>
    <s v="Sales"/>
    <x v="1"/>
    <n v="2.466275659824047"/>
    <n v="60.23391812865497"/>
  </r>
  <r>
    <n v="301"/>
    <x v="120"/>
    <d v="2026-03-05T00:00:00"/>
    <s v="Sick Leave"/>
    <n v="1"/>
    <s v="Sales"/>
    <x v="0"/>
    <n v="2.4676470588235295"/>
    <n v="60.117302052785924"/>
  </r>
  <r>
    <n v="302"/>
    <x v="120"/>
    <d v="2025-10-13T00:00:00"/>
    <s v="Casual Leave"/>
    <n v="1"/>
    <s v="Sales"/>
    <x v="0"/>
    <n v="2.471976401179941"/>
    <n v="60.294117647058819"/>
  </r>
  <r>
    <n v="303"/>
    <x v="121"/>
    <d v="2026-01-04T00:00:00"/>
    <s v="Casual Leave"/>
    <n v="1"/>
    <s v="Sales"/>
    <x v="0"/>
    <n v="2.4763313609467454"/>
    <n v="60.176991150442483"/>
  </r>
  <r>
    <n v="304"/>
    <x v="122"/>
    <d v="2025-11-30T00:00:00"/>
    <s v="Emergency Leave"/>
    <n v="3"/>
    <s v="Sales"/>
    <x v="1"/>
    <n v="2.4807121661721068"/>
    <n v="60.059171597633132"/>
  </r>
  <r>
    <n v="305"/>
    <x v="122"/>
    <d v="2025-10-06T00:00:00"/>
    <s v="Annual Leave"/>
    <n v="3"/>
    <s v="Sales"/>
    <x v="1"/>
    <n v="2.4791666666666665"/>
    <n v="59.940652818991104"/>
  </r>
  <r>
    <n v="306"/>
    <x v="122"/>
    <d v="2026-04-10T00:00:00"/>
    <s v="Sick Leave"/>
    <n v="3"/>
    <s v="Sales"/>
    <x v="1"/>
    <n v="2.4776119402985075"/>
    <n v="60.119047619047613"/>
  </r>
  <r>
    <n v="307"/>
    <x v="123"/>
    <d v="2026-07-29T00:00:00"/>
    <s v="Emergency Leave"/>
    <n v="1"/>
    <s v="Operations"/>
    <x v="1"/>
    <n v="2.4760479041916166"/>
    <n v="60.298507462686565"/>
  </r>
  <r>
    <n v="308"/>
    <x v="123"/>
    <d v="2025-10-17T00:00:00"/>
    <s v="Emergency Leave"/>
    <n v="3"/>
    <s v="Operations"/>
    <x v="0"/>
    <n v="2.4804804804804803"/>
    <n v="60.479041916167667"/>
  </r>
  <r>
    <n v="309"/>
    <x v="123"/>
    <d v="2025-10-16T00:00:00"/>
    <s v="Annual Leave"/>
    <n v="4"/>
    <s v="Operations"/>
    <x v="1"/>
    <n v="2.4789156626506026"/>
    <n v="60.66066066066066"/>
  </r>
  <r>
    <n v="310"/>
    <x v="123"/>
    <d v="2026-07-03T00:00:00"/>
    <s v="Casual Leave"/>
    <n v="4"/>
    <s v="Operations"/>
    <x v="2"/>
    <n v="2.4743202416918431"/>
    <n v="60.542168674698793"/>
  </r>
  <r>
    <n v="311"/>
    <x v="124"/>
    <d v="2026-03-29T00:00:00"/>
    <s v="Emergency Leave"/>
    <n v="1"/>
    <s v="IT"/>
    <x v="1"/>
    <n v="2.4696969696969697"/>
    <n v="60.725075528700913"/>
  </r>
  <r>
    <n v="312"/>
    <x v="124"/>
    <d v="2025-10-20T00:00:00"/>
    <s v="Emergency Leave"/>
    <n v="1"/>
    <s v="IT"/>
    <x v="1"/>
    <n v="2.474164133738602"/>
    <n v="60.909090909090914"/>
  </r>
  <r>
    <n v="313"/>
    <x v="124"/>
    <d v="2026-02-07T00:00:00"/>
    <s v="Casual Leave"/>
    <n v="1"/>
    <s v="IT"/>
    <x v="0"/>
    <n v="2.4786585365853657"/>
    <n v="61.094224924012153"/>
  </r>
  <r>
    <n v="314"/>
    <x v="124"/>
    <d v="2026-08-20T00:00:00"/>
    <s v="Casual Leave"/>
    <n v="4"/>
    <s v="IT"/>
    <x v="1"/>
    <n v="2.4831804281345566"/>
    <n v="61.280487804878049"/>
  </r>
  <r>
    <n v="315"/>
    <x v="125"/>
    <d v="2026-02-01T00:00:00"/>
    <s v="Emergency Leave"/>
    <n v="1"/>
    <s v="Finance"/>
    <x v="0"/>
    <n v="2.4785276073619631"/>
    <n v="61.162079510703357"/>
  </r>
  <r>
    <n v="316"/>
    <x v="125"/>
    <d v="2026-03-08T00:00:00"/>
    <s v="Emergency Leave"/>
    <n v="2"/>
    <s v="Finance"/>
    <x v="2"/>
    <n v="2.483076923076923"/>
    <n v="61.349693251533743"/>
  </r>
  <r>
    <n v="317"/>
    <x v="126"/>
    <d v="2025-11-18T00:00:00"/>
    <s v="Casual Leave"/>
    <n v="2"/>
    <s v="Marketing"/>
    <x v="2"/>
    <n v="2.4845679012345681"/>
    <n v="61.230769230769234"/>
  </r>
  <r>
    <n v="318"/>
    <x v="126"/>
    <d v="2026-09-11T00:00:00"/>
    <s v="Casual Leave"/>
    <n v="4"/>
    <s v="Marketing"/>
    <x v="0"/>
    <n v="2.4860681114551082"/>
    <n v="61.419753086419746"/>
  </r>
  <r>
    <n v="319"/>
    <x v="126"/>
    <d v="2026-06-15T00:00:00"/>
    <s v="Sick Leave"/>
    <n v="4"/>
    <s v="Marketing"/>
    <x v="0"/>
    <n v="2.481366459627329"/>
    <n v="61.609907120743031"/>
  </r>
  <r>
    <n v="320"/>
    <x v="127"/>
    <d v="2026-04-17T00:00:00"/>
    <s v="Casual Leave"/>
    <n v="3"/>
    <s v="HR"/>
    <x v="2"/>
    <n v="2.4766355140186915"/>
    <n v="61.490683229813669"/>
  </r>
  <r>
    <n v="321"/>
    <x v="127"/>
    <d v="2025-11-30T00:00:00"/>
    <s v="Emergency Leave"/>
    <n v="2"/>
    <s v="HR"/>
    <x v="1"/>
    <n v="2.4750000000000001"/>
    <n v="61.370716510903421"/>
  </r>
  <r>
    <n v="322"/>
    <x v="127"/>
    <d v="2026-02-28T00:00:00"/>
    <s v="Sick Leave"/>
    <n v="1"/>
    <s v="HR"/>
    <x v="0"/>
    <n v="2.476489028213166"/>
    <n v="61.5625"/>
  </r>
  <r>
    <n v="323"/>
    <x v="127"/>
    <d v="2026-08-04T00:00:00"/>
    <s v="Annual Leave"/>
    <n v="4"/>
    <s v="HR"/>
    <x v="0"/>
    <n v="2.4811320754716979"/>
    <n v="61.755485893416932"/>
  </r>
  <r>
    <n v="324"/>
    <x v="128"/>
    <d v="2025-11-09T00:00:00"/>
    <s v="Sick Leave"/>
    <n v="4"/>
    <s v="Operations"/>
    <x v="1"/>
    <n v="2.4763406940063093"/>
    <n v="61.635220125786162"/>
  </r>
  <r>
    <n v="325"/>
    <x v="129"/>
    <d v="2025-10-03T00:00:00"/>
    <s v="Emergency Leave"/>
    <n v="2"/>
    <s v="HR"/>
    <x v="1"/>
    <n v="2.471518987341772"/>
    <n v="61.514195583596212"/>
  </r>
  <r>
    <n v="326"/>
    <x v="130"/>
    <d v="2026-01-02T00:00:00"/>
    <s v="Sick Leave"/>
    <n v="3"/>
    <s v="IT"/>
    <x v="2"/>
    <n v="2.4730158730158731"/>
    <n v="61.708860759493668"/>
  </r>
  <r>
    <n v="327"/>
    <x v="130"/>
    <d v="2026-06-10T00:00:00"/>
    <s v="Sick Leave"/>
    <n v="4"/>
    <s v="IT"/>
    <x v="0"/>
    <n v="2.4713375796178343"/>
    <n v="61.904761904761905"/>
  </r>
  <r>
    <n v="328"/>
    <x v="131"/>
    <d v="2025-12-11T00:00:00"/>
    <s v="Sick Leave"/>
    <n v="1"/>
    <s v="Finance"/>
    <x v="1"/>
    <n v="2.4664536741214058"/>
    <n v="62.101910828025474"/>
  </r>
  <r>
    <n v="329"/>
    <x v="132"/>
    <d v="2026-04-06T00:00:00"/>
    <s v="Emergency Leave"/>
    <n v="1"/>
    <s v="Customer Support"/>
    <x v="2"/>
    <n v="2.4711538461538463"/>
    <n v="61.980830670926515"/>
  </r>
  <r>
    <n v="330"/>
    <x v="132"/>
    <d v="2026-09-21T00:00:00"/>
    <s v="Annual Leave"/>
    <n v="1"/>
    <s v="Customer Support"/>
    <x v="1"/>
    <n v="2.4758842443729905"/>
    <n v="62.179487179487182"/>
  </r>
  <r>
    <n v="331"/>
    <x v="132"/>
    <d v="2026-05-31T00:00:00"/>
    <s v="Casual Leave"/>
    <n v="3"/>
    <s v="Customer Support"/>
    <x v="1"/>
    <n v="2.4806451612903224"/>
    <n v="62.379421221864952"/>
  </r>
  <r>
    <n v="332"/>
    <x v="133"/>
    <d v="2026-09-25T00:00:00"/>
    <s v="Emergency Leave"/>
    <n v="1"/>
    <s v="Operations"/>
    <x v="0"/>
    <n v="2.4789644012944985"/>
    <n v="62.580645161290327"/>
  </r>
  <r>
    <n v="333"/>
    <x v="133"/>
    <d v="2025-11-14T00:00:00"/>
    <s v="Annual Leave"/>
    <n v="3"/>
    <s v="Operations"/>
    <x v="1"/>
    <n v="2.4837662337662336"/>
    <n v="62.783171521035598"/>
  </r>
  <r>
    <n v="334"/>
    <x v="133"/>
    <d v="2026-04-24T00:00:00"/>
    <s v="Sick Leave"/>
    <n v="2"/>
    <s v="Operations"/>
    <x v="0"/>
    <n v="2.4820846905537461"/>
    <n v="62.662337662337663"/>
  </r>
  <r>
    <n v="335"/>
    <x v="133"/>
    <d v="2025-10-13T00:00:00"/>
    <s v="Sick Leave"/>
    <n v="1"/>
    <s v="Operations"/>
    <x v="2"/>
    <n v="2.4836601307189543"/>
    <n v="62.866449511400646"/>
  </r>
  <r>
    <n v="336"/>
    <x v="134"/>
    <d v="2026-09-06T00:00:00"/>
    <s v="Sick Leave"/>
    <n v="4"/>
    <s v="Operations"/>
    <x v="2"/>
    <n v="2.4885245901639346"/>
    <n v="62.745098039215684"/>
  </r>
  <r>
    <n v="337"/>
    <x v="135"/>
    <d v="2026-07-13T00:00:00"/>
    <s v="Annual Leave"/>
    <n v="4"/>
    <s v="Operations"/>
    <x v="0"/>
    <n v="2.4835526315789473"/>
    <n v="62.950819672131153"/>
  </r>
  <r>
    <n v="338"/>
    <x v="135"/>
    <d v="2026-09-02T00:00:00"/>
    <s v="Sick Leave"/>
    <n v="4"/>
    <s v="Operations"/>
    <x v="0"/>
    <n v="2.4785478547854787"/>
    <n v="63.157894736842103"/>
  </r>
  <r>
    <n v="339"/>
    <x v="136"/>
    <d v="2025-10-21T00:00:00"/>
    <s v="Sick Leave"/>
    <n v="2"/>
    <s v="Marketing"/>
    <x v="0"/>
    <n v="2.4735099337748343"/>
    <n v="63.036303630363037"/>
  </r>
  <r>
    <n v="340"/>
    <x v="136"/>
    <d v="2026-03-03T00:00:00"/>
    <s v="Sick Leave"/>
    <n v="4"/>
    <s v="Marketing"/>
    <x v="0"/>
    <n v="2.4750830564784052"/>
    <n v="62.913907284768214"/>
  </r>
  <r>
    <n v="341"/>
    <x v="136"/>
    <d v="2026-04-09T00:00:00"/>
    <s v="Casual Leave"/>
    <n v="1"/>
    <s v="Marketing"/>
    <x v="0"/>
    <n v="2.4700000000000002"/>
    <n v="62.790697674418603"/>
  </r>
  <r>
    <n v="342"/>
    <x v="136"/>
    <d v="2026-06-26T00:00:00"/>
    <s v="Annual Leave"/>
    <n v="1"/>
    <s v="Marketing"/>
    <x v="0"/>
    <n v="2.4749163879598663"/>
    <n v="62.666666666666671"/>
  </r>
  <r>
    <n v="343"/>
    <x v="137"/>
    <d v="2026-03-13T00:00:00"/>
    <s v="Sick Leave"/>
    <n v="4"/>
    <s v="HR"/>
    <x v="0"/>
    <n v="2.4798657718120807"/>
    <n v="62.541806020066893"/>
  </r>
  <r>
    <n v="344"/>
    <x v="138"/>
    <d v="2026-09-05T00:00:00"/>
    <s v="Emergency Leave"/>
    <n v="4"/>
    <s v="IT"/>
    <x v="1"/>
    <n v="2.4747474747474749"/>
    <n v="62.416107382550337"/>
  </r>
  <r>
    <n v="345"/>
    <x v="139"/>
    <d v="2025-11-20T00:00:00"/>
    <s v="Sick Leave"/>
    <n v="4"/>
    <s v="IT"/>
    <x v="2"/>
    <n v="2.4695945945945947"/>
    <n v="62.289562289562298"/>
  </r>
  <r>
    <n v="346"/>
    <x v="140"/>
    <d v="2025-11-06T00:00:00"/>
    <s v="Sick Leave"/>
    <n v="2"/>
    <s v="Marketing"/>
    <x v="2"/>
    <n v="2.464406779661017"/>
    <n v="62.5"/>
  </r>
  <r>
    <n v="347"/>
    <x v="140"/>
    <d v="2025-12-14T00:00:00"/>
    <s v="Casual Leave"/>
    <n v="4"/>
    <s v="Marketing"/>
    <x v="2"/>
    <n v="2.4659863945578233"/>
    <n v="62.711864406779661"/>
  </r>
  <r>
    <n v="348"/>
    <x v="140"/>
    <d v="2025-11-07T00:00:00"/>
    <s v="Sick Leave"/>
    <n v="2"/>
    <s v="Marketing"/>
    <x v="1"/>
    <n v="2.4607508532423208"/>
    <n v="62.925170068027214"/>
  </r>
  <r>
    <n v="349"/>
    <x v="140"/>
    <d v="2026-08-17T00:00:00"/>
    <s v="Annual Leave"/>
    <n v="2"/>
    <s v="Marketing"/>
    <x v="0"/>
    <n v="2.4623287671232879"/>
    <n v="63.13993174061433"/>
  </r>
  <r>
    <n v="350"/>
    <x v="141"/>
    <d v="2025-10-31T00:00:00"/>
    <s v="Emergency Leave"/>
    <n v="1"/>
    <s v="HR"/>
    <x v="0"/>
    <n v="2.463917525773196"/>
    <n v="63.356164383561641"/>
  </r>
  <r>
    <n v="351"/>
    <x v="141"/>
    <d v="2026-04-21T00:00:00"/>
    <s v="Casual Leave"/>
    <n v="2"/>
    <s v="HR"/>
    <x v="0"/>
    <n v="2.4689655172413794"/>
    <n v="63.230240549828174"/>
  </r>
  <r>
    <n v="352"/>
    <x v="141"/>
    <d v="2026-04-19T00:00:00"/>
    <s v="Emergency Leave"/>
    <n v="2"/>
    <s v="HR"/>
    <x v="0"/>
    <n v="2.4705882352941178"/>
    <n v="63.103448275862071"/>
  </r>
  <r>
    <n v="353"/>
    <x v="142"/>
    <d v="2026-08-11T00:00:00"/>
    <s v="Emergency Leave"/>
    <n v="2"/>
    <s v="Customer Support"/>
    <x v="0"/>
    <n v="2.4722222222222223"/>
    <n v="62.975778546712803"/>
  </r>
  <r>
    <n v="354"/>
    <x v="142"/>
    <d v="2026-08-03T00:00:00"/>
    <s v="Annual Leave"/>
    <n v="4"/>
    <s v="Customer Support"/>
    <x v="0"/>
    <n v="2.4738675958188154"/>
    <n v="62.847222222222221"/>
  </r>
  <r>
    <n v="355"/>
    <x v="142"/>
    <d v="2026-05-10T00:00:00"/>
    <s v="Casual Leave"/>
    <n v="4"/>
    <s v="Customer Support"/>
    <x v="0"/>
    <n v="2.4685314685314683"/>
    <n v="62.717770034843198"/>
  </r>
  <r>
    <n v="356"/>
    <x v="143"/>
    <d v="2025-11-13T00:00:00"/>
    <s v="Sick Leave"/>
    <n v="1"/>
    <s v="Finance"/>
    <x v="0"/>
    <n v="2.4631578947368422"/>
    <n v="62.587412587412587"/>
  </r>
  <r>
    <n v="357"/>
    <x v="143"/>
    <d v="2026-02-20T00:00:00"/>
    <s v="Emergency Leave"/>
    <n v="3"/>
    <s v="Finance"/>
    <x v="1"/>
    <n v="2.4683098591549295"/>
    <n v="62.456140350877199"/>
  </r>
  <r>
    <n v="358"/>
    <x v="143"/>
    <d v="2026-08-29T00:00:00"/>
    <s v="Annual Leave"/>
    <n v="3"/>
    <s v="Finance"/>
    <x v="2"/>
    <n v="2.4664310954063606"/>
    <n v="62.323943661971825"/>
  </r>
  <r>
    <n v="359"/>
    <x v="143"/>
    <d v="2026-08-06T00:00:00"/>
    <s v="Annual Leave"/>
    <n v="3"/>
    <s v="Finance"/>
    <x v="1"/>
    <n v="2.4645390070921986"/>
    <n v="62.544169611307424"/>
  </r>
  <r>
    <n v="360"/>
    <x v="144"/>
    <d v="2026-06-07T00:00:00"/>
    <s v="Emergency Leave"/>
    <n v="2"/>
    <s v="Marketing"/>
    <x v="1"/>
    <n v="2.4626334519572954"/>
    <n v="62.765957446808507"/>
  </r>
  <r>
    <n v="361"/>
    <x v="144"/>
    <d v="2026-03-22T00:00:00"/>
    <s v="Casual Leave"/>
    <n v="4"/>
    <s v="Marketing"/>
    <x v="0"/>
    <n v="2.4642857142857144"/>
    <n v="62.989323843416365"/>
  </r>
  <r>
    <n v="362"/>
    <x v="144"/>
    <d v="2026-06-30T00:00:00"/>
    <s v="Casual Leave"/>
    <n v="3"/>
    <s v="Marketing"/>
    <x v="0"/>
    <n v="2.4587813620071683"/>
    <n v="63.214285714285708"/>
  </r>
  <r>
    <n v="363"/>
    <x v="144"/>
    <d v="2026-02-16T00:00:00"/>
    <s v="Annual Leave"/>
    <n v="2"/>
    <s v="Marketing"/>
    <x v="0"/>
    <n v="2.4568345323741005"/>
    <n v="63.082437275985662"/>
  </r>
  <r>
    <n v="364"/>
    <x v="145"/>
    <d v="2026-01-31T00:00:00"/>
    <s v="Sick Leave"/>
    <n v="3"/>
    <s v="Marketing"/>
    <x v="0"/>
    <n v="2.4584837545126352"/>
    <n v="62.949640287769782"/>
  </r>
  <r>
    <n v="365"/>
    <x v="145"/>
    <d v="2026-01-07T00:00:00"/>
    <s v="Annual Leave"/>
    <n v="4"/>
    <s v="Marketing"/>
    <x v="0"/>
    <n v="2.4565217391304346"/>
    <n v="62.815884476534301"/>
  </r>
  <r>
    <n v="366"/>
    <x v="146"/>
    <d v="2026-08-03T00:00:00"/>
    <s v="Emergency Leave"/>
    <n v="2"/>
    <s v="HR"/>
    <x v="2"/>
    <n v="2.4509090909090907"/>
    <n v="62.681159420289859"/>
  </r>
  <r>
    <n v="367"/>
    <x v="146"/>
    <d v="2025-12-11T00:00:00"/>
    <s v="Annual Leave"/>
    <n v="2"/>
    <s v="HR"/>
    <x v="0"/>
    <n v="2.4525547445255476"/>
    <n v="62.545454545454547"/>
  </r>
  <r>
    <n v="368"/>
    <x v="147"/>
    <d v="2026-07-11T00:00:00"/>
    <s v="Annual Leave"/>
    <n v="2"/>
    <s v="Marketing"/>
    <x v="1"/>
    <n v="2.4542124542124544"/>
    <n v="62.773722627737229"/>
  </r>
  <r>
    <n v="369"/>
    <x v="147"/>
    <d v="2026-07-25T00:00:00"/>
    <s v="Sick Leave"/>
    <n v="1"/>
    <s v="Marketing"/>
    <x v="0"/>
    <n v="2.4558823529411766"/>
    <n v="62.637362637362635"/>
  </r>
  <r>
    <n v="370"/>
    <x v="147"/>
    <d v="2026-08-23T00:00:00"/>
    <s v="Sick Leave"/>
    <n v="2"/>
    <s v="Marketing"/>
    <x v="2"/>
    <n v="2.4612546125461257"/>
    <n v="62.867647058823529"/>
  </r>
  <r>
    <n v="371"/>
    <x v="147"/>
    <d v="2026-08-21T00:00:00"/>
    <s v="Annual Leave"/>
    <n v="2"/>
    <s v="Marketing"/>
    <x v="1"/>
    <n v="2.4629629629629628"/>
    <n v="62.730627306273071"/>
  </r>
  <r>
    <n v="372"/>
    <x v="148"/>
    <d v="2026-02-03T00:00:00"/>
    <s v="Emergency Leave"/>
    <n v="4"/>
    <s v="Marketing"/>
    <x v="0"/>
    <n v="2.4646840148698885"/>
    <n v="62.962962962962962"/>
  </r>
  <r>
    <n v="373"/>
    <x v="148"/>
    <d v="2026-07-18T00:00:00"/>
    <s v="Emergency Leave"/>
    <n v="3"/>
    <s v="Marketing"/>
    <x v="0"/>
    <n v="2.4589552238805972"/>
    <n v="63.19702602230484"/>
  </r>
  <r>
    <n v="374"/>
    <x v="149"/>
    <d v="2026-08-07T00:00:00"/>
    <s v="Casual Leave"/>
    <n v="3"/>
    <s v="IT"/>
    <x v="0"/>
    <n v="2.4569288389513106"/>
    <n v="63.059701492537314"/>
  </r>
  <r>
    <n v="375"/>
    <x v="149"/>
    <d v="2026-04-11T00:00:00"/>
    <s v="Emergency Leave"/>
    <n v="1"/>
    <s v="IT"/>
    <x v="0"/>
    <n v="2.4548872180451129"/>
    <n v="62.921348314606739"/>
  </r>
  <r>
    <n v="376"/>
    <x v="150"/>
    <d v="2026-02-08T00:00:00"/>
    <s v="Emergency Leave"/>
    <n v="4"/>
    <s v="Marketing"/>
    <x v="2"/>
    <n v="2.4603773584905659"/>
    <n v="62.781954887218049"/>
  </r>
  <r>
    <n v="377"/>
    <x v="151"/>
    <d v="2026-02-19T00:00:00"/>
    <s v="Emergency Leave"/>
    <n v="2"/>
    <s v="Finance"/>
    <x v="0"/>
    <n v="2.4545454545454546"/>
    <n v="62.641509433962263"/>
  </r>
  <r>
    <n v="378"/>
    <x v="151"/>
    <d v="2025-10-27T00:00:00"/>
    <s v="Emergency Leave"/>
    <n v="4"/>
    <s v="Finance"/>
    <x v="2"/>
    <n v="2.456273764258555"/>
    <n v="62.878787878787875"/>
  </r>
  <r>
    <n v="379"/>
    <x v="151"/>
    <d v="2025-11-25T00:00:00"/>
    <s v="Emergency Leave"/>
    <n v="4"/>
    <s v="Finance"/>
    <x v="1"/>
    <n v="2.4503816793893129"/>
    <n v="62.737642585551335"/>
  </r>
  <r>
    <n v="380"/>
    <x v="151"/>
    <d v="2026-03-10T00:00:00"/>
    <s v="Casual Leave"/>
    <n v="2"/>
    <s v="Finance"/>
    <x v="0"/>
    <n v="2.4444444444444446"/>
    <n v="62.977099236641223"/>
  </r>
  <r>
    <n v="381"/>
    <x v="152"/>
    <d v="2025-10-28T00:00:00"/>
    <s v="Casual Leave"/>
    <n v="1"/>
    <s v="Marketing"/>
    <x v="0"/>
    <n v="2.4461538461538463"/>
    <n v="63.218390804597703"/>
  </r>
  <r>
    <n v="382"/>
    <x v="152"/>
    <d v="2025-11-25T00:00:00"/>
    <s v="Annual Leave"/>
    <n v="2"/>
    <s v="Marketing"/>
    <x v="0"/>
    <n v="2.4517374517374519"/>
    <n v="63.076923076923073"/>
  </r>
  <r>
    <n v="383"/>
    <x v="153"/>
    <d v="2026-01-13T00:00:00"/>
    <s v="Casual Leave"/>
    <n v="1"/>
    <s v="HR"/>
    <x v="0"/>
    <n v="2.4534883720930232"/>
    <n v="62.93436293436293"/>
  </r>
  <r>
    <n v="384"/>
    <x v="153"/>
    <d v="2025-11-27T00:00:00"/>
    <s v="Annual Leave"/>
    <n v="3"/>
    <s v="HR"/>
    <x v="0"/>
    <n v="2.4591439688715955"/>
    <n v="62.790697674418603"/>
  </r>
  <r>
    <n v="385"/>
    <x v="153"/>
    <d v="2026-05-09T00:00:00"/>
    <s v="Sick Leave"/>
    <n v="2"/>
    <s v="HR"/>
    <x v="0"/>
    <n v="2.45703125"/>
    <n v="62.645914396887157"/>
  </r>
  <r>
    <n v="386"/>
    <x v="154"/>
    <d v="2026-08-06T00:00:00"/>
    <s v="Annual Leave"/>
    <n v="3"/>
    <s v="Customer Support"/>
    <x v="0"/>
    <n v="2.4588235294117649"/>
    <n v="62.5"/>
  </r>
  <r>
    <n v="387"/>
    <x v="154"/>
    <d v="2025-12-17T00:00:00"/>
    <s v="Casual Leave"/>
    <n v="3"/>
    <s v="Customer Support"/>
    <x v="0"/>
    <n v="2.4566929133858268"/>
    <n v="62.352941176470587"/>
  </r>
  <r>
    <n v="388"/>
    <x v="154"/>
    <d v="2025-12-27T00:00:00"/>
    <s v="Emergency Leave"/>
    <n v="2"/>
    <s v="Customer Support"/>
    <x v="2"/>
    <n v="2.4545454545454546"/>
    <n v="62.204724409448822"/>
  </r>
  <r>
    <n v="389"/>
    <x v="154"/>
    <d v="2026-08-12T00:00:00"/>
    <s v="Casual Leave"/>
    <n v="2"/>
    <s v="Customer Support"/>
    <x v="0"/>
    <n v="2.4563492063492065"/>
    <n v="62.055335968379445"/>
  </r>
  <r>
    <n v="390"/>
    <x v="155"/>
    <d v="2026-08-11T00:00:00"/>
    <s v="Annual Leave"/>
    <n v="4"/>
    <s v="Finance"/>
    <x v="0"/>
    <n v="2.4581673306772909"/>
    <n v="62.301587301587304"/>
  </r>
  <r>
    <n v="391"/>
    <x v="155"/>
    <d v="2025-11-18T00:00:00"/>
    <s v="Sick Leave"/>
    <n v="4"/>
    <s v="Finance"/>
    <x v="0"/>
    <n v="2.452"/>
    <n v="62.151394422310759"/>
  </r>
  <r>
    <n v="392"/>
    <x v="155"/>
    <d v="2026-02-01T00:00:00"/>
    <s v="Emergency Leave"/>
    <n v="2"/>
    <s v="Finance"/>
    <x v="0"/>
    <n v="2.4457831325301207"/>
    <n v="62"/>
  </r>
  <r>
    <n v="393"/>
    <x v="155"/>
    <d v="2026-01-21T00:00:00"/>
    <s v="Annual Leave"/>
    <n v="1"/>
    <s v="Finance"/>
    <x v="0"/>
    <n v="2.4475806451612905"/>
    <n v="61.847389558232933"/>
  </r>
  <r>
    <n v="394"/>
    <x v="156"/>
    <d v="2026-09-09T00:00:00"/>
    <s v="Annual Leave"/>
    <n v="4"/>
    <s v="Operations"/>
    <x v="2"/>
    <n v="2.4534412955465585"/>
    <n v="61.693548387096776"/>
  </r>
  <r>
    <n v="395"/>
    <x v="157"/>
    <d v="2026-04-16T00:00:00"/>
    <s v="Emergency Leave"/>
    <n v="2"/>
    <s v="Operations"/>
    <x v="0"/>
    <n v="2.4471544715447155"/>
    <n v="61.53846153846154"/>
  </r>
  <r>
    <n v="396"/>
    <x v="157"/>
    <d v="2025-11-21T00:00:00"/>
    <s v="Casual Leave"/>
    <n v="4"/>
    <s v="Operations"/>
    <x v="1"/>
    <n v="2.4489795918367347"/>
    <n v="61.788617886178862"/>
  </r>
  <r>
    <n v="397"/>
    <x v="157"/>
    <d v="2026-05-15T00:00:00"/>
    <s v="Sick Leave"/>
    <n v="4"/>
    <s v="Operations"/>
    <x v="2"/>
    <n v="2.442622950819672"/>
    <n v="61.632653061224488"/>
  </r>
  <r>
    <n v="398"/>
    <x v="157"/>
    <d v="2026-04-13T00:00:00"/>
    <s v="Casual Leave"/>
    <n v="3"/>
    <s v="Operations"/>
    <x v="0"/>
    <n v="2.4362139917695473"/>
    <n v="61.885245901639344"/>
  </r>
  <r>
    <n v="399"/>
    <x v="158"/>
    <d v="2026-05-12T00:00:00"/>
    <s v="Annual Leave"/>
    <n v="3"/>
    <s v="HR"/>
    <x v="0"/>
    <n v="2.4338842975206614"/>
    <n v="62.139917695473244"/>
  </r>
  <r>
    <n v="400"/>
    <x v="158"/>
    <d v="2026-06-13T00:00:00"/>
    <s v="Emergency Leave"/>
    <n v="4"/>
    <s v="HR"/>
    <x v="2"/>
    <n v="2.4315352697095434"/>
    <n v="61.983471074380169"/>
  </r>
  <r>
    <n v="401"/>
    <x v="158"/>
    <d v="2026-01-14T00:00:00"/>
    <s v="Annual Leave"/>
    <n v="2"/>
    <s v="HR"/>
    <x v="0"/>
    <n v="2.4249999999999998"/>
    <n v="61.825726141078839"/>
  </r>
  <r>
    <n v="402"/>
    <x v="159"/>
    <d v="2026-09-23T00:00:00"/>
    <s v="Emergency Leave"/>
    <n v="2"/>
    <s v="Finance"/>
    <x v="1"/>
    <n v="2.4267782426778242"/>
    <n v="62.083333333333336"/>
  </r>
  <r>
    <n v="403"/>
    <x v="159"/>
    <d v="2026-01-15T00:00:00"/>
    <s v="Sick Leave"/>
    <n v="3"/>
    <s v="Finance"/>
    <x v="0"/>
    <n v="2.4285714285714284"/>
    <n v="61.924686192468613"/>
  </r>
  <r>
    <n v="404"/>
    <x v="159"/>
    <d v="2026-04-26T00:00:00"/>
    <s v="Annual Leave"/>
    <n v="2"/>
    <s v="Finance"/>
    <x v="0"/>
    <n v="2.4261603375527425"/>
    <n v="62.184873949579831"/>
  </r>
  <r>
    <n v="405"/>
    <x v="159"/>
    <d v="2026-01-27T00:00:00"/>
    <s v="Emergency Leave"/>
    <n v="4"/>
    <s v="Finance"/>
    <x v="0"/>
    <n v="2.4279661016949152"/>
    <n v="62.025316455696199"/>
  </r>
  <r>
    <n v="406"/>
    <x v="160"/>
    <d v="2026-02-02T00:00:00"/>
    <s v="Casual Leave"/>
    <n v="4"/>
    <s v="HR"/>
    <x v="0"/>
    <n v="2.4212765957446809"/>
    <n v="61.864406779661017"/>
  </r>
  <r>
    <n v="407"/>
    <x v="160"/>
    <d v="2026-04-18T00:00:00"/>
    <s v="Annual Leave"/>
    <n v="3"/>
    <s v="HR"/>
    <x v="1"/>
    <n v="2.4145299145299144"/>
    <n v="61.702127659574465"/>
  </r>
  <r>
    <n v="408"/>
    <x v="160"/>
    <d v="2025-10-11T00:00:00"/>
    <s v="Emergency Leave"/>
    <n v="4"/>
    <s v="HR"/>
    <x v="1"/>
    <n v="2.4120171673819741"/>
    <n v="61.53846153846154"/>
  </r>
  <r>
    <n v="409"/>
    <x v="160"/>
    <d v="2026-05-06T00:00:00"/>
    <s v="Casual Leave"/>
    <n v="4"/>
    <s v="HR"/>
    <x v="0"/>
    <n v="2.4051724137931036"/>
    <n v="61.802575107296143"/>
  </r>
  <r>
    <n v="410"/>
    <x v="161"/>
    <d v="2026-01-26T00:00:00"/>
    <s v="Annual Leave"/>
    <n v="3"/>
    <s v="IT"/>
    <x v="0"/>
    <n v="2.3982683982683981"/>
    <n v="62.068965517241381"/>
  </r>
  <r>
    <n v="411"/>
    <x v="161"/>
    <d v="2026-06-03T00:00:00"/>
    <s v="Sick Leave"/>
    <n v="2"/>
    <s v="IT"/>
    <x v="0"/>
    <n v="2.3956521739130436"/>
    <n v="61.904761904761905"/>
  </r>
  <r>
    <n v="412"/>
    <x v="162"/>
    <d v="2026-08-27T00:00:00"/>
    <s v="Sick Leave"/>
    <n v="1"/>
    <s v="Finance"/>
    <x v="1"/>
    <n v="2.3973799126637556"/>
    <n v="61.739130434782609"/>
  </r>
  <r>
    <n v="413"/>
    <x v="162"/>
    <d v="2026-04-05T00:00:00"/>
    <s v="Casual Leave"/>
    <n v="2"/>
    <s v="Finance"/>
    <x v="0"/>
    <n v="2.4035087719298245"/>
    <n v="61.572052401746724"/>
  </r>
  <r>
    <n v="414"/>
    <x v="162"/>
    <d v="2026-09-28T00:00:00"/>
    <s v="Sick Leave"/>
    <n v="1"/>
    <s v="Finance"/>
    <x v="2"/>
    <n v="2.4052863436123348"/>
    <n v="61.842105263157897"/>
  </r>
  <r>
    <n v="415"/>
    <x v="162"/>
    <d v="2026-09-22T00:00:00"/>
    <s v="Casual Leave"/>
    <n v="3"/>
    <s v="Finance"/>
    <x v="0"/>
    <n v="2.4115044247787609"/>
    <n v="61.674008810572687"/>
  </r>
  <r>
    <n v="416"/>
    <x v="163"/>
    <d v="2026-02-08T00:00:00"/>
    <s v="Emergency Leave"/>
    <n v="2"/>
    <s v="Sales"/>
    <x v="0"/>
    <n v="2.4088888888888889"/>
    <n v="61.946902654867252"/>
  </r>
  <r>
    <n v="417"/>
    <x v="163"/>
    <d v="2025-12-12T00:00:00"/>
    <s v="Emergency Leave"/>
    <n v="3"/>
    <s v="Sales"/>
    <x v="0"/>
    <n v="2.4107142857142856"/>
    <n v="61.777777777777779"/>
  </r>
  <r>
    <n v="418"/>
    <x v="163"/>
    <d v="2026-01-26T00:00:00"/>
    <s v="Emergency Leave"/>
    <n v="3"/>
    <s v="Sales"/>
    <x v="0"/>
    <n v="2.4080717488789238"/>
    <n v="61.607142857142861"/>
  </r>
  <r>
    <n v="419"/>
    <x v="163"/>
    <d v="2026-06-24T00:00:00"/>
    <s v="Casual Leave"/>
    <n v="2"/>
    <s v="Sales"/>
    <x v="0"/>
    <n v="2.4054054054054053"/>
    <n v="61.434977578475333"/>
  </r>
  <r>
    <n v="420"/>
    <x v="164"/>
    <d v="2025-10-27T00:00:00"/>
    <s v="Sick Leave"/>
    <n v="3"/>
    <s v="Sales"/>
    <x v="2"/>
    <n v="2.4072398190045248"/>
    <n v="61.261261261261254"/>
  </r>
  <r>
    <n v="421"/>
    <x v="164"/>
    <d v="2026-05-29T00:00:00"/>
    <s v="Emergency Leave"/>
    <n v="2"/>
    <s v="Sales"/>
    <x v="0"/>
    <n v="2.4045454545454548"/>
    <n v="61.085972850678736"/>
  </r>
  <r>
    <n v="422"/>
    <x v="164"/>
    <d v="2025-10-09T00:00:00"/>
    <s v="Sick Leave"/>
    <n v="1"/>
    <s v="Sales"/>
    <x v="0"/>
    <n v="2.4063926940639271"/>
    <n v="61.363636363636367"/>
  </r>
  <r>
    <n v="423"/>
    <x v="164"/>
    <d v="2025-11-21T00:00:00"/>
    <s v="Annual Leave"/>
    <n v="2"/>
    <s v="Sales"/>
    <x v="2"/>
    <n v="2.4128440366972477"/>
    <n v="61.187214611872143"/>
  </r>
  <r>
    <n v="424"/>
    <x v="165"/>
    <d v="2026-07-11T00:00:00"/>
    <s v="Annual Leave"/>
    <n v="2"/>
    <s v="Customer Support"/>
    <x v="0"/>
    <n v="2.414746543778802"/>
    <n v="61.009174311926607"/>
  </r>
  <r>
    <n v="425"/>
    <x v="165"/>
    <d v="2026-07-01T00:00:00"/>
    <s v="Sick Leave"/>
    <n v="2"/>
    <s v="Customer Support"/>
    <x v="0"/>
    <n v="2.4166666666666665"/>
    <n v="61.29032258064516"/>
  </r>
  <r>
    <n v="426"/>
    <x v="165"/>
    <d v="2026-03-16T00:00:00"/>
    <s v="Sick Leave"/>
    <n v="3"/>
    <s v="Customer Support"/>
    <x v="2"/>
    <n v="2.4186046511627906"/>
    <n v="61.111111111111114"/>
  </r>
  <r>
    <n v="427"/>
    <x v="166"/>
    <d v="2026-06-16T00:00:00"/>
    <s v="Casual Leave"/>
    <n v="4"/>
    <s v="IT"/>
    <x v="0"/>
    <n v="2.4158878504672896"/>
    <n v="60.930232558139529"/>
  </r>
  <r>
    <n v="428"/>
    <x v="166"/>
    <d v="2025-12-25T00:00:00"/>
    <s v="Casual Leave"/>
    <n v="4"/>
    <s v="IT"/>
    <x v="0"/>
    <n v="2.408450704225352"/>
    <n v="61.214953271028037"/>
  </r>
  <r>
    <n v="429"/>
    <x v="166"/>
    <d v="2025-12-07T00:00:00"/>
    <s v="Sick Leave"/>
    <n v="3"/>
    <s v="IT"/>
    <x v="2"/>
    <n v="2.4009433962264151"/>
    <n v="61.032863849765263"/>
  </r>
  <r>
    <n v="430"/>
    <x v="166"/>
    <d v="2026-02-20T00:00:00"/>
    <s v="Emergency Leave"/>
    <n v="2"/>
    <s v="IT"/>
    <x v="1"/>
    <n v="2.3981042654028437"/>
    <n v="60.84905660377359"/>
  </r>
  <r>
    <n v="431"/>
    <x v="167"/>
    <d v="2026-09-29T00:00:00"/>
    <s v="Casual Leave"/>
    <n v="2"/>
    <s v="Finance"/>
    <x v="0"/>
    <n v="2.4"/>
    <n v="61.137440758293835"/>
  </r>
  <r>
    <n v="432"/>
    <x v="168"/>
    <d v="2025-10-22T00:00:00"/>
    <s v="Casual Leave"/>
    <n v="4"/>
    <s v="Operations"/>
    <x v="0"/>
    <n v="2.401913875598086"/>
    <n v="61.428571428571431"/>
  </r>
  <r>
    <n v="433"/>
    <x v="168"/>
    <d v="2025-10-01T00:00:00"/>
    <s v="Annual Leave"/>
    <n v="4"/>
    <s v="Operations"/>
    <x v="2"/>
    <n v="2.3942307692307692"/>
    <n v="61.244019138755981"/>
  </r>
  <r>
    <n v="434"/>
    <x v="168"/>
    <d v="2026-06-08T00:00:00"/>
    <s v="Emergency Leave"/>
    <n v="4"/>
    <s v="Operations"/>
    <x v="2"/>
    <n v="2.3864734299516908"/>
    <n v="61.057692307692314"/>
  </r>
  <r>
    <n v="435"/>
    <x v="168"/>
    <d v="2026-05-27T00:00:00"/>
    <s v="Annual Leave"/>
    <n v="4"/>
    <s v="Operations"/>
    <x v="0"/>
    <n v="2.378640776699029"/>
    <n v="61.35265700483091"/>
  </r>
  <r>
    <n v="436"/>
    <x v="169"/>
    <d v="2026-04-27T00:00:00"/>
    <s v="Sick Leave"/>
    <n v="4"/>
    <s v="Sales"/>
    <x v="0"/>
    <n v="2.3707317073170731"/>
    <n v="61.650485436893199"/>
  </r>
  <r>
    <n v="437"/>
    <x v="169"/>
    <d v="2025-10-19T00:00:00"/>
    <s v="Sick Leave"/>
    <n v="1"/>
    <s v="Sales"/>
    <x v="2"/>
    <n v="2.3627450980392157"/>
    <n v="61.463414634146339"/>
  </r>
  <r>
    <n v="438"/>
    <x v="169"/>
    <d v="2026-04-07T00:00:00"/>
    <s v="Annual Leave"/>
    <n v="1"/>
    <s v="Sales"/>
    <x v="2"/>
    <n v="2.3694581280788176"/>
    <n v="61.274509803921575"/>
  </r>
  <r>
    <n v="439"/>
    <x v="169"/>
    <d v="2026-04-30T00:00:00"/>
    <s v="Emergency Leave"/>
    <n v="4"/>
    <s v="Sales"/>
    <x v="0"/>
    <n v="2.3762376237623761"/>
    <n v="61.576354679802961"/>
  </r>
  <r>
    <n v="440"/>
    <x v="170"/>
    <d v="2025-10-13T00:00:00"/>
    <s v="Annual Leave"/>
    <n v="4"/>
    <s v="Operations"/>
    <x v="0"/>
    <n v="2.3681592039800994"/>
    <n v="61.881188118811878"/>
  </r>
  <r>
    <n v="441"/>
    <x v="170"/>
    <d v="2025-10-09T00:00:00"/>
    <s v="Sick Leave"/>
    <n v="4"/>
    <s v="Operations"/>
    <x v="0"/>
    <n v="2.36"/>
    <n v="61.691542288557208"/>
  </r>
  <r>
    <n v="442"/>
    <x v="171"/>
    <d v="2026-07-30T00:00:00"/>
    <s v="Sick Leave"/>
    <n v="3"/>
    <s v="Customer Support"/>
    <x v="1"/>
    <n v="2.3517587939698492"/>
    <n v="61.5"/>
  </r>
  <r>
    <n v="443"/>
    <x v="171"/>
    <d v="2026-02-03T00:00:00"/>
    <s v="Sick Leave"/>
    <n v="1"/>
    <s v="Customer Support"/>
    <x v="0"/>
    <n v="2.3484848484848486"/>
    <n v="61.306532663316581"/>
  </r>
  <r>
    <n v="444"/>
    <x v="171"/>
    <d v="2026-05-13T00:00:00"/>
    <s v="Annual Leave"/>
    <n v="4"/>
    <s v="Customer Support"/>
    <x v="1"/>
    <n v="2.3553299492385786"/>
    <n v="61.616161616161612"/>
  </r>
  <r>
    <n v="445"/>
    <x v="172"/>
    <d v="2026-09-30T00:00:00"/>
    <s v="Emergency Leave"/>
    <n v="3"/>
    <s v="IT"/>
    <x v="0"/>
    <n v="2.3469387755102042"/>
    <n v="61.421319796954307"/>
  </r>
  <r>
    <n v="446"/>
    <x v="172"/>
    <d v="2026-05-26T00:00:00"/>
    <s v="Sick Leave"/>
    <n v="4"/>
    <s v="IT"/>
    <x v="0"/>
    <n v="2.3435897435897437"/>
    <n v="61.734693877551017"/>
  </r>
  <r>
    <n v="447"/>
    <x v="172"/>
    <d v="2026-02-03T00:00:00"/>
    <s v="Sick Leave"/>
    <n v="1"/>
    <s v="IT"/>
    <x v="0"/>
    <n v="2.3350515463917527"/>
    <n v="61.53846153846154"/>
  </r>
  <r>
    <n v="448"/>
    <x v="173"/>
    <d v="2025-10-28T00:00:00"/>
    <s v="Annual Leave"/>
    <n v="4"/>
    <s v="IT"/>
    <x v="1"/>
    <n v="2.3419689119170983"/>
    <n v="61.340206185567013"/>
  </r>
  <r>
    <n v="449"/>
    <x v="173"/>
    <d v="2026-08-31T00:00:00"/>
    <s v="Emergency Leave"/>
    <n v="1"/>
    <s v="IT"/>
    <x v="2"/>
    <n v="2.3333333333333335"/>
    <n v="61.139896373056992"/>
  </r>
  <r>
    <n v="450"/>
    <x v="174"/>
    <d v="2026-03-31T00:00:00"/>
    <s v="Emergency Leave"/>
    <n v="1"/>
    <s v="IT"/>
    <x v="1"/>
    <n v="2.3403141361256545"/>
    <n v="61.458333333333336"/>
  </r>
  <r>
    <n v="451"/>
    <x v="174"/>
    <d v="2025-11-04T00:00:00"/>
    <s v="Annual Leave"/>
    <n v="3"/>
    <s v="IT"/>
    <x v="0"/>
    <n v="2.3473684210526318"/>
    <n v="61.780104712041883"/>
  </r>
  <r>
    <n v="452"/>
    <x v="175"/>
    <d v="2026-06-17T00:00:00"/>
    <s v="Sick Leave"/>
    <n v="1"/>
    <s v="Finance"/>
    <x v="0"/>
    <n v="2.3439153439153437"/>
    <n v="62.10526315789474"/>
  </r>
  <r>
    <n v="453"/>
    <x v="175"/>
    <d v="2025-12-14T00:00:00"/>
    <s v="Annual Leave"/>
    <n v="1"/>
    <s v="Finance"/>
    <x v="0"/>
    <n v="2.3510638297872339"/>
    <n v="61.904761904761905"/>
  </r>
  <r>
    <n v="454"/>
    <x v="176"/>
    <d v="2026-01-20T00:00:00"/>
    <s v="Annual Leave"/>
    <n v="1"/>
    <s v="Marketing"/>
    <x v="1"/>
    <n v="2.358288770053476"/>
    <n v="61.702127659574465"/>
  </r>
  <r>
    <n v="455"/>
    <x v="176"/>
    <d v="2026-04-25T00:00:00"/>
    <s v="Annual Leave"/>
    <n v="4"/>
    <s v="Marketing"/>
    <x v="0"/>
    <n v="2.3655913978494625"/>
    <n v="61.497326203208559"/>
  </r>
  <r>
    <n v="456"/>
    <x v="176"/>
    <d v="2026-08-15T00:00:00"/>
    <s v="Annual Leave"/>
    <n v="3"/>
    <s v="Marketing"/>
    <x v="0"/>
    <n v="2.3567567567567567"/>
    <n v="61.827956989247312"/>
  </r>
  <r>
    <n v="457"/>
    <x v="176"/>
    <d v="2025-10-27T00:00:00"/>
    <s v="Casual Leave"/>
    <n v="4"/>
    <s v="Marketing"/>
    <x v="1"/>
    <n v="2.3532608695652173"/>
    <n v="61.621621621621628"/>
  </r>
  <r>
    <n v="458"/>
    <x v="177"/>
    <d v="2026-06-21T00:00:00"/>
    <s v="Casual Leave"/>
    <n v="1"/>
    <s v="Sales"/>
    <x v="0"/>
    <n v="2.3442622950819674"/>
    <n v="61.413043478260867"/>
  </r>
  <r>
    <n v="459"/>
    <x v="177"/>
    <d v="2026-04-12T00:00:00"/>
    <s v="Annual Leave"/>
    <n v="4"/>
    <s v="Sales"/>
    <x v="0"/>
    <n v="2.3516483516483517"/>
    <n v="61.748633879781423"/>
  </r>
  <r>
    <n v="460"/>
    <x v="177"/>
    <d v="2025-12-13T00:00:00"/>
    <s v="Sick Leave"/>
    <n v="2"/>
    <s v="Sales"/>
    <x v="0"/>
    <n v="2.3425414364640882"/>
    <n v="61.53846153846154"/>
  </r>
  <r>
    <n v="461"/>
    <x v="178"/>
    <d v="2026-04-15T00:00:00"/>
    <s v="Annual Leave"/>
    <n v="4"/>
    <s v="Operations"/>
    <x v="0"/>
    <n v="2.3444444444444446"/>
    <n v="61.325966850828728"/>
  </r>
  <r>
    <n v="462"/>
    <x v="178"/>
    <d v="2025-10-22T00:00:00"/>
    <s v="Casual Leave"/>
    <n v="3"/>
    <s v="Operations"/>
    <x v="0"/>
    <n v="2.3351955307262569"/>
    <n v="61.111111111111114"/>
  </r>
  <r>
    <n v="463"/>
    <x v="178"/>
    <d v="2025-12-08T00:00:00"/>
    <s v="Sick Leave"/>
    <n v="4"/>
    <s v="Operations"/>
    <x v="2"/>
    <n v="2.3314606741573032"/>
    <n v="60.893854748603346"/>
  </r>
  <r>
    <n v="464"/>
    <x v="178"/>
    <d v="2026-01-08T00:00:00"/>
    <s v="Emergency Leave"/>
    <n v="2"/>
    <s v="Operations"/>
    <x v="1"/>
    <n v="2.3220338983050848"/>
    <n v="60.674157303370791"/>
  </r>
  <r>
    <n v="465"/>
    <x v="179"/>
    <d v="2026-07-18T00:00:00"/>
    <s v="Annual Leave"/>
    <n v="2"/>
    <s v="HR"/>
    <x v="0"/>
    <n v="2.3238636363636362"/>
    <n v="61.016949152542374"/>
  </r>
  <r>
    <n v="466"/>
    <x v="179"/>
    <d v="2025-11-03T00:00:00"/>
    <s v="Sick Leave"/>
    <n v="1"/>
    <s v="HR"/>
    <x v="0"/>
    <n v="2.3257142857142856"/>
    <n v="61.363636363636367"/>
  </r>
  <r>
    <n v="467"/>
    <x v="179"/>
    <d v="2026-06-05T00:00:00"/>
    <s v="Casual Leave"/>
    <n v="2"/>
    <s v="HR"/>
    <x v="1"/>
    <n v="2.3333333333333335"/>
    <n v="61.142857142857146"/>
  </r>
  <r>
    <n v="468"/>
    <x v="179"/>
    <d v="2025-12-24T00:00:00"/>
    <s v="Emergency Leave"/>
    <n v="1"/>
    <s v="HR"/>
    <x v="0"/>
    <n v="2.3352601156069364"/>
    <n v="60.919540229885058"/>
  </r>
  <r>
    <n v="469"/>
    <x v="180"/>
    <d v="2026-03-25T00:00:00"/>
    <s v="Annual Leave"/>
    <n v="4"/>
    <s v="Customer Support"/>
    <x v="0"/>
    <n v="2.3430232558139537"/>
    <n v="61.271676300578036"/>
  </r>
  <r>
    <n v="470"/>
    <x v="180"/>
    <d v="2026-07-23T00:00:00"/>
    <s v="Annual Leave"/>
    <n v="3"/>
    <s v="Customer Support"/>
    <x v="2"/>
    <n v="2.3333333333333335"/>
    <n v="61.046511627906973"/>
  </r>
  <r>
    <n v="471"/>
    <x v="180"/>
    <d v="2025-12-19T00:00:00"/>
    <s v="Annual Leave"/>
    <n v="2"/>
    <s v="Customer Support"/>
    <x v="0"/>
    <n v="2.3294117647058825"/>
    <n v="60.818713450292393"/>
  </r>
  <r>
    <n v="472"/>
    <x v="181"/>
    <d v="2026-06-05T00:00:00"/>
    <s v="Annual Leave"/>
    <n v="3"/>
    <s v="Sales"/>
    <x v="2"/>
    <n v="2.331360946745562"/>
    <n v="61.176470588235297"/>
  </r>
  <r>
    <n v="473"/>
    <x v="181"/>
    <d v="2026-03-03T00:00:00"/>
    <s v="Emergency Leave"/>
    <n v="4"/>
    <s v="Sales"/>
    <x v="0"/>
    <n v="2.3273809523809526"/>
    <n v="60.946745562130175"/>
  </r>
  <r>
    <n v="474"/>
    <x v="181"/>
    <d v="2026-07-30T00:00:00"/>
    <s v="Annual Leave"/>
    <n v="3"/>
    <s v="Sales"/>
    <x v="0"/>
    <n v="2.317365269461078"/>
    <n v="61.30952380952381"/>
  </r>
  <r>
    <n v="475"/>
    <x v="182"/>
    <d v="2026-07-12T00:00:00"/>
    <s v="Sick Leave"/>
    <n v="2"/>
    <s v="Customer Support"/>
    <x v="0"/>
    <n v="2.3132530120481927"/>
    <n v="61.077844311377248"/>
  </r>
  <r>
    <n v="476"/>
    <x v="183"/>
    <d v="2025-12-18T00:00:00"/>
    <s v="Casual Leave"/>
    <n v="3"/>
    <s v="Sales"/>
    <x v="1"/>
    <n v="2.315151515151515"/>
    <n v="60.843373493975903"/>
  </r>
  <r>
    <n v="477"/>
    <x v="183"/>
    <d v="2026-04-23T00:00:00"/>
    <s v="Emergency Leave"/>
    <n v="3"/>
    <s v="Sales"/>
    <x v="0"/>
    <n v="2.3109756097560976"/>
    <n v="60.606060606060609"/>
  </r>
  <r>
    <n v="478"/>
    <x v="183"/>
    <d v="2025-11-11T00:00:00"/>
    <s v="Sick Leave"/>
    <n v="2"/>
    <s v="Sales"/>
    <x v="2"/>
    <n v="2.3067484662576687"/>
    <n v="60.975609756097562"/>
  </r>
  <r>
    <n v="479"/>
    <x v="184"/>
    <d v="2026-09-05T00:00:00"/>
    <s v="Casual Leave"/>
    <n v="3"/>
    <s v="HR"/>
    <x v="0"/>
    <n v="2.308641975308642"/>
    <n v="60.736196319018411"/>
  </r>
  <r>
    <n v="480"/>
    <x v="184"/>
    <d v="2026-05-12T00:00:00"/>
    <s v="Emergency Leave"/>
    <n v="4"/>
    <s v="HR"/>
    <x v="0"/>
    <n v="2.3043478260869565"/>
    <n v="61.111111111111114"/>
  </r>
  <r>
    <n v="481"/>
    <x v="184"/>
    <d v="2026-05-01T00:00:00"/>
    <s v="Emergency Leave"/>
    <n v="1"/>
    <s v="HR"/>
    <x v="0"/>
    <n v="2.2937500000000002"/>
    <n v="60.869565217391312"/>
  </r>
  <r>
    <n v="482"/>
    <x v="185"/>
    <d v="2025-11-30T00:00:00"/>
    <s v="Annual Leave"/>
    <n v="2"/>
    <s v="Finance"/>
    <x v="1"/>
    <n v="2.3018867924528301"/>
    <n v="60.624999999999993"/>
  </r>
  <r>
    <n v="483"/>
    <x v="185"/>
    <d v="2026-06-09T00:00:00"/>
    <s v="Emergency Leave"/>
    <n v="2"/>
    <s v="Finance"/>
    <x v="1"/>
    <n v="2.3037974683544302"/>
    <n v="60.377358490566039"/>
  </r>
  <r>
    <n v="484"/>
    <x v="186"/>
    <d v="2026-01-29T00:00:00"/>
    <s v="Annual Leave"/>
    <n v="2"/>
    <s v="IT"/>
    <x v="2"/>
    <n v="2.3057324840764331"/>
    <n v="60.75949367088608"/>
  </r>
  <r>
    <n v="485"/>
    <x v="186"/>
    <d v="2025-12-24T00:00:00"/>
    <s v="Annual Leave"/>
    <n v="2"/>
    <s v="IT"/>
    <x v="2"/>
    <n v="2.3076923076923075"/>
    <n v="61.146496815286625"/>
  </r>
  <r>
    <n v="486"/>
    <x v="186"/>
    <d v="2026-03-17T00:00:00"/>
    <s v="Emergency Leave"/>
    <n v="1"/>
    <s v="IT"/>
    <x v="0"/>
    <n v="2.3096774193548386"/>
    <n v="61.53846153846154"/>
  </r>
  <r>
    <n v="487"/>
    <x v="187"/>
    <d v="2026-07-04T00:00:00"/>
    <s v="Emergency Leave"/>
    <n v="4"/>
    <s v="Finance"/>
    <x v="0"/>
    <n v="2.3181818181818183"/>
    <n v="61.935483870967744"/>
  </r>
  <r>
    <n v="488"/>
    <x v="188"/>
    <d v="2025-10-27T00:00:00"/>
    <s v="Casual Leave"/>
    <n v="4"/>
    <s v="HR"/>
    <x v="0"/>
    <n v="2.3071895424836599"/>
    <n v="61.688311688311693"/>
  </r>
  <r>
    <n v="489"/>
    <x v="189"/>
    <d v="2026-02-27T00:00:00"/>
    <s v="Annual Leave"/>
    <n v="3"/>
    <s v="HR"/>
    <x v="2"/>
    <n v="2.2960526315789473"/>
    <n v="61.437908496732028"/>
  </r>
  <r>
    <n v="490"/>
    <x v="190"/>
    <d v="2026-03-08T00:00:00"/>
    <s v="Annual Leave"/>
    <n v="1"/>
    <s v="Operations"/>
    <x v="0"/>
    <n v="2.2913907284768213"/>
    <n v="61.184210526315788"/>
  </r>
  <r>
    <n v="491"/>
    <x v="191"/>
    <d v="2025-11-12T00:00:00"/>
    <s v="Casual Leave"/>
    <n v="1"/>
    <s v="Sales"/>
    <x v="0"/>
    <n v="2.2999999999999998"/>
    <n v="61.589403973509938"/>
  </r>
  <r>
    <n v="492"/>
    <x v="191"/>
    <d v="2025-12-27T00:00:00"/>
    <s v="Emergency Leave"/>
    <n v="4"/>
    <s v="Sales"/>
    <x v="0"/>
    <n v="2.3087248322147653"/>
    <n v="61.333333333333329"/>
  </r>
  <r>
    <n v="493"/>
    <x v="191"/>
    <d v="2026-02-14T00:00:00"/>
    <s v="Annual Leave"/>
    <n v="1"/>
    <s v="Sales"/>
    <x v="2"/>
    <n v="2.2972972972972974"/>
    <n v="61.073825503355707"/>
  </r>
  <r>
    <n v="494"/>
    <x v="191"/>
    <d v="2026-02-23T00:00:00"/>
    <s v="Sick Leave"/>
    <n v="1"/>
    <s v="Sales"/>
    <x v="1"/>
    <n v="2.306122448979592"/>
    <n v="60.810810810810814"/>
  </r>
  <r>
    <n v="495"/>
    <x v="192"/>
    <d v="2026-02-11T00:00:00"/>
    <s v="Sick Leave"/>
    <n v="1"/>
    <s v="HR"/>
    <x v="1"/>
    <n v="2.3150684931506849"/>
    <n v="61.224489795918366"/>
  </r>
  <r>
    <n v="496"/>
    <x v="192"/>
    <d v="2026-08-07T00:00:00"/>
    <s v="Sick Leave"/>
    <n v="3"/>
    <s v="HR"/>
    <x v="0"/>
    <n v="2.3241379310344827"/>
    <n v="61.643835616438359"/>
  </r>
  <r>
    <n v="497"/>
    <x v="192"/>
    <d v="2026-04-20T00:00:00"/>
    <s v="Annual Leave"/>
    <n v="2"/>
    <s v="HR"/>
    <x v="1"/>
    <n v="2.3194444444444446"/>
    <n v="62.068965517241381"/>
  </r>
  <r>
    <n v="498"/>
    <x v="192"/>
    <d v="2026-05-20T00:00:00"/>
    <s v="Annual Leave"/>
    <n v="3"/>
    <s v="HR"/>
    <x v="0"/>
    <n v="2.3216783216783217"/>
    <n v="61.805555555555557"/>
  </r>
  <r>
    <n v="499"/>
    <x v="193"/>
    <d v="2026-05-03T00:00:00"/>
    <s v="Sick Leave"/>
    <n v="3"/>
    <s v="HR"/>
    <x v="0"/>
    <n v="2.316901408450704"/>
    <n v="62.23776223776224"/>
  </r>
  <r>
    <n v="500"/>
    <x v="193"/>
    <d v="2026-01-16T00:00:00"/>
    <s v="Sick Leave"/>
    <n v="4"/>
    <s v="HR"/>
    <x v="0"/>
    <n v="2.3120567375886525"/>
    <n v="61.971830985915489"/>
  </r>
  <r>
    <n v="501"/>
    <x v="193"/>
    <d v="2026-09-26T00:00:00"/>
    <s v="Sick Leave"/>
    <n v="1"/>
    <s v="HR"/>
    <x v="0"/>
    <n v="2.2999999999999998"/>
    <n v="61.702127659574465"/>
  </r>
  <r>
    <n v="502"/>
    <x v="194"/>
    <d v="2025-11-30T00:00:00"/>
    <s v="Sick Leave"/>
    <n v="1"/>
    <s v="HR"/>
    <x v="1"/>
    <n v="2.3093525179856114"/>
    <n v="61.428571428571431"/>
  </r>
  <r>
    <n v="503"/>
    <x v="194"/>
    <d v="2025-12-04T00:00:00"/>
    <s v="Sick Leave"/>
    <n v="1"/>
    <s v="HR"/>
    <x v="0"/>
    <n v="2.318840579710145"/>
    <n v="61.151079136690647"/>
  </r>
  <r>
    <n v="504"/>
    <x v="194"/>
    <d v="2026-03-20T00:00:00"/>
    <s v="Annual Leave"/>
    <n v="2"/>
    <s v="HR"/>
    <x v="1"/>
    <n v="2.3284671532846715"/>
    <n v="61.594202898550719"/>
  </r>
  <r>
    <n v="505"/>
    <x v="194"/>
    <d v="2026-05-11T00:00:00"/>
    <s v="Emergency Leave"/>
    <n v="1"/>
    <s v="HR"/>
    <x v="2"/>
    <n v="2.3308823529411766"/>
    <n v="61.313868613138688"/>
  </r>
  <r>
    <n v="506"/>
    <x v="195"/>
    <d v="2026-03-04T00:00:00"/>
    <s v="Sick Leave"/>
    <n v="4"/>
    <s v="Customer Support"/>
    <x v="0"/>
    <n v="2.3407407407407406"/>
    <n v="61.764705882352942"/>
  </r>
  <r>
    <n v="507"/>
    <x v="195"/>
    <d v="2026-04-05T00:00:00"/>
    <s v="Sick Leave"/>
    <n v="4"/>
    <s v="Customer Support"/>
    <x v="0"/>
    <n v="2.3283582089552239"/>
    <n v="62.222222222222221"/>
  </r>
  <r>
    <n v="508"/>
    <x v="195"/>
    <d v="2026-03-26T00:00:00"/>
    <s v="Casual Leave"/>
    <n v="1"/>
    <s v="Customer Support"/>
    <x v="0"/>
    <n v="2.3157894736842106"/>
    <n v="61.940298507462686"/>
  </r>
  <r>
    <n v="509"/>
    <x v="195"/>
    <d v="2026-02-07T00:00:00"/>
    <s v="Emergency Leave"/>
    <n v="2"/>
    <s v="Customer Support"/>
    <x v="1"/>
    <n v="2.3257575757575757"/>
    <n v="61.65413533834586"/>
  </r>
  <r>
    <n v="510"/>
    <x v="196"/>
    <d v="2026-09-03T00:00:00"/>
    <s v="Emergency Leave"/>
    <n v="3"/>
    <s v="IT"/>
    <x v="1"/>
    <n v="2.3282442748091605"/>
    <n v="61.363636363636367"/>
  </r>
  <r>
    <n v="511"/>
    <x v="196"/>
    <d v="2025-12-08T00:00:00"/>
    <s v="Annual Leave"/>
    <n v="4"/>
    <s v="IT"/>
    <x v="0"/>
    <n v="2.3230769230769233"/>
    <n v="61.832061068702295"/>
  </r>
  <r>
    <n v="512"/>
    <x v="196"/>
    <d v="2026-07-18T00:00:00"/>
    <s v="Sick Leave"/>
    <n v="1"/>
    <s v="IT"/>
    <x v="0"/>
    <n v="2.3100775193798451"/>
    <n v="62.307692307692307"/>
  </r>
  <r>
    <n v="513"/>
    <x v="197"/>
    <d v="2026-05-01T00:00:00"/>
    <s v="Casual Leave"/>
    <n v="4"/>
    <s v="Sales"/>
    <x v="0"/>
    <n v="2.3203125"/>
    <n v="62.015503875968989"/>
  </r>
  <r>
    <n v="514"/>
    <x v="197"/>
    <d v="2025-12-15T00:00:00"/>
    <s v="Casual Leave"/>
    <n v="2"/>
    <s v="Sales"/>
    <x v="0"/>
    <n v="2.3070866141732282"/>
    <n v="61.71875"/>
  </r>
  <r>
    <n v="515"/>
    <x v="198"/>
    <d v="2026-08-06T00:00:00"/>
    <s v="Emergency Leave"/>
    <n v="3"/>
    <s v="Marketing"/>
    <x v="0"/>
    <n v="2.3095238095238093"/>
    <n v="61.417322834645674"/>
  </r>
  <r>
    <n v="516"/>
    <x v="198"/>
    <d v="2026-01-01T00:00:00"/>
    <s v="Emergency Leave"/>
    <n v="1"/>
    <s v="Marketing"/>
    <x v="0"/>
    <n v="2.3039999999999998"/>
    <n v="61.111111111111114"/>
  </r>
  <r>
    <n v="517"/>
    <x v="198"/>
    <d v="2026-08-20T00:00:00"/>
    <s v="Annual Leave"/>
    <n v="3"/>
    <s v="Marketing"/>
    <x v="2"/>
    <n v="2.314516129032258"/>
    <n v="60.8"/>
  </r>
  <r>
    <n v="518"/>
    <x v="198"/>
    <d v="2026-04-09T00:00:00"/>
    <s v="Annual Leave"/>
    <n v="1"/>
    <s v="Marketing"/>
    <x v="0"/>
    <n v="2.3089430894308944"/>
    <n v="60.483870967741936"/>
  </r>
  <r>
    <n v="519"/>
    <x v="199"/>
    <d v="2026-06-14T00:00:00"/>
    <s v="Sick Leave"/>
    <n v="2"/>
    <s v="IT"/>
    <x v="0"/>
    <n v="2.319672131147541"/>
    <n v="60.975609756097562"/>
  </r>
  <r>
    <n v="520"/>
    <x v="199"/>
    <d v="2026-03-20T00:00:00"/>
    <s v="Annual Leave"/>
    <n v="4"/>
    <s v="IT"/>
    <x v="2"/>
    <n v="2.3223140495867769"/>
    <n v="60.655737704918032"/>
  </r>
  <r>
    <n v="521"/>
    <x v="199"/>
    <d v="2026-07-30T00:00:00"/>
    <s v="Sick Leave"/>
    <n v="4"/>
    <s v="IT"/>
    <x v="0"/>
    <n v="2.3083333333333331"/>
    <n v="60.330578512396691"/>
  </r>
  <r>
    <n v="522"/>
    <x v="200"/>
    <d v="2026-07-30T00:00:00"/>
    <s v="Annual Leave"/>
    <n v="4"/>
    <s v="Finance"/>
    <x v="0"/>
    <n v="2.2941176470588234"/>
    <n v="60.833333333333329"/>
  </r>
  <r>
    <n v="523"/>
    <x v="200"/>
    <d v="2026-02-23T00:00:00"/>
    <s v="Annual Leave"/>
    <n v="1"/>
    <s v="Finance"/>
    <x v="1"/>
    <n v="2.2796610169491527"/>
    <n v="60.504201680672267"/>
  </r>
  <r>
    <n v="524"/>
    <x v="200"/>
    <d v="2026-07-29T00:00:00"/>
    <s v="Casual Leave"/>
    <n v="4"/>
    <s v="Finance"/>
    <x v="1"/>
    <n v="2.2905982905982905"/>
    <n v="60.169491525423723"/>
  </r>
  <r>
    <n v="525"/>
    <x v="201"/>
    <d v="2026-08-08T00:00:00"/>
    <s v="Sick Leave"/>
    <n v="3"/>
    <s v="Finance"/>
    <x v="2"/>
    <n v="2.2758620689655173"/>
    <n v="60.683760683760681"/>
  </r>
  <r>
    <n v="526"/>
    <x v="201"/>
    <d v="2026-01-23T00:00:00"/>
    <s v="Emergency Leave"/>
    <n v="3"/>
    <s v="Finance"/>
    <x v="0"/>
    <n v="2.2695652173913046"/>
    <n v="61.206896551724135"/>
  </r>
  <r>
    <n v="527"/>
    <x v="201"/>
    <d v="2026-08-30T00:00:00"/>
    <s v="Casual Leave"/>
    <n v="2"/>
    <s v="Finance"/>
    <x v="2"/>
    <n v="2.263157894736842"/>
    <n v="61.739130434782609"/>
  </r>
  <r>
    <n v="528"/>
    <x v="202"/>
    <d v="2026-04-21T00:00:00"/>
    <s v="Annual Leave"/>
    <n v="1"/>
    <s v="HR"/>
    <x v="2"/>
    <n v="2.2654867256637168"/>
    <n v="61.403508771929829"/>
  </r>
  <r>
    <n v="529"/>
    <x v="202"/>
    <d v="2026-01-26T00:00:00"/>
    <s v="Casual Leave"/>
    <n v="2"/>
    <s v="HR"/>
    <x v="1"/>
    <n v="2.2767857142857144"/>
    <n v="61.946902654867252"/>
  </r>
  <r>
    <n v="530"/>
    <x v="203"/>
    <d v="2026-04-22T00:00:00"/>
    <s v="Casual Leave"/>
    <n v="4"/>
    <s v="Operations"/>
    <x v="0"/>
    <n v="2.2792792792792791"/>
    <n v="62.5"/>
  </r>
  <r>
    <n v="531"/>
    <x v="204"/>
    <d v="2026-07-02T00:00:00"/>
    <s v="Emergency Leave"/>
    <n v="1"/>
    <s v="Customer Support"/>
    <x v="2"/>
    <n v="2.2636363636363637"/>
    <n v="63.063063063063062"/>
  </r>
  <r>
    <n v="532"/>
    <x v="204"/>
    <d v="2026-08-24T00:00:00"/>
    <s v="Annual Leave"/>
    <n v="1"/>
    <s v="Customer Support"/>
    <x v="1"/>
    <n v="2.2752293577981653"/>
    <n v="62.727272727272734"/>
  </r>
  <r>
    <n v="533"/>
    <x v="205"/>
    <d v="2026-01-18T00:00:00"/>
    <s v="Annual Leave"/>
    <n v="1"/>
    <s v="Finance"/>
    <x v="0"/>
    <n v="2.2870370370370372"/>
    <n v="63.302752293577981"/>
  </r>
  <r>
    <n v="534"/>
    <x v="205"/>
    <d v="2026-04-18T00:00:00"/>
    <s v="Annual Leave"/>
    <n v="2"/>
    <s v="Finance"/>
    <x v="2"/>
    <n v="2.2990654205607477"/>
    <n v="63.888888888888886"/>
  </r>
  <r>
    <n v="535"/>
    <x v="205"/>
    <d v="2026-09-01T00:00:00"/>
    <s v="Sick Leave"/>
    <n v="1"/>
    <s v="Finance"/>
    <x v="1"/>
    <n v="2.3018867924528301"/>
    <n v="63.551401869158873"/>
  </r>
  <r>
    <n v="536"/>
    <x v="205"/>
    <d v="2025-11-10T00:00:00"/>
    <s v="Annual Leave"/>
    <n v="2"/>
    <s v="Finance"/>
    <x v="1"/>
    <n v="2.3142857142857145"/>
    <n v="64.15094339622641"/>
  </r>
  <r>
    <n v="537"/>
    <x v="206"/>
    <d v="2026-02-10T00:00:00"/>
    <s v="Sick Leave"/>
    <n v="3"/>
    <s v="Sales"/>
    <x v="0"/>
    <n v="2.3173076923076925"/>
    <n v="64.761904761904759"/>
  </r>
  <r>
    <n v="538"/>
    <x v="207"/>
    <d v="2025-12-22T00:00:00"/>
    <s v="Emergency Leave"/>
    <n v="2"/>
    <s v="Customer Support"/>
    <x v="0"/>
    <n v="2.3106796116504853"/>
    <n v="65.384615384615387"/>
  </r>
  <r>
    <n v="539"/>
    <x v="207"/>
    <d v="2026-04-04T00:00:00"/>
    <s v="Casual Leave"/>
    <n v="3"/>
    <s v="Customer Support"/>
    <x v="0"/>
    <n v="2.3137254901960786"/>
    <n v="65.048543689320397"/>
  </r>
  <r>
    <n v="540"/>
    <x v="207"/>
    <d v="2026-07-05T00:00:00"/>
    <s v="Casual Leave"/>
    <n v="1"/>
    <s v="Customer Support"/>
    <x v="0"/>
    <n v="2.3069306930693068"/>
    <n v="64.705882352941174"/>
  </r>
  <r>
    <n v="541"/>
    <x v="208"/>
    <d v="2025-11-03T00:00:00"/>
    <s v="Annual Leave"/>
    <n v="2"/>
    <s v="HR"/>
    <x v="0"/>
    <n v="2.3199999999999998"/>
    <n v="64.356435643564353"/>
  </r>
  <r>
    <n v="542"/>
    <x v="209"/>
    <d v="2026-03-22T00:00:00"/>
    <s v="Casual Leave"/>
    <n v="4"/>
    <s v="Finance"/>
    <x v="2"/>
    <n v="2.3232323232323231"/>
    <n v="64"/>
  </r>
  <r>
    <n v="543"/>
    <x v="209"/>
    <d v="2025-12-02T00:00:00"/>
    <s v="Emergency Leave"/>
    <n v="3"/>
    <s v="Finance"/>
    <x v="0"/>
    <n v="2.306122448979592"/>
    <n v="63.636363636363633"/>
  </r>
  <r>
    <n v="544"/>
    <x v="209"/>
    <d v="2026-04-01T00:00:00"/>
    <s v="Casual Leave"/>
    <n v="3"/>
    <s v="Finance"/>
    <x v="0"/>
    <n v="2.2989690721649483"/>
    <n v="64.285714285714292"/>
  </r>
  <r>
    <n v="545"/>
    <x v="210"/>
    <d v="2026-01-05T00:00:00"/>
    <s v="Annual Leave"/>
    <n v="1"/>
    <s v="Customer Support"/>
    <x v="2"/>
    <n v="2.2916666666666665"/>
    <n v="63.917525773195869"/>
  </r>
  <r>
    <n v="546"/>
    <x v="210"/>
    <d v="2025-11-14T00:00:00"/>
    <s v="Casual Leave"/>
    <n v="2"/>
    <s v="Customer Support"/>
    <x v="0"/>
    <n v="2.3052631578947369"/>
    <n v="63.541666666666664"/>
  </r>
  <r>
    <n v="547"/>
    <x v="210"/>
    <d v="2026-03-25T00:00:00"/>
    <s v="Sick Leave"/>
    <n v="2"/>
    <s v="Customer Support"/>
    <x v="1"/>
    <n v="2.3085106382978724"/>
    <n v="64.21052631578948"/>
  </r>
  <r>
    <n v="548"/>
    <x v="211"/>
    <d v="2025-10-16T00:00:00"/>
    <s v="Annual Leave"/>
    <n v="4"/>
    <s v="Sales"/>
    <x v="1"/>
    <n v="2.3118279569892475"/>
    <n v="63.829787234042556"/>
  </r>
  <r>
    <n v="549"/>
    <x v="211"/>
    <d v="2025-11-23T00:00:00"/>
    <s v="Emergency Leave"/>
    <n v="2"/>
    <s v="Sales"/>
    <x v="0"/>
    <n v="2.2934782608695654"/>
    <n v="64.516129032258064"/>
  </r>
  <r>
    <n v="550"/>
    <x v="212"/>
    <d v="2026-08-14T00:00:00"/>
    <s v="Emergency Leave"/>
    <n v="1"/>
    <s v="Finance"/>
    <x v="0"/>
    <n v="2.2967032967032965"/>
    <n v="65.217391304347828"/>
  </r>
  <r>
    <n v="551"/>
    <x v="213"/>
    <d v="2026-07-13T00:00:00"/>
    <s v="Emergency Leave"/>
    <n v="4"/>
    <s v="IT"/>
    <x v="0"/>
    <n v="2.3111111111111109"/>
    <n v="64.835164835164832"/>
  </r>
  <r>
    <n v="552"/>
    <x v="213"/>
    <d v="2026-08-25T00:00:00"/>
    <s v="Annual Leave"/>
    <n v="2"/>
    <s v="IT"/>
    <x v="0"/>
    <n v="2.292134831460674"/>
    <n v="64.444444444444443"/>
  </r>
  <r>
    <n v="553"/>
    <x v="213"/>
    <d v="2025-10-19T00:00:00"/>
    <s v="Emergency Leave"/>
    <n v="2"/>
    <s v="IT"/>
    <x v="0"/>
    <n v="2.2954545454545454"/>
    <n v="64.044943820224717"/>
  </r>
  <r>
    <n v="554"/>
    <x v="214"/>
    <d v="2026-03-31T00:00:00"/>
    <s v="Casual Leave"/>
    <n v="3"/>
    <s v="Customer Support"/>
    <x v="0"/>
    <n v="2.2988505747126435"/>
    <n v="63.636363636363633"/>
  </r>
  <r>
    <n v="555"/>
    <x v="214"/>
    <d v="2026-05-01T00:00:00"/>
    <s v="Casual Leave"/>
    <n v="3"/>
    <s v="Customer Support"/>
    <x v="1"/>
    <n v="2.2906976744186047"/>
    <n v="63.218390804597703"/>
  </r>
  <r>
    <n v="556"/>
    <x v="214"/>
    <d v="2025-11-13T00:00:00"/>
    <s v="Sick Leave"/>
    <n v="1"/>
    <s v="Customer Support"/>
    <x v="2"/>
    <n v="2.2823529411764705"/>
    <n v="62.790697674418603"/>
  </r>
  <r>
    <n v="557"/>
    <x v="214"/>
    <d v="2026-06-24T00:00:00"/>
    <s v="Casual Leave"/>
    <n v="2"/>
    <s v="Customer Support"/>
    <x v="1"/>
    <n v="2.2976190476190474"/>
    <n v="63.529411764705877"/>
  </r>
  <r>
    <n v="558"/>
    <x v="215"/>
    <d v="2026-07-11T00:00:00"/>
    <s v="Annual Leave"/>
    <n v="1"/>
    <s v="Finance"/>
    <x v="2"/>
    <n v="2.3012048192771086"/>
    <n v="64.285714285714292"/>
  </r>
  <r>
    <n v="559"/>
    <x v="215"/>
    <d v="2025-10-17T00:00:00"/>
    <s v="Annual Leave"/>
    <n v="2"/>
    <s v="Finance"/>
    <x v="0"/>
    <n v="2.3170731707317072"/>
    <n v="65.060240963855421"/>
  </r>
  <r>
    <n v="560"/>
    <x v="215"/>
    <d v="2026-07-02T00:00:00"/>
    <s v="Emergency Leave"/>
    <n v="3"/>
    <s v="Finance"/>
    <x v="0"/>
    <n v="2.3209876543209877"/>
    <n v="65.853658536585371"/>
  </r>
  <r>
    <n v="561"/>
    <x v="216"/>
    <d v="2026-09-06T00:00:00"/>
    <s v="Sick Leave"/>
    <n v="3"/>
    <s v="IT"/>
    <x v="1"/>
    <n v="2.3125"/>
    <n v="65.432098765432102"/>
  </r>
  <r>
    <n v="562"/>
    <x v="216"/>
    <d v="2025-12-18T00:00:00"/>
    <s v="Annual Leave"/>
    <n v="3"/>
    <s v="IT"/>
    <x v="1"/>
    <n v="2.3037974683544302"/>
    <n v="65"/>
  </r>
  <r>
    <n v="563"/>
    <x v="217"/>
    <d v="2026-04-05T00:00:00"/>
    <s v="Casual Leave"/>
    <n v="4"/>
    <s v="Sales"/>
    <x v="0"/>
    <n v="2.2948717948717947"/>
    <n v="65.822784810126578"/>
  </r>
  <r>
    <n v="564"/>
    <x v="217"/>
    <d v="2026-03-03T00:00:00"/>
    <s v="Emergency Leave"/>
    <n v="1"/>
    <s v="Sales"/>
    <x v="0"/>
    <n v="2.2727272727272729"/>
    <n v="66.666666666666657"/>
  </r>
  <r>
    <n v="565"/>
    <x v="217"/>
    <d v="2026-02-23T00:00:00"/>
    <s v="Annual Leave"/>
    <n v="2"/>
    <s v="Sales"/>
    <x v="0"/>
    <n v="2.2894736842105261"/>
    <n v="66.233766233766232"/>
  </r>
  <r>
    <n v="566"/>
    <x v="217"/>
    <d v="2025-12-10T00:00:00"/>
    <s v="Casual Leave"/>
    <n v="3"/>
    <s v="Sales"/>
    <x v="0"/>
    <n v="2.2933333333333334"/>
    <n v="65.789473684210535"/>
  </r>
  <r>
    <n v="567"/>
    <x v="218"/>
    <d v="2026-03-20T00:00:00"/>
    <s v="Annual Leave"/>
    <n v="1"/>
    <s v="Sales"/>
    <x v="0"/>
    <n v="2.2837837837837838"/>
    <n v="65.333333333333329"/>
  </r>
  <r>
    <n v="568"/>
    <x v="218"/>
    <d v="2026-07-23T00:00:00"/>
    <s v="Sick Leave"/>
    <n v="1"/>
    <s v="Sales"/>
    <x v="0"/>
    <n v="2.3013698630136985"/>
    <n v="64.86486486486487"/>
  </r>
  <r>
    <n v="569"/>
    <x v="219"/>
    <d v="2026-03-09T00:00:00"/>
    <s v="Casual Leave"/>
    <n v="3"/>
    <s v="Customer Support"/>
    <x v="2"/>
    <n v="2.3194444444444446"/>
    <n v="64.38356164383562"/>
  </r>
  <r>
    <n v="570"/>
    <x v="219"/>
    <d v="2026-09-02T00:00:00"/>
    <s v="Annual Leave"/>
    <n v="1"/>
    <s v="Customer Support"/>
    <x v="1"/>
    <n v="2.3098591549295775"/>
    <n v="63.888888888888886"/>
  </r>
  <r>
    <n v="571"/>
    <x v="220"/>
    <d v="2026-05-04T00:00:00"/>
    <s v="Casual Leave"/>
    <n v="3"/>
    <s v="Operations"/>
    <x v="0"/>
    <n v="2.3285714285714287"/>
    <n v="64.788732394366207"/>
  </r>
  <r>
    <n v="572"/>
    <x v="220"/>
    <d v="2025-10-27T00:00:00"/>
    <s v="Sick Leave"/>
    <n v="1"/>
    <s v="Operations"/>
    <x v="0"/>
    <n v="2.318840579710145"/>
    <n v="65.714285714285708"/>
  </r>
  <r>
    <n v="573"/>
    <x v="221"/>
    <d v="2025-10-03T00:00:00"/>
    <s v="Casual Leave"/>
    <n v="4"/>
    <s v="HR"/>
    <x v="0"/>
    <n v="2.3382352941176472"/>
    <n v="65.217391304347828"/>
  </r>
  <r>
    <n v="574"/>
    <x v="221"/>
    <d v="2026-05-29T00:00:00"/>
    <s v="Annual Leave"/>
    <n v="4"/>
    <s v="HR"/>
    <x v="2"/>
    <n v="2.3134328358208953"/>
    <n v="64.705882352941174"/>
  </r>
  <r>
    <n v="575"/>
    <x v="221"/>
    <d v="2025-11-24T00:00:00"/>
    <s v="Annual Leave"/>
    <n v="2"/>
    <s v="HR"/>
    <x v="2"/>
    <n v="2.2878787878787881"/>
    <n v="64.179104477611943"/>
  </r>
  <r>
    <n v="576"/>
    <x v="221"/>
    <d v="2026-07-15T00:00:00"/>
    <s v="Sick Leave"/>
    <n v="1"/>
    <s v="HR"/>
    <x v="0"/>
    <n v="2.2923076923076922"/>
    <n v="65.151515151515156"/>
  </r>
  <r>
    <n v="577"/>
    <x v="222"/>
    <d v="2026-01-03T00:00:00"/>
    <s v="Casual Leave"/>
    <n v="1"/>
    <s v="Marketing"/>
    <x v="1"/>
    <n v="2.3125"/>
    <n v="66.153846153846146"/>
  </r>
  <r>
    <n v="578"/>
    <x v="223"/>
    <d v="2026-09-28T00:00:00"/>
    <s v="Sick Leave"/>
    <n v="2"/>
    <s v="Sales"/>
    <x v="2"/>
    <n v="2.3333333333333335"/>
    <n v="65.625"/>
  </r>
  <r>
    <n v="579"/>
    <x v="224"/>
    <d v="2026-04-27T00:00:00"/>
    <s v="Casual Leave"/>
    <n v="3"/>
    <s v="Marketing"/>
    <x v="2"/>
    <n v="2.338709677419355"/>
    <n v="66.666666666666657"/>
  </r>
  <r>
    <n v="580"/>
    <x v="225"/>
    <d v="2026-06-10T00:00:00"/>
    <s v="Sick Leave"/>
    <n v="1"/>
    <s v="HR"/>
    <x v="1"/>
    <n v="2.3278688524590163"/>
    <n v="67.741935483870961"/>
  </r>
  <r>
    <n v="581"/>
    <x v="226"/>
    <d v="2026-08-10T00:00:00"/>
    <s v="Emergency Leave"/>
    <n v="2"/>
    <s v="Marketing"/>
    <x v="2"/>
    <n v="2.35"/>
    <n v="68.852459016393439"/>
  </r>
  <r>
    <n v="582"/>
    <x v="227"/>
    <d v="2026-03-26T00:00:00"/>
    <s v="Sick Leave"/>
    <n v="4"/>
    <s v="Finance"/>
    <x v="2"/>
    <n v="2.3559322033898304"/>
    <n v="70"/>
  </r>
  <r>
    <n v="583"/>
    <x v="227"/>
    <d v="2026-04-29T00:00:00"/>
    <s v="Annual Leave"/>
    <n v="3"/>
    <s v="Finance"/>
    <x v="0"/>
    <n v="2.3275862068965516"/>
    <n v="71.186440677966104"/>
  </r>
  <r>
    <n v="584"/>
    <x v="228"/>
    <d v="2025-12-03T00:00:00"/>
    <s v="Emergency Leave"/>
    <n v="3"/>
    <s v="Sales"/>
    <x v="2"/>
    <n v="2.3157894736842106"/>
    <n v="72.41379310344827"/>
  </r>
  <r>
    <n v="585"/>
    <x v="228"/>
    <d v="2026-06-12T00:00:00"/>
    <s v="Casual Leave"/>
    <n v="1"/>
    <s v="Sales"/>
    <x v="1"/>
    <n v="2.3035714285714284"/>
    <n v="71.929824561403507"/>
  </r>
  <r>
    <n v="586"/>
    <x v="228"/>
    <d v="2026-07-30T00:00:00"/>
    <s v="Sick Leave"/>
    <n v="3"/>
    <s v="Sales"/>
    <x v="0"/>
    <n v="2.3272727272727272"/>
    <n v="73.214285714285708"/>
  </r>
  <r>
    <n v="587"/>
    <x v="228"/>
    <d v="2026-07-23T00:00:00"/>
    <s v="Sick Leave"/>
    <n v="1"/>
    <s v="Sales"/>
    <x v="0"/>
    <n v="2.3148148148148149"/>
    <n v="74.545454545454547"/>
  </r>
  <r>
    <n v="588"/>
    <x v="229"/>
    <d v="2026-09-30T00:00:00"/>
    <s v="Casual Leave"/>
    <n v="2"/>
    <s v="IT"/>
    <x v="0"/>
    <n v="2.3396226415094339"/>
    <n v="74.074074074074076"/>
  </r>
  <r>
    <n v="589"/>
    <x v="230"/>
    <d v="2025-12-08T00:00:00"/>
    <s v="Sick Leave"/>
    <n v="3"/>
    <s v="IT"/>
    <x v="0"/>
    <n v="2.3461538461538463"/>
    <n v="73.584905660377359"/>
  </r>
  <r>
    <n v="590"/>
    <x v="230"/>
    <d v="2026-07-22T00:00:00"/>
    <s v="Casual Leave"/>
    <n v="2"/>
    <s v="IT"/>
    <x v="0"/>
    <n v="2.3333333333333335"/>
    <n v="73.076923076923066"/>
  </r>
  <r>
    <n v="591"/>
    <x v="230"/>
    <d v="2026-09-22T00:00:00"/>
    <s v="Casual Leave"/>
    <n v="4"/>
    <s v="IT"/>
    <x v="0"/>
    <n v="2.34"/>
    <n v="72.549019607843135"/>
  </r>
  <r>
    <n v="592"/>
    <x v="231"/>
    <d v="2026-01-14T00:00:00"/>
    <s v="Emergency Leave"/>
    <n v="2"/>
    <s v="Sales"/>
    <x v="0"/>
    <n v="2.306122448979592"/>
    <n v="72"/>
  </r>
  <r>
    <n v="593"/>
    <x v="231"/>
    <d v="2026-08-28T00:00:00"/>
    <s v="Casual Leave"/>
    <n v="3"/>
    <s v="Sales"/>
    <x v="0"/>
    <n v="2.3125"/>
    <n v="71.428571428571431"/>
  </r>
  <r>
    <n v="594"/>
    <x v="232"/>
    <d v="2026-04-12T00:00:00"/>
    <s v="Annual Leave"/>
    <n v="4"/>
    <s v="IT"/>
    <x v="0"/>
    <n v="2.2978723404255321"/>
    <n v="70.833333333333343"/>
  </r>
  <r>
    <n v="595"/>
    <x v="232"/>
    <d v="2026-08-22T00:00:00"/>
    <s v="Sick Leave"/>
    <n v="2"/>
    <s v="IT"/>
    <x v="1"/>
    <n v="2.2608695652173911"/>
    <n v="70.212765957446805"/>
  </r>
  <r>
    <n v="596"/>
    <x v="232"/>
    <d v="2026-03-30T00:00:00"/>
    <s v="Sick Leave"/>
    <n v="2"/>
    <s v="IT"/>
    <x v="1"/>
    <n v="2.2666666666666666"/>
    <n v="69.565217391304344"/>
  </r>
  <r>
    <n v="597"/>
    <x v="233"/>
    <d v="2026-02-18T00:00:00"/>
    <s v="Emergency Leave"/>
    <n v="1"/>
    <s v="IT"/>
    <x v="0"/>
    <n v="2.2727272727272729"/>
    <n v="71.111111111111114"/>
  </r>
  <r>
    <n v="598"/>
    <x v="233"/>
    <d v="2025-10-02T00:00:00"/>
    <s v="Emergency Leave"/>
    <n v="4"/>
    <s v="IT"/>
    <x v="0"/>
    <n v="2.3023255813953489"/>
    <n v="72.727272727272734"/>
  </r>
  <r>
    <n v="599"/>
    <x v="233"/>
    <d v="2025-11-01T00:00:00"/>
    <s v="Casual Leave"/>
    <n v="4"/>
    <s v="IT"/>
    <x v="2"/>
    <n v="2.2619047619047619"/>
    <n v="72.093023255813947"/>
  </r>
  <r>
    <n v="600"/>
    <x v="234"/>
    <d v="2026-01-13T00:00:00"/>
    <s v="Emergency Leave"/>
    <n v="1"/>
    <s v="Sales"/>
    <x v="0"/>
    <n v="2.2195121951219514"/>
    <n v="71.428571428571431"/>
  </r>
  <r>
    <n v="601"/>
    <x v="234"/>
    <d v="2025-12-12T00:00:00"/>
    <s v="Annual Leave"/>
    <n v="3"/>
    <s v="Sales"/>
    <x v="0"/>
    <n v="2.25"/>
    <n v="73.170731707317074"/>
  </r>
  <r>
    <n v="602"/>
    <x v="235"/>
    <d v="2025-10-08T00:00:00"/>
    <s v="Emergency Leave"/>
    <n v="1"/>
    <s v="IT"/>
    <x v="2"/>
    <n v="2.2307692307692308"/>
    <n v="72.5"/>
  </r>
  <r>
    <n v="603"/>
    <x v="235"/>
    <d v="2026-05-21T00:00:00"/>
    <s v="Annual Leave"/>
    <n v="3"/>
    <s v="IT"/>
    <x v="0"/>
    <n v="2.263157894736842"/>
    <n v="71.794871794871796"/>
  </r>
  <r>
    <n v="604"/>
    <x v="235"/>
    <d v="2026-05-19T00:00:00"/>
    <s v="Sick Leave"/>
    <n v="3"/>
    <s v="IT"/>
    <x v="1"/>
    <n v="2.2432432432432434"/>
    <n v="73.68421052631578"/>
  </r>
  <r>
    <n v="605"/>
    <x v="236"/>
    <d v="2026-02-16T00:00:00"/>
    <s v="Sick Leave"/>
    <n v="4"/>
    <s v="Customer Support"/>
    <x v="0"/>
    <n v="2.2222222222222223"/>
    <n v="72.972972972972968"/>
  </r>
  <r>
    <n v="606"/>
    <x v="236"/>
    <d v="2026-05-13T00:00:00"/>
    <s v="Sick Leave"/>
    <n v="1"/>
    <s v="Customer Support"/>
    <x v="0"/>
    <n v="2.1714285714285713"/>
    <n v="75"/>
  </r>
  <r>
    <n v="607"/>
    <x v="236"/>
    <d v="2026-08-27T00:00:00"/>
    <s v="Emergency Leave"/>
    <n v="4"/>
    <s v="Customer Support"/>
    <x v="0"/>
    <n v="2.2058823529411766"/>
    <n v="74.285714285714292"/>
  </r>
  <r>
    <n v="608"/>
    <x v="237"/>
    <d v="2026-06-18T00:00:00"/>
    <s v="Sick Leave"/>
    <n v="1"/>
    <s v="Customer Support"/>
    <x v="0"/>
    <n v="2.1515151515151514"/>
    <n v="73.529411764705884"/>
  </r>
  <r>
    <n v="609"/>
    <x v="237"/>
    <d v="2026-04-08T00:00:00"/>
    <s v="Annual Leave"/>
    <n v="1"/>
    <s v="Customer Support"/>
    <x v="0"/>
    <n v="2.1875"/>
    <n v="72.727272727272734"/>
  </r>
  <r>
    <n v="610"/>
    <x v="237"/>
    <d v="2026-09-03T00:00:00"/>
    <s v="Annual Leave"/>
    <n v="4"/>
    <s v="Customer Support"/>
    <x v="0"/>
    <n v="2.225806451612903"/>
    <n v="71.875"/>
  </r>
  <r>
    <n v="611"/>
    <x v="237"/>
    <d v="2025-11-02T00:00:00"/>
    <s v="Casual Leave"/>
    <n v="2"/>
    <s v="Customer Support"/>
    <x v="0"/>
    <n v="2.1666666666666665"/>
    <n v="70.967741935483872"/>
  </r>
  <r>
    <n v="612"/>
    <x v="238"/>
    <d v="2026-02-03T00:00:00"/>
    <s v="Sick Leave"/>
    <n v="4"/>
    <s v="Sales"/>
    <x v="2"/>
    <n v="2.1724137931034484"/>
    <n v="70"/>
  </r>
  <r>
    <n v="613"/>
    <x v="238"/>
    <d v="2025-10-02T00:00:00"/>
    <s v="Sick Leave"/>
    <n v="1"/>
    <s v="Sales"/>
    <x v="0"/>
    <n v="2.1071428571428572"/>
    <n v="68.965517241379317"/>
  </r>
  <r>
    <n v="614"/>
    <x v="239"/>
    <d v="2026-05-03T00:00:00"/>
    <s v="Annual Leave"/>
    <n v="1"/>
    <s v="HR"/>
    <x v="1"/>
    <n v="2.1481481481481484"/>
    <n v="71.428571428571431"/>
  </r>
  <r>
    <n v="615"/>
    <x v="239"/>
    <d v="2026-01-08T00:00:00"/>
    <s v="Sick Leave"/>
    <n v="1"/>
    <s v="HR"/>
    <x v="0"/>
    <n v="2.1923076923076925"/>
    <n v="70.370370370370367"/>
  </r>
  <r>
    <n v="616"/>
    <x v="239"/>
    <d v="2026-05-06T00:00:00"/>
    <s v="Annual Leave"/>
    <n v="3"/>
    <s v="HR"/>
    <x v="2"/>
    <n v="2.2400000000000002"/>
    <n v="73.076923076923066"/>
  </r>
  <r>
    <n v="617"/>
    <x v="239"/>
    <d v="2026-01-11T00:00:00"/>
    <s v="Emergency Leave"/>
    <n v="3"/>
    <s v="HR"/>
    <x v="0"/>
    <n v="2.2083333333333335"/>
    <n v="72"/>
  </r>
  <r>
    <n v="618"/>
    <x v="240"/>
    <d v="2026-05-30T00:00:00"/>
    <s v="Sick Leave"/>
    <n v="2"/>
    <s v="Marketing"/>
    <x v="0"/>
    <n v="2.1739130434782608"/>
    <n v="75"/>
  </r>
  <r>
    <n v="619"/>
    <x v="240"/>
    <d v="2025-10-24T00:00:00"/>
    <s v="Annual Leave"/>
    <n v="3"/>
    <s v="Marketing"/>
    <x v="1"/>
    <n v="2.1818181818181817"/>
    <n v="73.91304347826086"/>
  </r>
  <r>
    <n v="620"/>
    <x v="240"/>
    <d v="2026-02-01T00:00:00"/>
    <s v="Annual Leave"/>
    <n v="4"/>
    <s v="Marketing"/>
    <x v="0"/>
    <n v="2.1428571428571428"/>
    <n v="72.727272727272734"/>
  </r>
  <r>
    <n v="621"/>
    <x v="241"/>
    <d v="2026-07-15T00:00:00"/>
    <s v="Casual Leave"/>
    <n v="1"/>
    <s v="HR"/>
    <x v="0"/>
    <n v="2.0499999999999998"/>
    <n v="76.19047619047619"/>
  </r>
  <r>
    <n v="622"/>
    <x v="241"/>
    <d v="2026-07-17T00:00:00"/>
    <s v="Sick Leave"/>
    <n v="2"/>
    <s v="HR"/>
    <x v="1"/>
    <n v="2.1052631578947367"/>
    <n v="75"/>
  </r>
  <r>
    <n v="623"/>
    <x v="241"/>
    <d v="2025-10-23T00:00:00"/>
    <s v="Sick Leave"/>
    <n v="4"/>
    <s v="HR"/>
    <x v="1"/>
    <n v="2.1111111111111112"/>
    <n v="73.68421052631578"/>
  </r>
  <r>
    <n v="624"/>
    <x v="242"/>
    <d v="2025-11-07T00:00:00"/>
    <s v="Casual Leave"/>
    <n v="4"/>
    <s v="Finance"/>
    <x v="0"/>
    <n v="2"/>
    <n v="77.777777777777786"/>
  </r>
  <r>
    <n v="625"/>
    <x v="242"/>
    <d v="2026-01-22T00:00:00"/>
    <s v="Sick Leave"/>
    <n v="2"/>
    <s v="Finance"/>
    <x v="0"/>
    <n v="1.875"/>
    <n v="82.35294117647058"/>
  </r>
  <r>
    <n v="626"/>
    <x v="242"/>
    <d v="2025-11-19T00:00:00"/>
    <s v="Casual Leave"/>
    <n v="3"/>
    <s v="Finance"/>
    <x v="0"/>
    <n v="1.8666666666666667"/>
    <n v="81.25"/>
  </r>
  <r>
    <n v="627"/>
    <x v="242"/>
    <d v="2026-07-28T00:00:00"/>
    <s v="Emergency Leave"/>
    <n v="1"/>
    <s v="Finance"/>
    <x v="0"/>
    <n v="1.7857142857142858"/>
    <n v="80"/>
  </r>
  <r>
    <n v="628"/>
    <x v="243"/>
    <d v="2026-05-19T00:00:00"/>
    <s v="Sick Leave"/>
    <n v="1"/>
    <s v="Finance"/>
    <x v="0"/>
    <n v="1.8461538461538463"/>
    <n v="78.571428571428569"/>
  </r>
  <r>
    <n v="629"/>
    <x v="243"/>
    <d v="2026-01-30T00:00:00"/>
    <s v="Casual Leave"/>
    <n v="1"/>
    <s v="Finance"/>
    <x v="0"/>
    <n v="1.9166666666666667"/>
    <n v="76.923076923076934"/>
  </r>
  <r>
    <n v="630"/>
    <x v="243"/>
    <d v="2026-08-03T00:00:00"/>
    <s v="Sick Leave"/>
    <n v="1"/>
    <s v="Finance"/>
    <x v="1"/>
    <n v="2"/>
    <n v="75"/>
  </r>
  <r>
    <n v="631"/>
    <x v="243"/>
    <d v="2026-09-18T00:00:00"/>
    <s v="Annual Leave"/>
    <n v="2"/>
    <s v="Finance"/>
    <x v="0"/>
    <n v="2.1"/>
    <n v="72.727272727272734"/>
  </r>
  <r>
    <n v="632"/>
    <x v="244"/>
    <d v="2026-01-19T00:00:00"/>
    <s v="Emergency Leave"/>
    <n v="3"/>
    <s v="IT"/>
    <x v="0"/>
    <n v="2.1111111111111112"/>
    <n v="80"/>
  </r>
  <r>
    <n v="633"/>
    <x v="244"/>
    <d v="2025-11-15T00:00:00"/>
    <s v="Sick Leave"/>
    <n v="3"/>
    <s v="IT"/>
    <x v="0"/>
    <n v="2"/>
    <n v="77.777777777777786"/>
  </r>
  <r>
    <n v="634"/>
    <x v="244"/>
    <d v="2026-05-07T00:00:00"/>
    <s v="Annual Leave"/>
    <n v="3"/>
    <s v="IT"/>
    <x v="1"/>
    <n v="1.8571428571428572"/>
    <n v="75"/>
  </r>
  <r>
    <n v="635"/>
    <x v="245"/>
    <d v="2026-09-22T00:00:00"/>
    <s v="Sick Leave"/>
    <n v="1"/>
    <s v="IT"/>
    <x v="0"/>
    <n v="1.6666666666666667"/>
    <n v="71.428571428571431"/>
  </r>
  <r>
    <n v="636"/>
    <x v="245"/>
    <d v="2026-08-18T00:00:00"/>
    <s v="Casual Leave"/>
    <n v="3"/>
    <s v="IT"/>
    <x v="0"/>
    <n v="1.8"/>
    <n v="83.333333333333343"/>
  </r>
  <r>
    <n v="637"/>
    <x v="245"/>
    <d v="2025-12-28T00:00:00"/>
    <s v="Sick Leave"/>
    <n v="2"/>
    <s v="IT"/>
    <x v="0"/>
    <n v="1.5"/>
    <n v="80"/>
  </r>
  <r>
    <n v="638"/>
    <x v="245"/>
    <d v="2025-12-31T00:00:00"/>
    <s v="Sick Leave"/>
    <n v="2"/>
    <s v="IT"/>
    <x v="0"/>
    <n v="1.3333333333333333"/>
    <n v="75"/>
  </r>
  <r>
    <n v="639"/>
    <x v="246"/>
    <d v="2026-03-01T00:00:00"/>
    <s v="Emergency Leave"/>
    <n v="1"/>
    <s v="Finance"/>
    <x v="1"/>
    <n v="1"/>
    <n v="66.666666666666657"/>
  </r>
  <r>
    <n v="640"/>
    <x v="247"/>
    <d v="2026-08-13T00:00:00"/>
    <s v="Sick Leave"/>
    <n v="1"/>
    <s v="Marketing"/>
    <x v="0"/>
    <n v="1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55A13-2E80-44B4-9070-9CE53E254F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6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23">
        <item x="21"/>
        <item x="4"/>
        <item x="10"/>
        <item x="1"/>
        <item x="16"/>
        <item x="12"/>
        <item x="6"/>
        <item x="3"/>
        <item x="15"/>
        <item x="0"/>
        <item x="8"/>
        <item x="19"/>
        <item x="14"/>
        <item x="20"/>
        <item x="13"/>
        <item x="7"/>
        <item x="11"/>
        <item x="5"/>
        <item x="9"/>
        <item x="2"/>
        <item x="17"/>
        <item x="18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Salary" fld="6" subtotal="average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6FF2C-8853-4B2F-8E05-90698875F9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1" firstHeaderRow="1" firstDataRow="1" firstDataCol="1"/>
  <pivotFields count="17">
    <pivotField showAll="0"/>
    <pivotField showAll="0"/>
    <pivotField showAll="0"/>
    <pivotField showAll="0"/>
    <pivotField axis="axisRow" showAll="0" sortType="ascending">
      <items count="8">
        <item x="2"/>
        <item x="5"/>
        <item x="3"/>
        <item x="1"/>
        <item x="0"/>
        <item x="6"/>
        <item x="4"/>
        <item t="default"/>
      </items>
    </pivotField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ary" fld="6" subtotal="average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5D7FF-00A8-470E-B22C-DCE0B0914AF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6" subtotal="average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3269D-E71C-4293-ACDC-1CDB2DAF5A1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7" firstHeaderRow="1" firstDataRow="1" firstDataCol="1"/>
  <pivotFields count="9">
    <pivotField dataField="1" showAll="0"/>
    <pivotField showAll="0"/>
    <pivotField numFmtId="164" showAll="0">
      <items count="310">
        <item x="41"/>
        <item x="295"/>
        <item x="201"/>
        <item x="86"/>
        <item x="121"/>
        <item x="186"/>
        <item x="144"/>
        <item x="85"/>
        <item x="112"/>
        <item x="22"/>
        <item x="203"/>
        <item x="162"/>
        <item x="205"/>
        <item x="204"/>
        <item x="259"/>
        <item x="47"/>
        <item x="120"/>
        <item x="183"/>
        <item x="300"/>
        <item x="299"/>
        <item x="189"/>
        <item x="99"/>
        <item x="239"/>
        <item x="87"/>
        <item x="40"/>
        <item x="296"/>
        <item x="30"/>
        <item x="52"/>
        <item x="148"/>
        <item x="82"/>
        <item x="129"/>
        <item x="223"/>
        <item x="128"/>
        <item x="210"/>
        <item x="133"/>
        <item x="268"/>
        <item x="271"/>
        <item x="225"/>
        <item x="216"/>
        <item x="304"/>
        <item x="6"/>
        <item x="207"/>
        <item x="35"/>
        <item x="222"/>
        <item x="242"/>
        <item x="169"/>
        <item x="8"/>
        <item x="127"/>
        <item x="48"/>
        <item x="84"/>
        <item x="110"/>
        <item x="72"/>
        <item x="109"/>
        <item x="32"/>
        <item x="286"/>
        <item x="291"/>
        <item x="275"/>
        <item x="71"/>
        <item x="255"/>
        <item x="264"/>
        <item x="288"/>
        <item x="212"/>
        <item x="53"/>
        <item x="92"/>
        <item x="198"/>
        <item x="163"/>
        <item x="105"/>
        <item x="80"/>
        <item x="266"/>
        <item x="164"/>
        <item x="108"/>
        <item x="83"/>
        <item x="197"/>
        <item x="265"/>
        <item x="254"/>
        <item x="141"/>
        <item x="307"/>
        <item x="190"/>
        <item x="308"/>
        <item x="278"/>
        <item x="73"/>
        <item x="81"/>
        <item x="14"/>
        <item x="61"/>
        <item x="50"/>
        <item x="159"/>
        <item x="135"/>
        <item x="79"/>
        <item x="75"/>
        <item x="161"/>
        <item x="65"/>
        <item x="246"/>
        <item x="274"/>
        <item x="63"/>
        <item x="150"/>
        <item x="45"/>
        <item x="241"/>
        <item x="301"/>
        <item x="11"/>
        <item x="9"/>
        <item x="20"/>
        <item x="250"/>
        <item x="247"/>
        <item x="175"/>
        <item x="191"/>
        <item x="302"/>
        <item x="173"/>
        <item x="66"/>
        <item x="248"/>
        <item x="97"/>
        <item x="36"/>
        <item x="236"/>
        <item x="39"/>
        <item x="283"/>
        <item x="37"/>
        <item x="119"/>
        <item x="1"/>
        <item x="125"/>
        <item x="21"/>
        <item x="230"/>
        <item x="165"/>
        <item x="237"/>
        <item x="226"/>
        <item x="154"/>
        <item x="139"/>
        <item x="74"/>
        <item x="196"/>
        <item x="149"/>
        <item x="270"/>
        <item x="209"/>
        <item x="13"/>
        <item x="93"/>
        <item x="277"/>
        <item x="184"/>
        <item x="151"/>
        <item x="4"/>
        <item x="289"/>
        <item x="238"/>
        <item x="78"/>
        <item x="118"/>
        <item x="56"/>
        <item x="3"/>
        <item x="96"/>
        <item x="153"/>
        <item x="27"/>
        <item x="276"/>
        <item x="146"/>
        <item x="107"/>
        <item x="7"/>
        <item x="171"/>
        <item x="138"/>
        <item x="124"/>
        <item x="38"/>
        <item x="294"/>
        <item x="261"/>
        <item x="17"/>
        <item x="170"/>
        <item x="284"/>
        <item x="16"/>
        <item x="213"/>
        <item x="179"/>
        <item x="114"/>
        <item x="67"/>
        <item x="43"/>
        <item x="235"/>
        <item x="58"/>
        <item x="244"/>
        <item x="111"/>
        <item x="42"/>
        <item x="102"/>
        <item x="90"/>
        <item x="51"/>
        <item x="145"/>
        <item x="272"/>
        <item x="136"/>
        <item x="281"/>
        <item x="267"/>
        <item x="217"/>
        <item x="33"/>
        <item x="182"/>
        <item x="258"/>
        <item x="70"/>
        <item x="94"/>
        <item x="193"/>
        <item x="269"/>
        <item x="95"/>
        <item x="273"/>
        <item x="290"/>
        <item x="249"/>
        <item x="305"/>
        <item x="240"/>
        <item x="101"/>
        <item x="195"/>
        <item x="76"/>
        <item x="2"/>
        <item x="12"/>
        <item x="243"/>
        <item x="297"/>
        <item x="181"/>
        <item x="166"/>
        <item x="142"/>
        <item x="143"/>
        <item x="257"/>
        <item x="122"/>
        <item x="298"/>
        <item x="214"/>
        <item x="23"/>
        <item x="192"/>
        <item x="157"/>
        <item x="158"/>
        <item x="104"/>
        <item x="256"/>
        <item x="25"/>
        <item x="211"/>
        <item x="0"/>
        <item x="147"/>
        <item x="279"/>
        <item x="208"/>
        <item x="253"/>
        <item x="46"/>
        <item x="62"/>
        <item x="156"/>
        <item x="123"/>
        <item x="263"/>
        <item x="49"/>
        <item x="252"/>
        <item x="220"/>
        <item x="55"/>
        <item x="152"/>
        <item x="229"/>
        <item x="60"/>
        <item x="19"/>
        <item x="18"/>
        <item x="28"/>
        <item x="285"/>
        <item x="88"/>
        <item x="10"/>
        <item x="176"/>
        <item x="100"/>
        <item x="231"/>
        <item x="180"/>
        <item x="218"/>
        <item x="187"/>
        <item x="155"/>
        <item x="168"/>
        <item x="185"/>
        <item x="24"/>
        <item x="89"/>
        <item x="200"/>
        <item x="292"/>
        <item x="202"/>
        <item x="232"/>
        <item x="178"/>
        <item x="29"/>
        <item x="177"/>
        <item x="117"/>
        <item x="77"/>
        <item x="68"/>
        <item x="31"/>
        <item x="116"/>
        <item x="228"/>
        <item x="234"/>
        <item x="280"/>
        <item x="91"/>
        <item x="224"/>
        <item x="188"/>
        <item x="5"/>
        <item x="287"/>
        <item x="262"/>
        <item x="106"/>
        <item x="57"/>
        <item x="306"/>
        <item x="206"/>
        <item x="115"/>
        <item x="44"/>
        <item x="233"/>
        <item x="137"/>
        <item x="103"/>
        <item x="174"/>
        <item x="167"/>
        <item x="293"/>
        <item x="227"/>
        <item x="98"/>
        <item x="260"/>
        <item x="282"/>
        <item x="219"/>
        <item x="54"/>
        <item x="26"/>
        <item x="221"/>
        <item x="130"/>
        <item x="126"/>
        <item x="113"/>
        <item x="140"/>
        <item x="134"/>
        <item x="199"/>
        <item x="59"/>
        <item x="132"/>
        <item x="303"/>
        <item x="194"/>
        <item x="172"/>
        <item x="34"/>
        <item x="245"/>
        <item x="160"/>
        <item x="215"/>
        <item x="131"/>
        <item x="15"/>
        <item x="251"/>
        <item x="69"/>
        <item x="64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Leave_ID" fld="0" baseField="0" baseItem="0"/>
  </dataFields>
  <chartFormats count="8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F4484-56DC-4E03-97EA-73439562A12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9">
    <pivotField dataField="1" showAll="0"/>
    <pivotField showAll="0"/>
    <pivotField numFmtId="164" showAll="0">
      <items count="310">
        <item x="41"/>
        <item x="295"/>
        <item x="201"/>
        <item x="86"/>
        <item x="121"/>
        <item x="186"/>
        <item x="144"/>
        <item x="85"/>
        <item x="112"/>
        <item x="22"/>
        <item x="203"/>
        <item x="162"/>
        <item x="205"/>
        <item x="204"/>
        <item x="259"/>
        <item x="47"/>
        <item x="120"/>
        <item x="183"/>
        <item x="300"/>
        <item x="299"/>
        <item x="189"/>
        <item x="99"/>
        <item x="239"/>
        <item x="87"/>
        <item x="40"/>
        <item x="296"/>
        <item x="30"/>
        <item x="52"/>
        <item x="148"/>
        <item x="82"/>
        <item x="129"/>
        <item x="223"/>
        <item x="128"/>
        <item x="210"/>
        <item x="133"/>
        <item x="268"/>
        <item x="271"/>
        <item x="225"/>
        <item x="216"/>
        <item x="304"/>
        <item x="6"/>
        <item x="207"/>
        <item x="35"/>
        <item x="222"/>
        <item x="242"/>
        <item x="169"/>
        <item x="8"/>
        <item x="127"/>
        <item x="48"/>
        <item x="84"/>
        <item x="110"/>
        <item x="72"/>
        <item x="109"/>
        <item x="32"/>
        <item x="286"/>
        <item x="291"/>
        <item x="275"/>
        <item x="71"/>
        <item x="255"/>
        <item x="264"/>
        <item x="288"/>
        <item x="212"/>
        <item x="53"/>
        <item x="92"/>
        <item x="198"/>
        <item x="163"/>
        <item x="105"/>
        <item x="80"/>
        <item x="266"/>
        <item x="164"/>
        <item x="108"/>
        <item x="83"/>
        <item x="197"/>
        <item x="265"/>
        <item x="254"/>
        <item x="141"/>
        <item x="307"/>
        <item x="190"/>
        <item x="308"/>
        <item x="278"/>
        <item x="73"/>
        <item x="81"/>
        <item x="14"/>
        <item x="61"/>
        <item x="50"/>
        <item x="159"/>
        <item x="135"/>
        <item x="79"/>
        <item x="75"/>
        <item x="161"/>
        <item x="65"/>
        <item x="246"/>
        <item x="274"/>
        <item x="63"/>
        <item x="150"/>
        <item x="45"/>
        <item x="241"/>
        <item x="301"/>
        <item x="11"/>
        <item x="9"/>
        <item x="20"/>
        <item x="250"/>
        <item x="247"/>
        <item x="175"/>
        <item x="191"/>
        <item x="302"/>
        <item x="173"/>
        <item x="66"/>
        <item x="248"/>
        <item x="97"/>
        <item x="36"/>
        <item x="236"/>
        <item x="39"/>
        <item x="283"/>
        <item x="37"/>
        <item x="119"/>
        <item x="1"/>
        <item x="125"/>
        <item x="21"/>
        <item x="230"/>
        <item x="165"/>
        <item x="237"/>
        <item x="226"/>
        <item x="154"/>
        <item x="139"/>
        <item x="74"/>
        <item x="196"/>
        <item x="149"/>
        <item x="270"/>
        <item x="209"/>
        <item x="13"/>
        <item x="93"/>
        <item x="277"/>
        <item x="184"/>
        <item x="151"/>
        <item x="4"/>
        <item x="289"/>
        <item x="238"/>
        <item x="78"/>
        <item x="118"/>
        <item x="56"/>
        <item x="3"/>
        <item x="96"/>
        <item x="153"/>
        <item x="27"/>
        <item x="276"/>
        <item x="146"/>
        <item x="107"/>
        <item x="7"/>
        <item x="171"/>
        <item x="138"/>
        <item x="124"/>
        <item x="38"/>
        <item x="294"/>
        <item x="261"/>
        <item x="17"/>
        <item x="170"/>
        <item x="284"/>
        <item x="16"/>
        <item x="213"/>
        <item x="179"/>
        <item x="114"/>
        <item x="67"/>
        <item x="43"/>
        <item x="235"/>
        <item x="58"/>
        <item x="244"/>
        <item x="111"/>
        <item x="42"/>
        <item x="102"/>
        <item x="90"/>
        <item x="51"/>
        <item x="145"/>
        <item x="272"/>
        <item x="136"/>
        <item x="281"/>
        <item x="267"/>
        <item x="217"/>
        <item x="33"/>
        <item x="182"/>
        <item x="258"/>
        <item x="70"/>
        <item x="94"/>
        <item x="193"/>
        <item x="269"/>
        <item x="95"/>
        <item x="273"/>
        <item x="290"/>
        <item x="249"/>
        <item x="305"/>
        <item x="240"/>
        <item x="101"/>
        <item x="195"/>
        <item x="76"/>
        <item x="2"/>
        <item x="12"/>
        <item x="243"/>
        <item x="297"/>
        <item x="181"/>
        <item x="166"/>
        <item x="142"/>
        <item x="143"/>
        <item x="257"/>
        <item x="122"/>
        <item x="298"/>
        <item x="214"/>
        <item x="23"/>
        <item x="192"/>
        <item x="157"/>
        <item x="158"/>
        <item x="104"/>
        <item x="256"/>
        <item x="25"/>
        <item x="211"/>
        <item x="0"/>
        <item x="147"/>
        <item x="279"/>
        <item x="208"/>
        <item x="253"/>
        <item x="46"/>
        <item x="62"/>
        <item x="156"/>
        <item x="123"/>
        <item x="263"/>
        <item x="49"/>
        <item x="252"/>
        <item x="220"/>
        <item x="55"/>
        <item x="152"/>
        <item x="229"/>
        <item x="60"/>
        <item x="19"/>
        <item x="18"/>
        <item x="28"/>
        <item x="285"/>
        <item x="88"/>
        <item x="10"/>
        <item x="176"/>
        <item x="100"/>
        <item x="231"/>
        <item x="180"/>
        <item x="218"/>
        <item x="187"/>
        <item x="155"/>
        <item x="168"/>
        <item x="185"/>
        <item x="24"/>
        <item x="89"/>
        <item x="200"/>
        <item x="292"/>
        <item x="202"/>
        <item x="232"/>
        <item x="178"/>
        <item x="29"/>
        <item x="177"/>
        <item x="117"/>
        <item x="77"/>
        <item x="68"/>
        <item x="31"/>
        <item x="116"/>
        <item x="228"/>
        <item x="234"/>
        <item x="280"/>
        <item x="91"/>
        <item x="224"/>
        <item x="188"/>
        <item x="5"/>
        <item x="287"/>
        <item x="262"/>
        <item x="106"/>
        <item x="57"/>
        <item x="306"/>
        <item x="206"/>
        <item x="115"/>
        <item x="44"/>
        <item x="233"/>
        <item x="137"/>
        <item x="103"/>
        <item x="174"/>
        <item x="167"/>
        <item x="293"/>
        <item x="227"/>
        <item x="98"/>
        <item x="260"/>
        <item x="282"/>
        <item x="219"/>
        <item x="54"/>
        <item x="26"/>
        <item x="221"/>
        <item x="130"/>
        <item x="126"/>
        <item x="113"/>
        <item x="140"/>
        <item x="134"/>
        <item x="199"/>
        <item x="59"/>
        <item x="132"/>
        <item x="303"/>
        <item x="194"/>
        <item x="172"/>
        <item x="34"/>
        <item x="245"/>
        <item x="160"/>
        <item x="215"/>
        <item x="131"/>
        <item x="15"/>
        <item x="251"/>
        <item x="69"/>
        <item x="6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ve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6C1E3-A639-4BA1-A2B8-A74C2764D64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9">
    <pivotField showAll="0"/>
    <pivotField showAll="0"/>
    <pivotField axis="axisRow" numFmtId="164" showAll="0">
      <items count="310">
        <item x="41"/>
        <item x="295"/>
        <item x="201"/>
        <item x="86"/>
        <item x="121"/>
        <item x="186"/>
        <item x="144"/>
        <item x="85"/>
        <item x="112"/>
        <item x="22"/>
        <item x="203"/>
        <item x="162"/>
        <item x="205"/>
        <item x="204"/>
        <item x="259"/>
        <item x="47"/>
        <item x="120"/>
        <item x="183"/>
        <item x="300"/>
        <item x="299"/>
        <item x="189"/>
        <item x="99"/>
        <item x="239"/>
        <item x="87"/>
        <item x="40"/>
        <item x="296"/>
        <item x="30"/>
        <item x="52"/>
        <item x="148"/>
        <item x="82"/>
        <item x="129"/>
        <item x="223"/>
        <item x="128"/>
        <item x="210"/>
        <item x="133"/>
        <item x="268"/>
        <item x="271"/>
        <item x="225"/>
        <item x="216"/>
        <item x="304"/>
        <item x="6"/>
        <item x="207"/>
        <item x="35"/>
        <item x="222"/>
        <item x="242"/>
        <item x="169"/>
        <item x="8"/>
        <item x="127"/>
        <item x="48"/>
        <item x="84"/>
        <item x="110"/>
        <item x="72"/>
        <item x="109"/>
        <item x="32"/>
        <item x="286"/>
        <item x="291"/>
        <item x="275"/>
        <item x="71"/>
        <item x="255"/>
        <item x="264"/>
        <item x="288"/>
        <item x="212"/>
        <item x="53"/>
        <item x="92"/>
        <item x="198"/>
        <item x="163"/>
        <item x="105"/>
        <item x="80"/>
        <item x="266"/>
        <item x="164"/>
        <item x="108"/>
        <item x="83"/>
        <item x="197"/>
        <item x="265"/>
        <item x="254"/>
        <item x="141"/>
        <item x="307"/>
        <item x="190"/>
        <item x="308"/>
        <item x="278"/>
        <item x="73"/>
        <item x="81"/>
        <item x="14"/>
        <item x="61"/>
        <item x="50"/>
        <item x="159"/>
        <item x="135"/>
        <item x="79"/>
        <item x="75"/>
        <item x="161"/>
        <item x="65"/>
        <item x="246"/>
        <item x="274"/>
        <item x="63"/>
        <item x="150"/>
        <item x="45"/>
        <item x="241"/>
        <item x="301"/>
        <item x="11"/>
        <item x="9"/>
        <item x="20"/>
        <item x="250"/>
        <item x="247"/>
        <item x="175"/>
        <item x="191"/>
        <item x="302"/>
        <item x="173"/>
        <item x="66"/>
        <item x="248"/>
        <item x="97"/>
        <item x="36"/>
        <item x="236"/>
        <item x="39"/>
        <item x="283"/>
        <item x="37"/>
        <item x="119"/>
        <item x="1"/>
        <item x="125"/>
        <item x="21"/>
        <item x="230"/>
        <item x="165"/>
        <item x="237"/>
        <item x="226"/>
        <item x="154"/>
        <item x="139"/>
        <item x="74"/>
        <item x="196"/>
        <item x="149"/>
        <item x="270"/>
        <item x="209"/>
        <item x="13"/>
        <item x="93"/>
        <item x="277"/>
        <item x="184"/>
        <item x="151"/>
        <item x="4"/>
        <item x="289"/>
        <item x="238"/>
        <item x="78"/>
        <item x="118"/>
        <item x="56"/>
        <item x="3"/>
        <item x="96"/>
        <item x="153"/>
        <item x="27"/>
        <item x="276"/>
        <item x="146"/>
        <item x="107"/>
        <item x="7"/>
        <item x="171"/>
        <item x="138"/>
        <item x="124"/>
        <item x="38"/>
        <item x="294"/>
        <item x="261"/>
        <item x="17"/>
        <item x="170"/>
        <item x="284"/>
        <item x="16"/>
        <item x="213"/>
        <item x="179"/>
        <item x="114"/>
        <item x="67"/>
        <item x="43"/>
        <item x="235"/>
        <item x="58"/>
        <item x="244"/>
        <item x="111"/>
        <item x="42"/>
        <item x="102"/>
        <item x="90"/>
        <item x="51"/>
        <item x="145"/>
        <item x="272"/>
        <item x="136"/>
        <item x="281"/>
        <item x="267"/>
        <item x="217"/>
        <item x="33"/>
        <item x="182"/>
        <item x="258"/>
        <item x="70"/>
        <item x="94"/>
        <item x="193"/>
        <item x="269"/>
        <item x="95"/>
        <item x="273"/>
        <item x="290"/>
        <item x="249"/>
        <item x="305"/>
        <item x="240"/>
        <item x="101"/>
        <item x="195"/>
        <item x="76"/>
        <item x="2"/>
        <item x="12"/>
        <item x="243"/>
        <item x="297"/>
        <item x="181"/>
        <item x="166"/>
        <item x="142"/>
        <item x="143"/>
        <item x="257"/>
        <item x="122"/>
        <item x="298"/>
        <item x="214"/>
        <item x="23"/>
        <item x="192"/>
        <item x="157"/>
        <item x="158"/>
        <item x="104"/>
        <item x="256"/>
        <item x="25"/>
        <item x="211"/>
        <item x="0"/>
        <item x="147"/>
        <item x="279"/>
        <item x="208"/>
        <item x="253"/>
        <item x="46"/>
        <item x="62"/>
        <item x="156"/>
        <item x="123"/>
        <item x="263"/>
        <item x="49"/>
        <item x="252"/>
        <item x="220"/>
        <item x="55"/>
        <item x="152"/>
        <item x="229"/>
        <item x="60"/>
        <item x="19"/>
        <item x="18"/>
        <item x="28"/>
        <item x="285"/>
        <item x="88"/>
        <item x="10"/>
        <item x="176"/>
        <item x="100"/>
        <item x="231"/>
        <item x="180"/>
        <item x="218"/>
        <item x="187"/>
        <item x="155"/>
        <item x="168"/>
        <item x="185"/>
        <item x="24"/>
        <item x="89"/>
        <item x="200"/>
        <item x="292"/>
        <item x="202"/>
        <item x="232"/>
        <item x="178"/>
        <item x="29"/>
        <item x="177"/>
        <item x="117"/>
        <item x="77"/>
        <item x="68"/>
        <item x="31"/>
        <item x="116"/>
        <item x="228"/>
        <item x="234"/>
        <item x="280"/>
        <item x="91"/>
        <item x="224"/>
        <item x="188"/>
        <item x="5"/>
        <item x="287"/>
        <item x="262"/>
        <item x="106"/>
        <item x="57"/>
        <item x="306"/>
        <item x="206"/>
        <item x="115"/>
        <item x="44"/>
        <item x="233"/>
        <item x="137"/>
        <item x="103"/>
        <item x="174"/>
        <item x="167"/>
        <item x="293"/>
        <item x="227"/>
        <item x="98"/>
        <item x="260"/>
        <item x="282"/>
        <item x="219"/>
        <item x="54"/>
        <item x="26"/>
        <item x="221"/>
        <item x="130"/>
        <item x="126"/>
        <item x="113"/>
        <item x="140"/>
        <item x="134"/>
        <item x="199"/>
        <item x="59"/>
        <item x="132"/>
        <item x="303"/>
        <item x="194"/>
        <item x="172"/>
        <item x="34"/>
        <item x="245"/>
        <item x="160"/>
        <item x="215"/>
        <item x="131"/>
        <item x="15"/>
        <item x="251"/>
        <item x="69"/>
        <item x="64"/>
        <item t="default"/>
      </items>
    </pivotField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6"/>
    <field x="2"/>
    <field x="8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Leave_Days" fld="4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09F30-B993-4C40-A781-BE6BAE5B6D70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6">
    <pivotField showAll="0"/>
    <pivotField numFmtId="164" showAll="0"/>
    <pivotField showAll="0"/>
    <pivotField dataField="1" showAll="0"/>
    <pivotField axis="axisRow" showAll="0">
      <items count="9">
        <item x="2"/>
        <item x="5"/>
        <item x="3"/>
        <item x="1"/>
        <item x="0"/>
        <item x="7"/>
        <item x="6"/>
        <item x="4"/>
        <item t="default"/>
      </items>
    </pivotField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Leave_Days" fld="3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C614D-E0DE-4BD7-81F0-7AA82EAD375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" firstHeaderRow="1" firstDataRow="1" firstDataCol="1"/>
  <pivotFields count="6">
    <pivotField showAll="0"/>
    <pivotField numFmtId="16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42B4D-5E06-4D59-8779-08D517078C4F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44" firstHeaderRow="1" firstDataRow="1" firstDataCol="1"/>
  <pivotFields count="6">
    <pivotField axis="axisRow" showAll="0" sortType="descending">
      <items count="6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dataField="1" showAll="0"/>
    <pivotField showAll="0"/>
    <pivotField showAll="0"/>
  </pivotFields>
  <rowFields count="1">
    <field x="0"/>
  </rowFields>
  <rowItems count="641">
    <i>
      <x v="541"/>
    </i>
    <i>
      <x v="462"/>
    </i>
    <i>
      <x v="622"/>
    </i>
    <i>
      <x v="322"/>
    </i>
    <i>
      <x v="506"/>
    </i>
    <i>
      <x v="323"/>
    </i>
    <i>
      <x v="593"/>
    </i>
    <i>
      <x v="326"/>
    </i>
    <i>
      <x v="454"/>
    </i>
    <i>
      <x v="335"/>
    </i>
    <i>
      <x v="487"/>
    </i>
    <i>
      <x v="336"/>
    </i>
    <i>
      <x v="520"/>
    </i>
    <i>
      <x v="337"/>
    </i>
    <i>
      <x v="572"/>
    </i>
    <i>
      <x v="339"/>
    </i>
    <i>
      <x v="606"/>
    </i>
    <i>
      <x v="342"/>
    </i>
    <i>
      <x v="445"/>
    </i>
    <i>
      <x v="343"/>
    </i>
    <i>
      <x v="458"/>
    </i>
    <i>
      <x v="344"/>
    </i>
    <i>
      <x v="472"/>
    </i>
    <i>
      <x v="346"/>
    </i>
    <i>
      <x v="499"/>
    </i>
    <i>
      <x v="353"/>
    </i>
    <i>
      <x v="512"/>
    </i>
    <i>
      <x v="354"/>
    </i>
    <i>
      <x v="523"/>
    </i>
    <i>
      <x v="360"/>
    </i>
    <i>
      <x v="550"/>
    </i>
    <i>
      <x v="364"/>
    </i>
    <i>
      <x v="581"/>
    </i>
    <i>
      <x v="371"/>
    </i>
    <i>
      <x v="598"/>
    </i>
    <i>
      <x v="375"/>
    </i>
    <i>
      <x v="611"/>
    </i>
    <i>
      <x v="377"/>
    </i>
    <i>
      <x v="443"/>
    </i>
    <i>
      <x v="378"/>
    </i>
    <i>
      <x v="447"/>
    </i>
    <i>
      <x v="389"/>
    </i>
    <i>
      <x v="456"/>
    </i>
    <i>
      <x v="390"/>
    </i>
    <i>
      <x v="460"/>
    </i>
    <i>
      <x v="393"/>
    </i>
    <i>
      <x v="468"/>
    </i>
    <i>
      <x v="395"/>
    </i>
    <i>
      <x v="486"/>
    </i>
    <i>
      <x v="396"/>
    </i>
    <i>
      <x v="491"/>
    </i>
    <i>
      <x v="399"/>
    </i>
    <i>
      <x v="505"/>
    </i>
    <i>
      <x v="404"/>
    </i>
    <i>
      <x v="510"/>
    </i>
    <i>
      <x v="405"/>
    </i>
    <i>
      <x v="519"/>
    </i>
    <i>
      <x v="407"/>
    </i>
    <i>
      <x v="521"/>
    </i>
    <i>
      <x v="408"/>
    </i>
    <i>
      <x v="529"/>
    </i>
    <i>
      <x v="426"/>
    </i>
    <i>
      <x v="547"/>
    </i>
    <i>
      <x v="427"/>
    </i>
    <i>
      <x v="562"/>
    </i>
    <i>
      <x v="431"/>
    </i>
    <i>
      <x v="573"/>
    </i>
    <i>
      <x v="432"/>
    </i>
    <i>
      <x v="590"/>
    </i>
    <i>
      <x v="433"/>
    </i>
    <i>
      <x v="597"/>
    </i>
    <i>
      <x v="434"/>
    </i>
    <i>
      <x v="604"/>
    </i>
    <i>
      <x v="435"/>
    </i>
    <i>
      <x v="609"/>
    </i>
    <i>
      <x v="438"/>
    </i>
    <i>
      <x v="619"/>
    </i>
    <i>
      <x v="439"/>
    </i>
    <i>
      <x v="623"/>
    </i>
    <i>
      <x v="440"/>
    </i>
    <i>
      <x v="479"/>
    </i>
    <i>
      <x v="259"/>
    </i>
    <i>
      <x v="199"/>
    </i>
    <i>
      <x v="318"/>
    </i>
    <i>
      <x v="7"/>
    </i>
    <i>
      <x v="236"/>
    </i>
    <i>
      <x v="15"/>
    </i>
    <i>
      <x v="288"/>
    </i>
    <i>
      <x v="22"/>
    </i>
    <i>
      <x v="188"/>
    </i>
    <i>
      <x v="29"/>
    </i>
    <i>
      <x v="227"/>
    </i>
    <i>
      <x v="35"/>
    </i>
    <i>
      <x v="247"/>
    </i>
    <i>
      <x v="49"/>
    </i>
    <i>
      <x v="273"/>
    </i>
    <i>
      <x v="56"/>
    </i>
    <i>
      <x v="308"/>
    </i>
    <i>
      <x v="60"/>
    </i>
    <i>
      <x v="178"/>
    </i>
    <i>
      <x v="61"/>
    </i>
    <i>
      <x v="195"/>
    </i>
    <i>
      <x v="62"/>
    </i>
    <i>
      <x v="213"/>
    </i>
    <i>
      <x v="63"/>
    </i>
    <i>
      <x v="229"/>
    </i>
    <i>
      <x v="64"/>
    </i>
    <i>
      <x v="242"/>
    </i>
    <i>
      <x v="70"/>
    </i>
    <i>
      <x v="252"/>
    </i>
    <i>
      <x v="78"/>
    </i>
    <i>
      <x v="264"/>
    </i>
    <i>
      <x v="80"/>
    </i>
    <i>
      <x v="276"/>
    </i>
    <i>
      <x v="82"/>
    </i>
    <i>
      <x v="295"/>
    </i>
    <i>
      <x v="86"/>
    </i>
    <i>
      <x v="313"/>
    </i>
    <i>
      <x v="87"/>
    </i>
    <i>
      <x v="174"/>
    </i>
    <i>
      <x v="89"/>
    </i>
    <i>
      <x v="185"/>
    </i>
    <i>
      <x v="93"/>
    </i>
    <i>
      <x v="194"/>
    </i>
    <i>
      <x v="98"/>
    </i>
    <i>
      <x v="197"/>
    </i>
    <i>
      <x v="111"/>
    </i>
    <i>
      <x v="209"/>
    </i>
    <i>
      <x v="113"/>
    </i>
    <i>
      <x v="222"/>
    </i>
    <i>
      <x v="117"/>
    </i>
    <i>
      <x v="228"/>
    </i>
    <i>
      <x v="122"/>
    </i>
    <i>
      <x v="235"/>
    </i>
    <i>
      <x v="123"/>
    </i>
    <i>
      <x v="240"/>
    </i>
    <i>
      <x v="131"/>
    </i>
    <i>
      <x v="243"/>
    </i>
    <i>
      <x v="136"/>
    </i>
    <i>
      <x v="249"/>
    </i>
    <i>
      <x v="137"/>
    </i>
    <i>
      <x v="256"/>
    </i>
    <i>
      <x v="138"/>
    </i>
    <i>
      <x v="260"/>
    </i>
    <i>
      <x v="142"/>
    </i>
    <i>
      <x v="266"/>
    </i>
    <i>
      <x v="148"/>
    </i>
    <i>
      <x v="274"/>
    </i>
    <i>
      <x v="149"/>
    </i>
    <i>
      <x v="281"/>
    </i>
    <i>
      <x v="152"/>
    </i>
    <i>
      <x v="294"/>
    </i>
    <i>
      <x v="154"/>
    </i>
    <i>
      <x v="296"/>
    </i>
    <i>
      <x v="156"/>
    </i>
    <i>
      <x v="309"/>
    </i>
    <i>
      <x/>
    </i>
    <i>
      <x v="317"/>
    </i>
    <i>
      <x v="168"/>
    </i>
    <i>
      <x v="169"/>
    </i>
    <i>
      <x v="161"/>
    </i>
    <i>
      <x v="602"/>
    </i>
    <i>
      <x v="553"/>
    </i>
    <i>
      <x v="524"/>
    </i>
    <i>
      <x v="402"/>
    </i>
    <i>
      <x v="570"/>
    </i>
    <i>
      <x v="406"/>
    </i>
    <i>
      <x v="625"/>
    </i>
    <i>
      <x v="409"/>
    </i>
    <i>
      <x v="383"/>
    </i>
    <i>
      <x v="414"/>
    </i>
    <i>
      <x v="561"/>
    </i>
    <i>
      <x v="416"/>
    </i>
    <i>
      <x v="585"/>
    </i>
    <i>
      <x v="417"/>
    </i>
    <i>
      <x v="615"/>
    </i>
    <i>
      <x v="419"/>
    </i>
    <i>
      <x v="514"/>
    </i>
    <i>
      <x v="425"/>
    </i>
    <i>
      <x v="536"/>
    </i>
    <i>
      <x v="428"/>
    </i>
    <i>
      <x v="543"/>
    </i>
    <i>
      <x v="332"/>
    </i>
    <i>
      <x v="559"/>
    </i>
    <i>
      <x v="356"/>
    </i>
    <i>
      <x v="565"/>
    </i>
    <i>
      <x v="357"/>
    </i>
    <i>
      <x v="582"/>
    </i>
    <i>
      <x v="358"/>
    </i>
    <i>
      <x v="592"/>
    </i>
    <i>
      <x v="441"/>
    </i>
    <i>
      <x v="330"/>
    </i>
    <i>
      <x v="444"/>
    </i>
    <i>
      <x v="618"/>
    </i>
    <i>
      <x v="361"/>
    </i>
    <i>
      <x v="635"/>
    </i>
    <i>
      <x v="450"/>
    </i>
    <i>
      <x v="516"/>
    </i>
    <i>
      <x v="363"/>
    </i>
    <i>
      <x v="525"/>
    </i>
    <i>
      <x v="455"/>
    </i>
    <i>
      <x v="538"/>
    </i>
    <i>
      <x v="461"/>
    </i>
    <i>
      <x v="542"/>
    </i>
    <i>
      <x v="469"/>
    </i>
    <i>
      <x v="385"/>
    </i>
    <i>
      <x v="471"/>
    </i>
    <i>
      <x v="554"/>
    </i>
    <i>
      <x v="473"/>
    </i>
    <i>
      <x v="560"/>
    </i>
    <i>
      <x v="475"/>
    </i>
    <i>
      <x v="386"/>
    </i>
    <i>
      <x v="476"/>
    </i>
    <i>
      <x v="568"/>
    </i>
    <i>
      <x v="478"/>
    </i>
    <i>
      <x v="578"/>
    </i>
    <i>
      <x v="325"/>
    </i>
    <i>
      <x v="583"/>
    </i>
    <i>
      <x v="488"/>
    </i>
    <i>
      <x v="588"/>
    </i>
    <i>
      <x v="372"/>
    </i>
    <i>
      <x v="600"/>
    </i>
    <i>
      <x v="495"/>
    </i>
    <i>
      <x v="603"/>
    </i>
    <i>
      <x v="497"/>
    </i>
    <i>
      <x v="397"/>
    </i>
    <i>
      <x v="498"/>
    </i>
    <i>
      <x v="616"/>
    </i>
    <i>
      <x v="373"/>
    </i>
    <i>
      <x v="398"/>
    </i>
    <i>
      <x v="509"/>
    </i>
    <i>
      <x v="631"/>
    </i>
    <i>
      <x v="632"/>
    </i>
    <i>
      <x v="633"/>
    </i>
    <i>
      <x v="287"/>
    </i>
    <i>
      <x v="248"/>
    </i>
    <i>
      <x v="220"/>
    </i>
    <i>
      <x v="120"/>
    </i>
    <i>
      <x v="99"/>
    </i>
    <i>
      <x v="40"/>
    </i>
    <i>
      <x v="307"/>
    </i>
    <i>
      <x v="124"/>
    </i>
    <i>
      <x v="234"/>
    </i>
    <i>
      <x v="129"/>
    </i>
    <i>
      <x v="263"/>
    </i>
    <i>
      <x v="130"/>
    </i>
    <i>
      <x v="282"/>
    </i>
    <i>
      <x v="132"/>
    </i>
    <i>
      <x v="6"/>
    </i>
    <i>
      <x v="135"/>
    </i>
    <i>
      <x v="37"/>
    </i>
    <i>
      <x v="1"/>
    </i>
    <i>
      <x v="224"/>
    </i>
    <i>
      <x v="140"/>
    </i>
    <i>
      <x v="238"/>
    </i>
    <i>
      <x v="50"/>
    </i>
    <i>
      <x v="95"/>
    </i>
    <i>
      <x v="143"/>
    </i>
    <i>
      <x v="267"/>
    </i>
    <i>
      <x v="53"/>
    </i>
    <i>
      <x v="277"/>
    </i>
    <i>
      <x v="151"/>
    </i>
    <i>
      <x v="284"/>
    </i>
    <i>
      <x v="153"/>
    </i>
    <i>
      <x v="290"/>
    </i>
    <i>
      <x v="10"/>
    </i>
    <i>
      <x v="304"/>
    </i>
    <i>
      <x v="57"/>
    </i>
    <i>
      <x v="215"/>
    </i>
    <i>
      <x v="319"/>
    </i>
    <i>
      <x v="219"/>
    </i>
    <i>
      <x v="166"/>
    </i>
    <i>
      <x v="223"/>
    </i>
    <i>
      <x v="181"/>
    </i>
    <i>
      <x v="230"/>
    </i>
    <i>
      <x v="182"/>
    </i>
    <i>
      <x v="84"/>
    </i>
    <i>
      <x v="184"/>
    </i>
    <i>
      <x v="28"/>
    </i>
    <i>
      <x v="16"/>
    </i>
    <i>
      <x v="250"/>
    </i>
    <i>
      <x v="66"/>
    </i>
    <i>
      <x v="96"/>
    </i>
    <i>
      <x v="193"/>
    </i>
    <i>
      <x v="97"/>
    </i>
    <i>
      <x v="69"/>
    </i>
    <i>
      <x v="271"/>
    </i>
    <i>
      <x v="17"/>
    </i>
    <i>
      <x v="104"/>
    </i>
    <i>
      <x v="196"/>
    </i>
    <i>
      <x v="106"/>
    </i>
    <i>
      <x v="73"/>
    </i>
    <i>
      <x v="283"/>
    </i>
    <i>
      <x v="200"/>
    </i>
    <i>
      <x v="286"/>
    </i>
    <i>
      <x v="202"/>
    </i>
    <i>
      <x v="107"/>
    </i>
    <i>
      <x v="205"/>
    </i>
    <i>
      <x v="109"/>
    </i>
    <i>
      <x v="206"/>
    </i>
    <i>
      <x v="303"/>
    </i>
    <i>
      <x v="76"/>
    </i>
    <i>
      <x v="305"/>
    </i>
    <i>
      <x v="212"/>
    </i>
    <i>
      <x v="114"/>
    </i>
    <i>
      <x v="214"/>
    </i>
    <i>
      <x v="217"/>
    </i>
    <i>
      <x v="348"/>
    </i>
    <i>
      <x v="580"/>
    </i>
    <i>
      <x v="474"/>
    </i>
    <i>
      <x v="422"/>
    </i>
    <i>
      <x v="483"/>
    </i>
    <i>
      <x v="362"/>
    </i>
    <i>
      <x v="621"/>
    </i>
    <i>
      <x v="423"/>
    </i>
    <i>
      <x v="388"/>
    </i>
    <i>
      <x v="637"/>
    </i>
    <i>
      <x v="587"/>
    </i>
    <i>
      <x v="424"/>
    </i>
    <i>
      <x v="484"/>
    </i>
    <i>
      <x v="412"/>
    </i>
    <i>
      <x v="496"/>
    </i>
    <i>
      <x v="518"/>
    </i>
    <i>
      <x v="420"/>
    </i>
    <i>
      <x v="401"/>
    </i>
    <i>
      <x v="352"/>
    </i>
    <i>
      <x v="381"/>
    </i>
    <i>
      <x v="577"/>
    </i>
    <i>
      <x v="324"/>
    </i>
    <i>
      <x v="320"/>
    </i>
    <i>
      <x v="365"/>
    </i>
    <i>
      <x v="589"/>
    </i>
    <i>
      <x v="526"/>
    </i>
    <i>
      <x v="594"/>
    </i>
    <i>
      <x v="528"/>
    </i>
    <i>
      <x v="333"/>
    </i>
    <i>
      <x v="533"/>
    </i>
    <i>
      <x v="347"/>
    </i>
    <i>
      <x v="535"/>
    </i>
    <i>
      <x v="359"/>
    </i>
    <i>
      <x v="459"/>
    </i>
    <i>
      <x v="400"/>
    </i>
    <i>
      <x v="537"/>
    </i>
    <i>
      <x v="503"/>
    </i>
    <i>
      <x v="366"/>
    </i>
    <i>
      <x v="430"/>
    </i>
    <i>
      <x v="540"/>
    </i>
    <i>
      <x v="387"/>
    </i>
    <i>
      <x v="350"/>
    </i>
    <i>
      <x v="574"/>
    </i>
    <i>
      <x v="367"/>
    </i>
    <i>
      <x v="477"/>
    </i>
    <i>
      <x v="463"/>
    </i>
    <i>
      <x v="415"/>
    </i>
    <i>
      <x v="545"/>
    </i>
    <i>
      <x v="481"/>
    </i>
    <i>
      <x v="546"/>
    </i>
    <i>
      <x v="482"/>
    </i>
    <i>
      <x v="384"/>
    </i>
    <i>
      <x v="591"/>
    </i>
    <i>
      <x v="548"/>
    </i>
    <i>
      <x v="391"/>
    </i>
    <i>
      <x v="464"/>
    </i>
    <i>
      <x v="595"/>
    </i>
    <i>
      <x v="551"/>
    </i>
    <i>
      <x v="370"/>
    </i>
    <i>
      <x v="552"/>
    </i>
    <i>
      <x v="394"/>
    </i>
    <i>
      <x v="466"/>
    </i>
    <i>
      <x v="610"/>
    </i>
    <i>
      <x v="351"/>
    </i>
    <i>
      <x v="418"/>
    </i>
    <i>
      <x v="556"/>
    </i>
    <i>
      <x v="617"/>
    </i>
    <i>
      <x v="558"/>
    </i>
    <i>
      <x v="410"/>
    </i>
    <i>
      <x v="470"/>
    </i>
    <i>
      <x v="345"/>
    </i>
    <i>
      <x v="403"/>
    </i>
    <i>
      <x v="624"/>
    </i>
    <i>
      <x v="369"/>
    </i>
    <i>
      <x v="630"/>
    </i>
    <i>
      <x v="429"/>
    </i>
    <i>
      <x v="508"/>
    </i>
    <i>
      <x v="564"/>
    </i>
    <i>
      <x v="376"/>
    </i>
    <i>
      <x v="636"/>
    </i>
    <i>
      <x v="338"/>
    </i>
    <i>
      <x v="513"/>
    </i>
    <i>
      <x v="379"/>
    </i>
    <i>
      <x v="297"/>
    </i>
    <i>
      <x v="150"/>
    </i>
    <i>
      <x v="33"/>
    </i>
    <i>
      <x v="126"/>
    </i>
    <i>
      <x v="125"/>
    </i>
    <i>
      <x v="218"/>
    </i>
    <i>
      <x v="36"/>
    </i>
    <i>
      <x v="167"/>
    </i>
    <i>
      <x v="272"/>
    </i>
    <i>
      <x v="11"/>
    </i>
    <i>
      <x v="198"/>
    </i>
    <i>
      <x v="18"/>
    </i>
    <i>
      <x v="293"/>
    </i>
    <i>
      <x v="12"/>
    </i>
    <i>
      <x v="48"/>
    </i>
    <i>
      <x v="171"/>
    </i>
    <i>
      <x v="115"/>
    </i>
    <i>
      <x v="225"/>
    </i>
    <i>
      <x v="268"/>
    </i>
    <i>
      <x v="79"/>
    </i>
    <i>
      <x v="121"/>
    </i>
    <i>
      <x v="21"/>
    </i>
    <i>
      <x v="133"/>
    </i>
    <i>
      <x v="4"/>
    </i>
    <i>
      <x v="285"/>
    </i>
    <i>
      <x v="173"/>
    </i>
    <i>
      <x v="155"/>
    </i>
    <i>
      <x v="232"/>
    </i>
    <i>
      <x v="46"/>
    </i>
    <i>
      <x v="233"/>
    </i>
    <i>
      <x v="299"/>
    </i>
    <i>
      <x v="14"/>
    </i>
    <i>
      <x v="163"/>
    </i>
    <i>
      <x v="83"/>
    </i>
    <i>
      <x v="315"/>
    </i>
    <i>
      <x v="175"/>
    </i>
    <i>
      <x v="216"/>
    </i>
    <i>
      <x v="2"/>
    </i>
    <i>
      <x v="189"/>
    </i>
    <i>
      <x v="27"/>
    </i>
    <i>
      <x v="191"/>
    </i>
    <i>
      <x v="241"/>
    </i>
    <i>
      <x v="51"/>
    </i>
    <i>
      <x v="39"/>
    </i>
    <i>
      <x v="105"/>
    </i>
    <i>
      <x v="88"/>
    </i>
    <i>
      <x v="279"/>
    </i>
    <i>
      <x v="245"/>
    </i>
    <i>
      <x v="55"/>
    </i>
    <i>
      <x v="5"/>
    </i>
    <i>
      <x v="74"/>
    </i>
    <i>
      <x v="141"/>
    </i>
    <i>
      <x v="134"/>
    </i>
    <i>
      <x v="90"/>
    </i>
    <i>
      <x v="204"/>
    </i>
    <i>
      <x v="183"/>
    </i>
    <i>
      <x v="291"/>
    </i>
    <i>
      <x v="92"/>
    </i>
    <i>
      <x v="108"/>
    </i>
    <i>
      <x v="253"/>
    </i>
    <i>
      <x v="207"/>
    </i>
    <i>
      <x v="255"/>
    </i>
    <i>
      <x v="298"/>
    </i>
    <i>
      <x v="32"/>
    </i>
    <i>
      <x v="59"/>
    </i>
    <i>
      <x v="257"/>
    </i>
    <i>
      <x v="77"/>
    </i>
    <i>
      <x v="258"/>
    </i>
    <i>
      <x v="112"/>
    </i>
    <i>
      <x v="118"/>
    </i>
    <i>
      <x v="165"/>
    </i>
    <i>
      <x v="45"/>
    </i>
    <i>
      <x v="316"/>
    </i>
    <i>
      <x v="261"/>
    </i>
    <i>
      <x v="116"/>
    </i>
    <i>
      <x v="186"/>
    </i>
    <i>
      <x v="145"/>
    </i>
    <i>
      <x v="159"/>
    </i>
    <i>
      <x v="620"/>
    </i>
    <i>
      <x v="490"/>
    </i>
    <i>
      <x v="555"/>
    </i>
    <i>
      <x v="507"/>
    </i>
    <i>
      <x v="612"/>
    </i>
    <i>
      <x v="331"/>
    </i>
    <i>
      <x v="628"/>
    </i>
    <i>
      <x v="421"/>
    </i>
    <i>
      <x v="448"/>
    </i>
    <i>
      <x v="413"/>
    </i>
    <i>
      <x v="608"/>
    </i>
    <i>
      <x v="511"/>
    </i>
    <i>
      <x v="494"/>
    </i>
    <i>
      <x v="563"/>
    </i>
    <i>
      <x v="500"/>
    </i>
    <i>
      <x v="457"/>
    </i>
    <i>
      <x v="453"/>
    </i>
    <i>
      <x v="349"/>
    </i>
    <i>
      <x v="557"/>
    </i>
    <i>
      <x v="566"/>
    </i>
    <i>
      <x v="534"/>
    </i>
    <i>
      <x v="567"/>
    </i>
    <i>
      <x v="329"/>
    </i>
    <i>
      <x v="442"/>
    </i>
    <i>
      <x v="492"/>
    </i>
    <i>
      <x v="569"/>
    </i>
    <i>
      <x v="614"/>
    </i>
    <i>
      <x v="515"/>
    </i>
    <i>
      <x v="449"/>
    </i>
    <i>
      <x v="571"/>
    </i>
    <i>
      <x v="451"/>
    </i>
    <i>
      <x v="480"/>
    </i>
    <i>
      <x v="626"/>
    </i>
    <i>
      <x v="517"/>
    </i>
    <i>
      <x v="501"/>
    </i>
    <i>
      <x v="334"/>
    </i>
    <i>
      <x v="634"/>
    </i>
    <i>
      <x v="575"/>
    </i>
    <i>
      <x v="638"/>
    </i>
    <i>
      <x v="576"/>
    </i>
    <i>
      <x v="599"/>
    </i>
    <i>
      <x v="327"/>
    </i>
    <i>
      <x v="601"/>
    </i>
    <i>
      <x v="355"/>
    </i>
    <i>
      <x v="489"/>
    </i>
    <i>
      <x v="579"/>
    </i>
    <i>
      <x v="605"/>
    </i>
    <i>
      <x v="380"/>
    </i>
    <i>
      <x v="607"/>
    </i>
    <i>
      <x v="340"/>
    </i>
    <i>
      <x v="467"/>
    </i>
    <i>
      <x v="522"/>
    </i>
    <i>
      <x v="539"/>
    </i>
    <i>
      <x v="411"/>
    </i>
    <i>
      <x v="613"/>
    </i>
    <i>
      <x v="584"/>
    </i>
    <i>
      <x v="493"/>
    </i>
    <i>
      <x v="446"/>
    </i>
    <i>
      <x v="368"/>
    </i>
    <i>
      <x v="586"/>
    </i>
    <i>
      <x v="544"/>
    </i>
    <i>
      <x v="485"/>
    </i>
    <i>
      <x v="437"/>
    </i>
    <i>
      <x v="436"/>
    </i>
    <i>
      <x v="452"/>
    </i>
    <i>
      <x v="527"/>
    </i>
    <i>
      <x v="549"/>
    </i>
    <i>
      <x v="341"/>
    </i>
    <i>
      <x v="627"/>
    </i>
    <i>
      <x v="465"/>
    </i>
    <i>
      <x v="629"/>
    </i>
    <i>
      <x v="382"/>
    </i>
    <i>
      <x v="502"/>
    </i>
    <i>
      <x v="530"/>
    </i>
    <i>
      <x v="504"/>
    </i>
    <i>
      <x v="531"/>
    </i>
    <i>
      <x v="374"/>
    </i>
    <i>
      <x v="532"/>
    </i>
    <i>
      <x v="321"/>
    </i>
    <i>
      <x v="596"/>
    </i>
    <i>
      <x v="639"/>
    </i>
    <i>
      <x v="392"/>
    </i>
    <i>
      <x v="328"/>
    </i>
    <i>
      <x v="13"/>
    </i>
    <i>
      <x v="278"/>
    </i>
    <i>
      <x v="310"/>
    </i>
    <i>
      <x v="52"/>
    </i>
    <i>
      <x v="147"/>
    </i>
    <i>
      <x v="81"/>
    </i>
    <i>
      <x v="302"/>
    </i>
    <i>
      <x v="119"/>
    </i>
    <i>
      <x v="164"/>
    </i>
    <i>
      <x v="8"/>
    </i>
    <i>
      <x v="203"/>
    </i>
    <i>
      <x v="170"/>
    </i>
    <i>
      <x v="210"/>
    </i>
    <i>
      <x v="237"/>
    </i>
    <i>
      <x v="110"/>
    </i>
    <i>
      <x v="54"/>
    </i>
    <i>
      <x v="306"/>
    </i>
    <i>
      <x v="239"/>
    </i>
    <i>
      <x v="314"/>
    </i>
    <i>
      <x v="172"/>
    </i>
    <i>
      <x v="100"/>
    </i>
    <i>
      <x v="34"/>
    </i>
    <i>
      <x v="280"/>
    </i>
    <i>
      <x v="85"/>
    </i>
    <i>
      <x v="103"/>
    </i>
    <i>
      <x v="9"/>
    </i>
    <i>
      <x v="68"/>
    </i>
    <i>
      <x v="244"/>
    </i>
    <i>
      <x v="292"/>
    </i>
    <i>
      <x v="176"/>
    </i>
    <i>
      <x v="72"/>
    </i>
    <i>
      <x v="246"/>
    </i>
    <i>
      <x v="300"/>
    </i>
    <i>
      <x v="177"/>
    </i>
    <i>
      <x v="157"/>
    </i>
    <i>
      <x v="23"/>
    </i>
    <i>
      <x v="19"/>
    </i>
    <i>
      <x v="179"/>
    </i>
    <i>
      <x v="312"/>
    </i>
    <i>
      <x v="180"/>
    </i>
    <i>
      <x v="162"/>
    </i>
    <i>
      <x v="251"/>
    </i>
    <i>
      <x v="231"/>
    </i>
    <i>
      <x v="58"/>
    </i>
    <i>
      <x v="101"/>
    </i>
    <i>
      <x v="127"/>
    </i>
    <i>
      <x v="201"/>
    </i>
    <i>
      <x v="254"/>
    </i>
    <i>
      <x v="102"/>
    </i>
    <i>
      <x v="128"/>
    </i>
    <i>
      <x v="144"/>
    </i>
    <i>
      <x v="24"/>
    </i>
    <i>
      <x v="146"/>
    </i>
    <i>
      <x v="38"/>
    </i>
    <i>
      <x v="208"/>
    </i>
    <i>
      <x v="91"/>
    </i>
    <i>
      <x v="289"/>
    </i>
    <i>
      <x v="187"/>
    </i>
    <i>
      <x v="211"/>
    </i>
    <i>
      <x v="25"/>
    </i>
    <i>
      <x v="44"/>
    </i>
    <i>
      <x v="26"/>
    </i>
    <i>
      <x v="71"/>
    </i>
    <i>
      <x v="262"/>
    </i>
    <i>
      <x v="3"/>
    </i>
    <i>
      <x v="190"/>
    </i>
    <i>
      <x v="47"/>
    </i>
    <i>
      <x v="94"/>
    </i>
    <i>
      <x v="301"/>
    </i>
    <i>
      <x v="265"/>
    </i>
    <i>
      <x v="75"/>
    </i>
    <i>
      <x v="192"/>
    </i>
    <i>
      <x v="221"/>
    </i>
    <i>
      <x v="41"/>
    </i>
    <i>
      <x v="158"/>
    </i>
    <i>
      <x v="42"/>
    </i>
    <i>
      <x v="160"/>
    </i>
    <i>
      <x v="269"/>
    </i>
    <i>
      <x v="311"/>
    </i>
    <i>
      <x v="270"/>
    </i>
    <i>
      <x v="30"/>
    </i>
    <i>
      <x v="65"/>
    </i>
    <i>
      <x v="226"/>
    </i>
    <i>
      <x v="43"/>
    </i>
    <i>
      <x v="31"/>
    </i>
    <i>
      <x v="139"/>
    </i>
    <i>
      <x v="20"/>
    </i>
    <i>
      <x v="67"/>
    </i>
    <i>
      <x v="275"/>
    </i>
    <i t="grand">
      <x/>
    </i>
  </rowItems>
  <colItems count="1">
    <i/>
  </colItems>
  <dataFields count="1">
    <dataField name="Sum of Leave_Day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24D69-D3C7-405B-851E-9F6E3D447202}" name="PivotTable1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52" firstHeaderRow="0" firstDataRow="1" firstDataCol="1"/>
  <pivotFields count="9">
    <pivotField showAll="0"/>
    <pivotField axis="axisRow" showAll="0">
      <items count="2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umFmtId="164" showAll="0"/>
    <pivotField showAll="0"/>
    <pivotField dataField="1" showAll="0"/>
    <pivotField showAll="0"/>
    <pivotField showAll="0"/>
    <pivotField showAll="0"/>
    <pivotField dataField="1" showAll="0"/>
  </pivotFields>
  <rowFields count="1">
    <field x="1"/>
  </rowFields>
  <rowItems count="2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rcentage" fld="8" baseField="0" baseItem="0"/>
    <dataField name="Count of Leave_Day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BF25F-3CF6-4F79-B4B4-961E1C73ED6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9">
    <pivotField dataField="1" showAll="0"/>
    <pivotField showAll="0"/>
    <pivotField numFmtId="16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eave_ID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9BE763-09E2-4300-B48B-9F8C4912844A}" name="Table2" displayName="Table2" ref="A1:G3601" totalsRowShown="0" headerRowDxfId="20" headerRowBorderDxfId="19" tableBorderDxfId="18">
  <autoFilter ref="A1:G3601" xr:uid="{3E9BE763-09E2-4300-B48B-9F8C4912844A}"/>
  <tableColumns count="7">
    <tableColumn id="1" xr3:uid="{156344B8-4EE2-409D-9848-11F1BD7C151A}" name="Employee_ID"/>
    <tableColumn id="2" xr3:uid="{647F55CC-082C-4938-A713-9AF03C4B2F5F}" name="Month" dataDxfId="17"/>
    <tableColumn id="3" xr3:uid="{CBE1EFAD-788B-4312-A8AD-822B88ED847E}" name="Working_Days"/>
    <tableColumn id="4" xr3:uid="{593CAC16-D6B9-4195-99A6-925C1321682F}" name="Present_Days"/>
    <tableColumn id="5" xr3:uid="{89C3B3DF-CD60-4C1B-9264-383ABCA99A3D}" name="Absent_Days"/>
    <tableColumn id="6" xr3:uid="{14F99372-2744-4487-B546-F69D11A19BA5}" name="Late_Days"/>
    <tableColumn id="7" xr3:uid="{C6A0E649-89EA-4139-9632-8686729174B2}" name="Attendance_Percentag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D45EE3-C2FC-474E-8FE7-5F17F0AEB65A}" name="Table1" displayName="Table1" ref="A1:Q301" totalsRowShown="0" headerRowDxfId="28" headerRowBorderDxfId="27" tableBorderDxfId="26">
  <autoFilter ref="A1:Q301" xr:uid="{ABD45EE3-C2FC-474E-8FE7-5F17F0AEB65A}"/>
  <tableColumns count="17">
    <tableColumn id="1" xr3:uid="{E89F9ED4-0F09-4284-AD0B-EF221C666146}" name="Employee_ID"/>
    <tableColumn id="2" xr3:uid="{844E3D7C-32DF-430C-8FAB-6F2E7C39D837}" name="Employee_Name"/>
    <tableColumn id="3" xr3:uid="{BE543EFF-C0E2-4569-9014-B02001437708}" name="Gender"/>
    <tableColumn id="4" xr3:uid="{982D9937-9B29-41B7-95F3-C67F3A7B6EE1}" name="Age"/>
    <tableColumn id="5" xr3:uid="{26CF5DFB-C171-46C4-A02B-CEC2DEC5D38D}" name="Department"/>
    <tableColumn id="6" xr3:uid="{48767E4D-C735-43AD-B956-777189CECE6F}" name="Position"/>
    <tableColumn id="7" xr3:uid="{CD2216FC-E697-462C-9327-5CA2E1B7DC36}" name="Salary"/>
    <tableColumn id="8" xr3:uid="{834552B1-6D02-42A0-A554-58285E5DA76B}" name="Hire_Date" dataDxfId="25"/>
    <tableColumn id="9" xr3:uid="{9729C473-FE44-4465-971A-66A2D610D17A}" name="Years_of_Service"/>
    <tableColumn id="10" xr3:uid="{6DF0C34C-EC90-419C-96DB-8B3E2621B633}" name="Recruitment_Source"/>
    <tableColumn id="11" xr3:uid="{DD399786-3859-43E5-AF59-A4E3E06F649F}" name="Performance_Score"/>
    <tableColumn id="12" xr3:uid="{057F759F-3424-4452-B8B7-C61FA18EAC29}" name="Attendance_Percentage"/>
    <tableColumn id="13" xr3:uid="{99DA34E0-9BCB-4BC6-821C-B055DC4C1E54}" name="Absence_Days"/>
    <tableColumn id="14" xr3:uid="{014A07B5-5C9A-4AB8-A275-E87C559A14E8}" name="Leave_Days" dataDxfId="24"/>
    <tableColumn id="15" xr3:uid="{4FB97F3F-E40C-4C0C-9EB1-DC5F1BC403F8}" name="Employment_Status" dataDxfId="23"/>
    <tableColumn id="16" xr3:uid="{4F49B902-4282-4B36-91F4-A1141CCA0914}" name="Termination_Date" dataDxfId="22"/>
    <tableColumn id="17" xr3:uid="{EFCF408D-634E-45D3-A501-224C7424FEBF}" name="Location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306860-65A8-4557-8F6E-B3D11EDF9A59}" name="Table3" displayName="Table3" ref="A1:I641" totalsRowShown="0" headerRowDxfId="16" headerRowBorderDxfId="15" tableBorderDxfId="14">
  <autoFilter ref="A1:I641" xr:uid="{80306860-65A8-4557-8F6E-B3D11EDF9A59}"/>
  <tableColumns count="9">
    <tableColumn id="1" xr3:uid="{C16B5675-5CD7-4068-9C7F-B9CFD7277F3F}" name="Leave_ID"/>
    <tableColumn id="2" xr3:uid="{298752E6-FB23-4DC8-9039-EAD395AE4058}" name="Employee_ID"/>
    <tableColumn id="3" xr3:uid="{CC4C7D8C-D793-41CD-B7F3-360CAAEA2F98}" name="Leave_Date" dataDxfId="13"/>
    <tableColumn id="4" xr3:uid="{51C10707-055A-4065-AC86-5C80DA8D0D95}" name="Leave_Type"/>
    <tableColumn id="5" xr3:uid="{2B60F58A-698B-42E9-8999-977907588D3E}" name="Leave_Days"/>
    <tableColumn id="8" xr3:uid="{BB3BA1DE-EC0F-4733-8AEF-C5A46184DD2C}" name="Department" dataDxfId="12">
      <calculatedColumnFormula>_xlfn.XLOOKUP(B2,Employee_Master!A:A,Employee_Master!E:E,"Not Found")</calculatedColumnFormula>
    </tableColumn>
    <tableColumn id="6" xr3:uid="{BE7007E0-466D-4E4B-98DF-9DB131B76A28}" name="Status"/>
    <tableColumn id="9" xr3:uid="{6C89CE2A-045A-43CE-8491-67781005AD0F}" name="Average" dataDxfId="11">
      <calculatedColumnFormula>AVERAGE(E2:E641)</calculatedColumnFormula>
    </tableColumn>
    <tableColumn id="10" xr3:uid="{BDD86CDB-E0B1-4E24-A581-999848998EA0}" name="Percentage" dataDxfId="10">
      <calculatedColumnFormula>COUNTIF(G1:G640,"Approved")/COUNTA(G1:G640)*100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24A576-0049-4F46-8AC8-2E5FDDBE4894}" name="Table4" displayName="Table4" ref="K620:L622" totalsRowShown="0">
  <autoFilter ref="K620:L622" xr:uid="{3624A576-0049-4F46-8AC8-2E5FDDBE4894}"/>
  <tableColumns count="2">
    <tableColumn id="1" xr3:uid="{6E9FFED6-6EA3-4977-BF8F-69D77C975A0A}" name="Column1"/>
    <tableColumn id="2" xr3:uid="{85AA8E9C-D7CF-492B-8D37-E66A0AA2EBC0}" name="Column2">
      <calculatedColumnFormula>SUM(E1:E640)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4A490C-A826-4A50-A3B9-8DBFA0C83CB0}" name="Table37" displayName="Table37" ref="A1:I641" totalsRowShown="0" headerRowDxfId="9" headerRowBorderDxfId="8" tableBorderDxfId="7">
  <autoFilter ref="A1:I641" xr:uid="{EA4A490C-A826-4A50-A3B9-8DBFA0C83CB0}"/>
  <tableColumns count="9">
    <tableColumn id="1" xr3:uid="{990D0CD3-BD25-4EB2-ADBC-4123D591C7D5}" name="Leave_ID"/>
    <tableColumn id="2" xr3:uid="{BB16A9E2-E6E7-4ABC-9253-367F00D944EE}" name="Employee_ID"/>
    <tableColumn id="3" xr3:uid="{C8BEA599-9909-4D49-8F9D-CA975DEFAA2D}" name="Leave_Date" dataDxfId="6"/>
    <tableColumn id="4" xr3:uid="{DF88449C-C3EF-4764-8137-55E6C53F4FEE}" name="Leave_Type"/>
    <tableColumn id="5" xr3:uid="{925607DB-DB66-448C-996A-688E84CBCBB5}" name="Leave_Days"/>
    <tableColumn id="8" xr3:uid="{9D397C2D-F550-4D05-85E5-0F987B401B48}" name="Department" dataDxfId="5">
      <calculatedColumnFormula>_xlfn.XLOOKUP(B2,Employee_Master!A:A,Employee_Master!E:E,"Not Found")</calculatedColumnFormula>
    </tableColumn>
    <tableColumn id="6" xr3:uid="{633ECD18-EA6C-4B04-9535-FF1322200774}" name="Status"/>
    <tableColumn id="9" xr3:uid="{4BA0EB2E-BFB8-4489-B57C-9A0AD52C5C95}" name="Average" dataDxfId="4">
      <calculatedColumnFormula>AVERAGE(E2:E641)</calculatedColumnFormula>
    </tableColumn>
    <tableColumn id="10" xr3:uid="{C6A47C02-3AC0-452F-8AD3-CE43C7C257B2}" name="Percentage" dataDxfId="3">
      <calculatedColumnFormula>COUNTIF(G1:G640,"Approved")/COUNTA(G1:G640)*100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467AA5-9641-4BE9-96E4-7427FAD61046}" name="Table7" displayName="Table7" ref="A1:D7" totalsRowShown="0" headerRowDxfId="2" headerRowBorderDxfId="1" tableBorderDxfId="0">
  <autoFilter ref="A1:D7" xr:uid="{75467AA5-9641-4BE9-96E4-7427FAD61046}"/>
  <tableColumns count="4">
    <tableColumn id="1" xr3:uid="{FCAF6882-6488-442D-B467-245AD6F8EEFB}" name="Recruitment_Source"/>
    <tableColumn id="2" xr3:uid="{16D40B1F-1BBE-4439-A232-0237FE41C492}" name="Total_Hires"/>
    <tableColumn id="3" xr3:uid="{08A6E99A-12CD-4203-B1B4-86B2749E62A9}" name="Average_Performance"/>
    <tableColumn id="4" xr3:uid="{D533409F-BE5D-4BAA-9441-544F77972B7D}" name="Average_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activeCell="C19" sqref="C19"/>
      <selection pane="bottomLeft" activeCell="C19" sqref="C19"/>
    </sheetView>
  </sheetViews>
  <sheetFormatPr defaultRowHeight="14.4"/>
  <cols>
    <col min="1" max="5" width="30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F2C7-63D5-4B8C-911E-31858220A383}">
  <dimension ref="A3:B26"/>
  <sheetViews>
    <sheetView zoomScale="53" workbookViewId="0">
      <selection activeCell="C19" sqref="C19"/>
    </sheetView>
  </sheetViews>
  <sheetFormatPr defaultRowHeight="14.4"/>
  <cols>
    <col min="1" max="1" width="27.88671875" bestFit="1" customWidth="1"/>
    <col min="2" max="2" width="15.77734375" bestFit="1" customWidth="1"/>
  </cols>
  <sheetData>
    <row r="3" spans="1:2">
      <c r="A3" s="8" t="s">
        <v>390</v>
      </c>
      <c r="B3" t="s">
        <v>392</v>
      </c>
    </row>
    <row r="4" spans="1:2">
      <c r="A4" s="9" t="s">
        <v>136</v>
      </c>
      <c r="B4">
        <v>52466.666666666664</v>
      </c>
    </row>
    <row r="5" spans="1:2">
      <c r="A5" s="9" t="s">
        <v>52</v>
      </c>
      <c r="B5">
        <v>41562.5</v>
      </c>
    </row>
    <row r="6" spans="1:2">
      <c r="A6" s="9" t="s">
        <v>71</v>
      </c>
      <c r="B6">
        <v>34285.714285714283</v>
      </c>
    </row>
    <row r="7" spans="1:2">
      <c r="A7" s="9" t="s">
        <v>36</v>
      </c>
      <c r="B7">
        <v>60800</v>
      </c>
    </row>
    <row r="8" spans="1:2">
      <c r="A8" s="9" t="s">
        <v>93</v>
      </c>
      <c r="B8">
        <v>49125</v>
      </c>
    </row>
    <row r="9" spans="1:2">
      <c r="A9" s="9" t="s">
        <v>78</v>
      </c>
      <c r="B9">
        <v>51571.428571428572</v>
      </c>
    </row>
    <row r="10" spans="1:2">
      <c r="A10" s="9" t="s">
        <v>59</v>
      </c>
      <c r="B10">
        <v>55500</v>
      </c>
    </row>
    <row r="11" spans="1:2">
      <c r="A11" s="9" t="s">
        <v>48</v>
      </c>
      <c r="B11">
        <v>45750</v>
      </c>
    </row>
    <row r="12" spans="1:2">
      <c r="A12" s="9" t="s">
        <v>89</v>
      </c>
      <c r="B12">
        <v>44250</v>
      </c>
    </row>
    <row r="13" spans="1:2">
      <c r="A13" s="9" t="s">
        <v>30</v>
      </c>
      <c r="B13">
        <v>47846.153846153844</v>
      </c>
    </row>
    <row r="14" spans="1:2">
      <c r="A14" s="9" t="s">
        <v>66</v>
      </c>
      <c r="B14">
        <v>41000</v>
      </c>
    </row>
    <row r="15" spans="1:2">
      <c r="A15" s="9" t="s">
        <v>103</v>
      </c>
      <c r="B15">
        <v>41333.333333333336</v>
      </c>
    </row>
    <row r="16" spans="1:2">
      <c r="A16" s="9" t="s">
        <v>86</v>
      </c>
      <c r="B16">
        <v>36888.888888888891</v>
      </c>
    </row>
    <row r="17" spans="1:2">
      <c r="A17" s="9" t="s">
        <v>108</v>
      </c>
      <c r="B17">
        <v>34416.666666666664</v>
      </c>
    </row>
    <row r="18" spans="1:2">
      <c r="A18" s="9" t="s">
        <v>81</v>
      </c>
      <c r="B18">
        <v>48357.142857142855</v>
      </c>
    </row>
    <row r="19" spans="1:2">
      <c r="A19" s="9" t="s">
        <v>64</v>
      </c>
      <c r="B19">
        <v>44750</v>
      </c>
    </row>
    <row r="20" spans="1:2">
      <c r="A20" s="9" t="s">
        <v>73</v>
      </c>
      <c r="B20">
        <v>40600</v>
      </c>
    </row>
    <row r="21" spans="1:2">
      <c r="A21" s="9" t="s">
        <v>55</v>
      </c>
      <c r="B21">
        <v>45235.294117647056</v>
      </c>
    </row>
    <row r="22" spans="1:2">
      <c r="A22" s="9" t="s">
        <v>69</v>
      </c>
      <c r="B22">
        <v>56076.923076923078</v>
      </c>
    </row>
    <row r="23" spans="1:2">
      <c r="A23" s="9" t="s">
        <v>42</v>
      </c>
      <c r="B23">
        <v>35928.571428571428</v>
      </c>
    </row>
    <row r="24" spans="1:2">
      <c r="A24" s="9" t="s">
        <v>96</v>
      </c>
      <c r="B24">
        <v>34333.333333333336</v>
      </c>
    </row>
    <row r="25" spans="1:2">
      <c r="A25" s="9" t="s">
        <v>101</v>
      </c>
      <c r="B25">
        <v>47500</v>
      </c>
    </row>
    <row r="26" spans="1:2">
      <c r="A26" s="9" t="s">
        <v>391</v>
      </c>
      <c r="B26">
        <v>45356.666666666664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7FED-6CCE-4129-8C37-CC2B4CE388BC}">
  <dimension ref="A3:B11"/>
  <sheetViews>
    <sheetView zoomScale="53" workbookViewId="0">
      <selection activeCell="C19" sqref="C19"/>
    </sheetView>
  </sheetViews>
  <sheetFormatPr defaultRowHeight="14.4"/>
  <cols>
    <col min="1" max="2" width="15.77734375" bestFit="1" customWidth="1"/>
  </cols>
  <sheetData>
    <row r="3" spans="1:2">
      <c r="A3" s="8" t="s">
        <v>390</v>
      </c>
      <c r="B3" t="s">
        <v>392</v>
      </c>
    </row>
    <row r="4" spans="1:2">
      <c r="A4" s="9" t="s">
        <v>41</v>
      </c>
      <c r="B4">
        <v>34875</v>
      </c>
    </row>
    <row r="5" spans="1:2">
      <c r="A5" s="9" t="s">
        <v>58</v>
      </c>
      <c r="B5">
        <v>53162.79069767442</v>
      </c>
    </row>
    <row r="6" spans="1:2">
      <c r="A6" s="9" t="s">
        <v>47</v>
      </c>
      <c r="B6">
        <v>44931.818181818184</v>
      </c>
    </row>
    <row r="7" spans="1:2">
      <c r="A7" s="9" t="s">
        <v>35</v>
      </c>
      <c r="B7">
        <v>53481.481481481482</v>
      </c>
    </row>
    <row r="8" spans="1:2">
      <c r="A8" s="9" t="s">
        <v>29</v>
      </c>
      <c r="B8">
        <v>46763.15789473684</v>
      </c>
    </row>
    <row r="9" spans="1:2">
      <c r="A9" s="9" t="s">
        <v>85</v>
      </c>
      <c r="B9">
        <v>37606.060606060608</v>
      </c>
    </row>
    <row r="10" spans="1:2">
      <c r="A10" s="9" t="s">
        <v>51</v>
      </c>
      <c r="B10">
        <v>42562.5</v>
      </c>
    </row>
    <row r="11" spans="1:2">
      <c r="A11" s="9" t="s">
        <v>391</v>
      </c>
      <c r="B11">
        <v>45356.666666666664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C0AB-CEA1-46E3-A211-9A07D7FA50B8}">
  <dimension ref="A3:B9"/>
  <sheetViews>
    <sheetView topLeftCell="C1" workbookViewId="0">
      <selection activeCell="C19" sqref="C19"/>
    </sheetView>
  </sheetViews>
  <sheetFormatPr defaultRowHeight="14.4"/>
  <cols>
    <col min="1" max="1" width="12.5546875" bestFit="1" customWidth="1"/>
    <col min="2" max="2" width="15.77734375" bestFit="1" customWidth="1"/>
  </cols>
  <sheetData>
    <row r="3" spans="1:2">
      <c r="A3" s="8" t="s">
        <v>390</v>
      </c>
      <c r="B3" t="s">
        <v>392</v>
      </c>
    </row>
    <row r="4" spans="1:2">
      <c r="A4" s="9" t="s">
        <v>44</v>
      </c>
      <c r="B4">
        <v>47133.333333333336</v>
      </c>
    </row>
    <row r="5" spans="1:2">
      <c r="A5" s="9" t="s">
        <v>39</v>
      </c>
      <c r="B5">
        <v>45387.096774193546</v>
      </c>
    </row>
    <row r="6" spans="1:2">
      <c r="A6" s="9" t="s">
        <v>33</v>
      </c>
      <c r="B6">
        <v>43365.079365079364</v>
      </c>
    </row>
    <row r="7" spans="1:2">
      <c r="A7" s="9" t="s">
        <v>60</v>
      </c>
      <c r="B7">
        <v>44410.714285714283</v>
      </c>
    </row>
    <row r="8" spans="1:2">
      <c r="A8" s="9" t="s">
        <v>75</v>
      </c>
      <c r="B8">
        <v>46542.372881355936</v>
      </c>
    </row>
    <row r="9" spans="1:2">
      <c r="A9" s="9" t="s">
        <v>391</v>
      </c>
      <c r="B9">
        <v>45356.666666666664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01"/>
  <sheetViews>
    <sheetView workbookViewId="0">
      <pane ySplit="1" topLeftCell="A2" activePane="bottomLeft" state="frozen"/>
      <selection activeCell="C19" sqref="C19"/>
      <selection pane="bottomLeft" activeCell="C19" sqref="C19"/>
    </sheetView>
  </sheetViews>
  <sheetFormatPr defaultRowHeight="14.4"/>
  <cols>
    <col min="1" max="1" width="14" customWidth="1"/>
    <col min="2" max="2" width="21" customWidth="1"/>
    <col min="3" max="3" width="15" customWidth="1"/>
    <col min="4" max="4" width="14.21875" customWidth="1"/>
    <col min="5" max="5" width="13.77734375" customWidth="1"/>
    <col min="6" max="6" width="11.44140625" customWidth="1"/>
    <col min="7" max="7" width="23.109375" customWidth="1"/>
  </cols>
  <sheetData>
    <row r="1" spans="1:7">
      <c r="A1" s="6" t="s">
        <v>10</v>
      </c>
      <c r="B1" s="6" t="s">
        <v>371</v>
      </c>
      <c r="C1" s="6" t="s">
        <v>372</v>
      </c>
      <c r="D1" s="6" t="s">
        <v>373</v>
      </c>
      <c r="E1" s="6" t="s">
        <v>374</v>
      </c>
      <c r="F1" s="6" t="s">
        <v>375</v>
      </c>
      <c r="G1" s="6" t="s">
        <v>21</v>
      </c>
    </row>
    <row r="2" spans="1:7">
      <c r="A2">
        <v>1</v>
      </c>
      <c r="B2" s="1">
        <v>45931</v>
      </c>
      <c r="C2">
        <v>20</v>
      </c>
      <c r="D2">
        <v>14</v>
      </c>
      <c r="E2">
        <v>6</v>
      </c>
      <c r="F2">
        <v>1</v>
      </c>
      <c r="G2">
        <v>70</v>
      </c>
    </row>
    <row r="3" spans="1:7">
      <c r="A3">
        <v>1</v>
      </c>
      <c r="B3" s="1">
        <v>45962</v>
      </c>
      <c r="C3">
        <v>18</v>
      </c>
      <c r="D3">
        <v>11</v>
      </c>
      <c r="E3">
        <v>7</v>
      </c>
      <c r="F3">
        <v>6</v>
      </c>
      <c r="G3">
        <v>61.1</v>
      </c>
    </row>
    <row r="4" spans="1:7">
      <c r="A4">
        <v>1</v>
      </c>
      <c r="B4" s="1">
        <v>45992</v>
      </c>
      <c r="C4">
        <v>22</v>
      </c>
      <c r="D4">
        <v>19</v>
      </c>
      <c r="E4">
        <v>3</v>
      </c>
      <c r="F4">
        <v>1</v>
      </c>
      <c r="G4">
        <v>86.4</v>
      </c>
    </row>
    <row r="5" spans="1:7">
      <c r="A5">
        <v>1</v>
      </c>
      <c r="B5" s="1">
        <v>46023</v>
      </c>
      <c r="C5">
        <v>18</v>
      </c>
      <c r="D5">
        <v>12</v>
      </c>
      <c r="E5">
        <v>6</v>
      </c>
      <c r="F5">
        <v>5</v>
      </c>
      <c r="G5">
        <v>66.7</v>
      </c>
    </row>
    <row r="6" spans="1:7">
      <c r="A6">
        <v>1</v>
      </c>
      <c r="B6" s="1">
        <v>46054</v>
      </c>
      <c r="C6">
        <v>21</v>
      </c>
      <c r="D6">
        <v>15</v>
      </c>
      <c r="E6">
        <v>6</v>
      </c>
      <c r="F6">
        <v>3</v>
      </c>
      <c r="G6">
        <v>71.400000000000006</v>
      </c>
    </row>
    <row r="7" spans="1:7">
      <c r="A7">
        <v>1</v>
      </c>
      <c r="B7" s="1">
        <v>46082</v>
      </c>
      <c r="C7">
        <v>21</v>
      </c>
      <c r="D7">
        <v>16</v>
      </c>
      <c r="E7">
        <v>5</v>
      </c>
      <c r="F7">
        <v>3</v>
      </c>
      <c r="G7">
        <v>76.2</v>
      </c>
    </row>
    <row r="8" spans="1:7">
      <c r="A8">
        <v>1</v>
      </c>
      <c r="B8" s="1">
        <v>46113</v>
      </c>
      <c r="C8">
        <v>18</v>
      </c>
      <c r="D8">
        <v>18</v>
      </c>
      <c r="E8">
        <v>0</v>
      </c>
      <c r="F8">
        <v>1</v>
      </c>
      <c r="G8">
        <v>100</v>
      </c>
    </row>
    <row r="9" spans="1:7">
      <c r="A9">
        <v>1</v>
      </c>
      <c r="B9" s="1">
        <v>46143</v>
      </c>
      <c r="C9">
        <v>20</v>
      </c>
      <c r="D9">
        <v>19</v>
      </c>
      <c r="E9">
        <v>1</v>
      </c>
      <c r="F9">
        <v>1</v>
      </c>
      <c r="G9">
        <v>95</v>
      </c>
    </row>
    <row r="10" spans="1:7">
      <c r="A10">
        <v>1</v>
      </c>
      <c r="B10" s="1">
        <v>46174</v>
      </c>
      <c r="C10">
        <v>22</v>
      </c>
      <c r="D10">
        <v>19</v>
      </c>
      <c r="E10">
        <v>3</v>
      </c>
      <c r="F10">
        <v>5</v>
      </c>
      <c r="G10">
        <v>86.4</v>
      </c>
    </row>
    <row r="11" spans="1:7">
      <c r="A11">
        <v>1</v>
      </c>
      <c r="B11" s="1">
        <v>46204</v>
      </c>
      <c r="C11">
        <v>20</v>
      </c>
      <c r="D11">
        <v>17</v>
      </c>
      <c r="E11">
        <v>3</v>
      </c>
      <c r="F11">
        <v>4</v>
      </c>
      <c r="G11">
        <v>85</v>
      </c>
    </row>
    <row r="12" spans="1:7">
      <c r="A12">
        <v>1</v>
      </c>
      <c r="B12" s="1">
        <v>46235</v>
      </c>
      <c r="C12">
        <v>20</v>
      </c>
      <c r="D12">
        <v>13</v>
      </c>
      <c r="E12">
        <v>7</v>
      </c>
      <c r="F12">
        <v>4</v>
      </c>
      <c r="G12">
        <v>65</v>
      </c>
    </row>
    <row r="13" spans="1:7">
      <c r="A13">
        <v>1</v>
      </c>
      <c r="B13" s="1">
        <v>46266</v>
      </c>
      <c r="C13">
        <v>19</v>
      </c>
      <c r="D13">
        <v>17</v>
      </c>
      <c r="E13">
        <v>2</v>
      </c>
      <c r="F13">
        <v>2</v>
      </c>
      <c r="G13">
        <v>89.5</v>
      </c>
    </row>
    <row r="14" spans="1:7">
      <c r="A14">
        <v>2</v>
      </c>
      <c r="B14" s="1">
        <v>45931</v>
      </c>
      <c r="C14">
        <v>18</v>
      </c>
      <c r="D14">
        <v>16</v>
      </c>
      <c r="E14">
        <v>2</v>
      </c>
      <c r="F14">
        <v>5</v>
      </c>
      <c r="G14">
        <v>88.9</v>
      </c>
    </row>
    <row r="15" spans="1:7">
      <c r="A15">
        <v>2</v>
      </c>
      <c r="B15" s="1">
        <v>45962</v>
      </c>
      <c r="C15">
        <v>22</v>
      </c>
      <c r="D15">
        <v>16</v>
      </c>
      <c r="E15">
        <v>6</v>
      </c>
      <c r="F15">
        <v>6</v>
      </c>
      <c r="G15">
        <v>72.7</v>
      </c>
    </row>
    <row r="16" spans="1:7">
      <c r="A16">
        <v>2</v>
      </c>
      <c r="B16" s="1">
        <v>45992</v>
      </c>
      <c r="C16">
        <v>19</v>
      </c>
      <c r="D16">
        <v>10</v>
      </c>
      <c r="E16">
        <v>9</v>
      </c>
      <c r="F16">
        <v>5</v>
      </c>
      <c r="G16">
        <v>52.6</v>
      </c>
    </row>
    <row r="17" spans="1:7">
      <c r="A17">
        <v>2</v>
      </c>
      <c r="B17" s="1">
        <v>46023</v>
      </c>
      <c r="C17">
        <v>18</v>
      </c>
      <c r="D17">
        <v>14</v>
      </c>
      <c r="E17">
        <v>4</v>
      </c>
      <c r="F17">
        <v>1</v>
      </c>
      <c r="G17">
        <v>77.8</v>
      </c>
    </row>
    <row r="18" spans="1:7">
      <c r="A18">
        <v>2</v>
      </c>
      <c r="B18" s="1">
        <v>46054</v>
      </c>
      <c r="C18">
        <v>20</v>
      </c>
      <c r="D18">
        <v>14</v>
      </c>
      <c r="E18">
        <v>6</v>
      </c>
      <c r="F18">
        <v>3</v>
      </c>
      <c r="G18">
        <v>70</v>
      </c>
    </row>
    <row r="19" spans="1:7">
      <c r="A19">
        <v>2</v>
      </c>
      <c r="B19" s="1">
        <v>46082</v>
      </c>
      <c r="C19">
        <v>20</v>
      </c>
      <c r="D19">
        <v>11</v>
      </c>
      <c r="E19">
        <v>9</v>
      </c>
      <c r="F19">
        <v>2</v>
      </c>
      <c r="G19">
        <v>55</v>
      </c>
    </row>
    <row r="20" spans="1:7">
      <c r="A20">
        <v>2</v>
      </c>
      <c r="B20" s="1">
        <v>46113</v>
      </c>
      <c r="C20">
        <v>20</v>
      </c>
      <c r="D20">
        <v>17</v>
      </c>
      <c r="E20">
        <v>3</v>
      </c>
      <c r="F20">
        <v>0</v>
      </c>
      <c r="G20">
        <v>85</v>
      </c>
    </row>
    <row r="21" spans="1:7">
      <c r="A21">
        <v>2</v>
      </c>
      <c r="B21" s="1">
        <v>46143</v>
      </c>
      <c r="C21">
        <v>21</v>
      </c>
      <c r="D21">
        <v>17</v>
      </c>
      <c r="E21">
        <v>4</v>
      </c>
      <c r="F21">
        <v>0</v>
      </c>
      <c r="G21">
        <v>81</v>
      </c>
    </row>
    <row r="22" spans="1:7">
      <c r="A22">
        <v>2</v>
      </c>
      <c r="B22" s="1">
        <v>46174</v>
      </c>
      <c r="C22">
        <v>22</v>
      </c>
      <c r="D22">
        <v>19</v>
      </c>
      <c r="E22">
        <v>3</v>
      </c>
      <c r="F22">
        <v>3</v>
      </c>
      <c r="G22">
        <v>86.4</v>
      </c>
    </row>
    <row r="23" spans="1:7">
      <c r="A23">
        <v>2</v>
      </c>
      <c r="B23" s="1">
        <v>46204</v>
      </c>
      <c r="C23">
        <v>19</v>
      </c>
      <c r="D23">
        <v>15</v>
      </c>
      <c r="E23">
        <v>4</v>
      </c>
      <c r="F23">
        <v>4</v>
      </c>
      <c r="G23">
        <v>78.900000000000006</v>
      </c>
    </row>
    <row r="24" spans="1:7">
      <c r="A24">
        <v>2</v>
      </c>
      <c r="B24" s="1">
        <v>46235</v>
      </c>
      <c r="C24">
        <v>18</v>
      </c>
      <c r="D24">
        <v>12</v>
      </c>
      <c r="E24">
        <v>6</v>
      </c>
      <c r="F24">
        <v>2</v>
      </c>
      <c r="G24">
        <v>66.7</v>
      </c>
    </row>
    <row r="25" spans="1:7">
      <c r="A25">
        <v>2</v>
      </c>
      <c r="B25" s="1">
        <v>46266</v>
      </c>
      <c r="C25">
        <v>21</v>
      </c>
      <c r="D25">
        <v>17</v>
      </c>
      <c r="E25">
        <v>4</v>
      </c>
      <c r="F25">
        <v>0</v>
      </c>
      <c r="G25">
        <v>81</v>
      </c>
    </row>
    <row r="26" spans="1:7">
      <c r="A26">
        <v>3</v>
      </c>
      <c r="B26" s="1">
        <v>45931</v>
      </c>
      <c r="C26">
        <v>19</v>
      </c>
      <c r="D26">
        <v>14</v>
      </c>
      <c r="E26">
        <v>5</v>
      </c>
      <c r="F26">
        <v>3</v>
      </c>
      <c r="G26">
        <v>73.7</v>
      </c>
    </row>
    <row r="27" spans="1:7">
      <c r="A27">
        <v>3</v>
      </c>
      <c r="B27" s="1">
        <v>45962</v>
      </c>
      <c r="C27">
        <v>22</v>
      </c>
      <c r="D27">
        <v>17</v>
      </c>
      <c r="E27">
        <v>5</v>
      </c>
      <c r="F27">
        <v>3</v>
      </c>
      <c r="G27">
        <v>77.3</v>
      </c>
    </row>
    <row r="28" spans="1:7">
      <c r="A28">
        <v>3</v>
      </c>
      <c r="B28" s="1">
        <v>45992</v>
      </c>
      <c r="C28">
        <v>19</v>
      </c>
      <c r="D28">
        <v>16</v>
      </c>
      <c r="E28">
        <v>3</v>
      </c>
      <c r="F28">
        <v>6</v>
      </c>
      <c r="G28">
        <v>84.2</v>
      </c>
    </row>
    <row r="29" spans="1:7">
      <c r="A29">
        <v>3</v>
      </c>
      <c r="B29" s="1">
        <v>46023</v>
      </c>
      <c r="C29">
        <v>18</v>
      </c>
      <c r="D29">
        <v>11</v>
      </c>
      <c r="E29">
        <v>7</v>
      </c>
      <c r="F29">
        <v>3</v>
      </c>
      <c r="G29">
        <v>61.1</v>
      </c>
    </row>
    <row r="30" spans="1:7">
      <c r="A30">
        <v>3</v>
      </c>
      <c r="B30" s="1">
        <v>46054</v>
      </c>
      <c r="C30">
        <v>20</v>
      </c>
      <c r="D30">
        <v>17</v>
      </c>
      <c r="E30">
        <v>3</v>
      </c>
      <c r="F30">
        <v>5</v>
      </c>
      <c r="G30">
        <v>85</v>
      </c>
    </row>
    <row r="31" spans="1:7">
      <c r="A31">
        <v>3</v>
      </c>
      <c r="B31" s="1">
        <v>46082</v>
      </c>
      <c r="C31">
        <v>18</v>
      </c>
      <c r="D31">
        <v>15</v>
      </c>
      <c r="E31">
        <v>3</v>
      </c>
      <c r="F31">
        <v>0</v>
      </c>
      <c r="G31">
        <v>83.3</v>
      </c>
    </row>
    <row r="32" spans="1:7">
      <c r="A32">
        <v>3</v>
      </c>
      <c r="B32" s="1">
        <v>46113</v>
      </c>
      <c r="C32">
        <v>21</v>
      </c>
      <c r="D32">
        <v>18</v>
      </c>
      <c r="E32">
        <v>3</v>
      </c>
      <c r="F32">
        <v>1</v>
      </c>
      <c r="G32">
        <v>85.7</v>
      </c>
    </row>
    <row r="33" spans="1:7">
      <c r="A33">
        <v>3</v>
      </c>
      <c r="B33" s="1">
        <v>46143</v>
      </c>
      <c r="C33">
        <v>22</v>
      </c>
      <c r="D33">
        <v>15</v>
      </c>
      <c r="E33">
        <v>7</v>
      </c>
      <c r="F33">
        <v>6</v>
      </c>
      <c r="G33">
        <v>68.2</v>
      </c>
    </row>
    <row r="34" spans="1:7">
      <c r="A34">
        <v>3</v>
      </c>
      <c r="B34" s="1">
        <v>46174</v>
      </c>
      <c r="C34">
        <v>19</v>
      </c>
      <c r="D34">
        <v>18</v>
      </c>
      <c r="E34">
        <v>1</v>
      </c>
      <c r="F34">
        <v>0</v>
      </c>
      <c r="G34">
        <v>94.7</v>
      </c>
    </row>
    <row r="35" spans="1:7">
      <c r="A35">
        <v>3</v>
      </c>
      <c r="B35" s="1">
        <v>46204</v>
      </c>
      <c r="C35">
        <v>19</v>
      </c>
      <c r="D35">
        <v>15</v>
      </c>
      <c r="E35">
        <v>4</v>
      </c>
      <c r="F35">
        <v>4</v>
      </c>
      <c r="G35">
        <v>78.900000000000006</v>
      </c>
    </row>
    <row r="36" spans="1:7">
      <c r="A36">
        <v>3</v>
      </c>
      <c r="B36" s="1">
        <v>46235</v>
      </c>
      <c r="C36">
        <v>21</v>
      </c>
      <c r="D36">
        <v>18</v>
      </c>
      <c r="E36">
        <v>3</v>
      </c>
      <c r="F36">
        <v>3</v>
      </c>
      <c r="G36">
        <v>85.7</v>
      </c>
    </row>
    <row r="37" spans="1:7">
      <c r="A37">
        <v>3</v>
      </c>
      <c r="B37" s="1">
        <v>46266</v>
      </c>
      <c r="C37">
        <v>21</v>
      </c>
      <c r="D37">
        <v>19</v>
      </c>
      <c r="E37">
        <v>2</v>
      </c>
      <c r="F37">
        <v>0</v>
      </c>
      <c r="G37">
        <v>90.5</v>
      </c>
    </row>
    <row r="38" spans="1:7">
      <c r="A38">
        <v>4</v>
      </c>
      <c r="B38" s="1">
        <v>45931</v>
      </c>
      <c r="C38">
        <v>18</v>
      </c>
      <c r="D38">
        <v>14</v>
      </c>
      <c r="E38">
        <v>4</v>
      </c>
      <c r="F38">
        <v>0</v>
      </c>
      <c r="G38">
        <v>77.8</v>
      </c>
    </row>
    <row r="39" spans="1:7">
      <c r="A39">
        <v>4</v>
      </c>
      <c r="B39" s="1">
        <v>45962</v>
      </c>
      <c r="C39">
        <v>20</v>
      </c>
      <c r="D39">
        <v>14</v>
      </c>
      <c r="E39">
        <v>6</v>
      </c>
      <c r="F39">
        <v>6</v>
      </c>
      <c r="G39">
        <v>70</v>
      </c>
    </row>
    <row r="40" spans="1:7">
      <c r="A40">
        <v>4</v>
      </c>
      <c r="B40" s="1">
        <v>45992</v>
      </c>
      <c r="C40">
        <v>22</v>
      </c>
      <c r="D40">
        <v>14</v>
      </c>
      <c r="E40">
        <v>8</v>
      </c>
      <c r="F40">
        <v>5</v>
      </c>
      <c r="G40">
        <v>63.6</v>
      </c>
    </row>
    <row r="41" spans="1:7">
      <c r="A41">
        <v>4</v>
      </c>
      <c r="B41" s="1">
        <v>46023</v>
      </c>
      <c r="C41">
        <v>19</v>
      </c>
      <c r="D41">
        <v>10</v>
      </c>
      <c r="E41">
        <v>9</v>
      </c>
      <c r="F41">
        <v>1</v>
      </c>
      <c r="G41">
        <v>52.6</v>
      </c>
    </row>
    <row r="42" spans="1:7">
      <c r="A42">
        <v>4</v>
      </c>
      <c r="B42" s="1">
        <v>46054</v>
      </c>
      <c r="C42">
        <v>20</v>
      </c>
      <c r="D42">
        <v>13</v>
      </c>
      <c r="E42">
        <v>7</v>
      </c>
      <c r="F42">
        <v>4</v>
      </c>
      <c r="G42">
        <v>65</v>
      </c>
    </row>
    <row r="43" spans="1:7">
      <c r="A43">
        <v>4</v>
      </c>
      <c r="B43" s="1">
        <v>46082</v>
      </c>
      <c r="C43">
        <v>22</v>
      </c>
      <c r="D43">
        <v>14</v>
      </c>
      <c r="E43">
        <v>8</v>
      </c>
      <c r="F43">
        <v>2</v>
      </c>
      <c r="G43">
        <v>63.6</v>
      </c>
    </row>
    <row r="44" spans="1:7">
      <c r="A44">
        <v>4</v>
      </c>
      <c r="B44" s="1">
        <v>46113</v>
      </c>
      <c r="C44">
        <v>19</v>
      </c>
      <c r="D44">
        <v>11</v>
      </c>
      <c r="E44">
        <v>8</v>
      </c>
      <c r="F44">
        <v>2</v>
      </c>
      <c r="G44">
        <v>57.9</v>
      </c>
    </row>
    <row r="45" spans="1:7">
      <c r="A45">
        <v>4</v>
      </c>
      <c r="B45" s="1">
        <v>46143</v>
      </c>
      <c r="C45">
        <v>21</v>
      </c>
      <c r="D45">
        <v>14</v>
      </c>
      <c r="E45">
        <v>7</v>
      </c>
      <c r="F45">
        <v>5</v>
      </c>
      <c r="G45">
        <v>66.7</v>
      </c>
    </row>
    <row r="46" spans="1:7">
      <c r="A46">
        <v>4</v>
      </c>
      <c r="B46" s="1">
        <v>46174</v>
      </c>
      <c r="C46">
        <v>22</v>
      </c>
      <c r="D46">
        <v>16</v>
      </c>
      <c r="E46">
        <v>6</v>
      </c>
      <c r="F46">
        <v>5</v>
      </c>
      <c r="G46">
        <v>72.7</v>
      </c>
    </row>
    <row r="47" spans="1:7">
      <c r="A47">
        <v>4</v>
      </c>
      <c r="B47" s="1">
        <v>46204</v>
      </c>
      <c r="C47">
        <v>19</v>
      </c>
      <c r="D47">
        <v>13</v>
      </c>
      <c r="E47">
        <v>6</v>
      </c>
      <c r="F47">
        <v>2</v>
      </c>
      <c r="G47">
        <v>68.400000000000006</v>
      </c>
    </row>
    <row r="48" spans="1:7">
      <c r="A48">
        <v>4</v>
      </c>
      <c r="B48" s="1">
        <v>46235</v>
      </c>
      <c r="C48">
        <v>21</v>
      </c>
      <c r="D48">
        <v>15</v>
      </c>
      <c r="E48">
        <v>6</v>
      </c>
      <c r="F48">
        <v>6</v>
      </c>
      <c r="G48">
        <v>71.400000000000006</v>
      </c>
    </row>
    <row r="49" spans="1:7">
      <c r="A49">
        <v>4</v>
      </c>
      <c r="B49" s="1">
        <v>46266</v>
      </c>
      <c r="C49">
        <v>21</v>
      </c>
      <c r="D49">
        <v>13</v>
      </c>
      <c r="E49">
        <v>8</v>
      </c>
      <c r="F49">
        <v>0</v>
      </c>
      <c r="G49">
        <v>61.9</v>
      </c>
    </row>
    <row r="50" spans="1:7">
      <c r="A50">
        <v>5</v>
      </c>
      <c r="B50" s="1">
        <v>45931</v>
      </c>
      <c r="C50">
        <v>19</v>
      </c>
      <c r="D50">
        <v>15</v>
      </c>
      <c r="E50">
        <v>4</v>
      </c>
      <c r="F50">
        <v>1</v>
      </c>
      <c r="G50">
        <v>78.900000000000006</v>
      </c>
    </row>
    <row r="51" spans="1:7">
      <c r="A51">
        <v>5</v>
      </c>
      <c r="B51" s="1">
        <v>45962</v>
      </c>
      <c r="C51">
        <v>18</v>
      </c>
      <c r="D51">
        <v>10</v>
      </c>
      <c r="E51">
        <v>8</v>
      </c>
      <c r="F51">
        <v>4</v>
      </c>
      <c r="G51">
        <v>55.6</v>
      </c>
    </row>
    <row r="52" spans="1:7">
      <c r="A52">
        <v>5</v>
      </c>
      <c r="B52" s="1">
        <v>45992</v>
      </c>
      <c r="C52">
        <v>22</v>
      </c>
      <c r="D52">
        <v>18</v>
      </c>
      <c r="E52">
        <v>4</v>
      </c>
      <c r="F52">
        <v>5</v>
      </c>
      <c r="G52">
        <v>81.8</v>
      </c>
    </row>
    <row r="53" spans="1:7">
      <c r="A53">
        <v>5</v>
      </c>
      <c r="B53" s="1">
        <v>46023</v>
      </c>
      <c r="C53">
        <v>18</v>
      </c>
      <c r="D53">
        <v>14</v>
      </c>
      <c r="E53">
        <v>4</v>
      </c>
      <c r="F53">
        <v>3</v>
      </c>
      <c r="G53">
        <v>77.8</v>
      </c>
    </row>
    <row r="54" spans="1:7">
      <c r="A54">
        <v>5</v>
      </c>
      <c r="B54" s="1">
        <v>46054</v>
      </c>
      <c r="C54">
        <v>20</v>
      </c>
      <c r="D54">
        <v>17</v>
      </c>
      <c r="E54">
        <v>3</v>
      </c>
      <c r="F54">
        <v>4</v>
      </c>
      <c r="G54">
        <v>85</v>
      </c>
    </row>
    <row r="55" spans="1:7">
      <c r="A55">
        <v>5</v>
      </c>
      <c r="B55" s="1">
        <v>46082</v>
      </c>
      <c r="C55">
        <v>18</v>
      </c>
      <c r="D55">
        <v>18</v>
      </c>
      <c r="E55">
        <v>0</v>
      </c>
      <c r="F55">
        <v>0</v>
      </c>
      <c r="G55">
        <v>100</v>
      </c>
    </row>
    <row r="56" spans="1:7">
      <c r="A56">
        <v>5</v>
      </c>
      <c r="B56" s="1">
        <v>46113</v>
      </c>
      <c r="C56">
        <v>18</v>
      </c>
      <c r="D56">
        <v>14</v>
      </c>
      <c r="E56">
        <v>4</v>
      </c>
      <c r="F56">
        <v>3</v>
      </c>
      <c r="G56">
        <v>77.8</v>
      </c>
    </row>
    <row r="57" spans="1:7">
      <c r="A57">
        <v>5</v>
      </c>
      <c r="B57" s="1">
        <v>46143</v>
      </c>
      <c r="C57">
        <v>21</v>
      </c>
      <c r="D57">
        <v>18</v>
      </c>
      <c r="E57">
        <v>3</v>
      </c>
      <c r="F57">
        <v>0</v>
      </c>
      <c r="G57">
        <v>85.7</v>
      </c>
    </row>
    <row r="58" spans="1:7">
      <c r="A58">
        <v>5</v>
      </c>
      <c r="B58" s="1">
        <v>46174</v>
      </c>
      <c r="C58">
        <v>22</v>
      </c>
      <c r="D58">
        <v>19</v>
      </c>
      <c r="E58">
        <v>3</v>
      </c>
      <c r="F58">
        <v>1</v>
      </c>
      <c r="G58">
        <v>86.4</v>
      </c>
    </row>
    <row r="59" spans="1:7">
      <c r="A59">
        <v>5</v>
      </c>
      <c r="B59" s="1">
        <v>46204</v>
      </c>
      <c r="C59">
        <v>18</v>
      </c>
      <c r="D59">
        <v>12</v>
      </c>
      <c r="E59">
        <v>6</v>
      </c>
      <c r="F59">
        <v>2</v>
      </c>
      <c r="G59">
        <v>66.7</v>
      </c>
    </row>
    <row r="60" spans="1:7">
      <c r="A60">
        <v>5</v>
      </c>
      <c r="B60" s="1">
        <v>46235</v>
      </c>
      <c r="C60">
        <v>21</v>
      </c>
      <c r="D60">
        <v>20</v>
      </c>
      <c r="E60">
        <v>1</v>
      </c>
      <c r="F60">
        <v>2</v>
      </c>
      <c r="G60">
        <v>95.2</v>
      </c>
    </row>
    <row r="61" spans="1:7">
      <c r="A61">
        <v>5</v>
      </c>
      <c r="B61" s="1">
        <v>46266</v>
      </c>
      <c r="C61">
        <v>22</v>
      </c>
      <c r="D61">
        <v>22</v>
      </c>
      <c r="E61">
        <v>0</v>
      </c>
      <c r="F61">
        <v>1</v>
      </c>
      <c r="G61">
        <v>100</v>
      </c>
    </row>
    <row r="62" spans="1:7">
      <c r="A62">
        <v>6</v>
      </c>
      <c r="B62" s="1">
        <v>45931</v>
      </c>
      <c r="C62">
        <v>21</v>
      </c>
      <c r="D62">
        <v>13</v>
      </c>
      <c r="E62">
        <v>8</v>
      </c>
      <c r="F62">
        <v>5</v>
      </c>
      <c r="G62">
        <v>61.9</v>
      </c>
    </row>
    <row r="63" spans="1:7">
      <c r="A63">
        <v>6</v>
      </c>
      <c r="B63" s="1">
        <v>45962</v>
      </c>
      <c r="C63">
        <v>22</v>
      </c>
      <c r="D63">
        <v>15</v>
      </c>
      <c r="E63">
        <v>7</v>
      </c>
      <c r="F63">
        <v>0</v>
      </c>
      <c r="G63">
        <v>68.2</v>
      </c>
    </row>
    <row r="64" spans="1:7">
      <c r="A64">
        <v>6</v>
      </c>
      <c r="B64" s="1">
        <v>45992</v>
      </c>
      <c r="C64">
        <v>20</v>
      </c>
      <c r="D64">
        <v>12</v>
      </c>
      <c r="E64">
        <v>8</v>
      </c>
      <c r="F64">
        <v>1</v>
      </c>
      <c r="G64">
        <v>60</v>
      </c>
    </row>
    <row r="65" spans="1:7">
      <c r="A65">
        <v>6</v>
      </c>
      <c r="B65" s="1">
        <v>46023</v>
      </c>
      <c r="C65">
        <v>22</v>
      </c>
      <c r="D65">
        <v>14</v>
      </c>
      <c r="E65">
        <v>8</v>
      </c>
      <c r="F65">
        <v>1</v>
      </c>
      <c r="G65">
        <v>63.6</v>
      </c>
    </row>
    <row r="66" spans="1:7">
      <c r="A66">
        <v>6</v>
      </c>
      <c r="B66" s="1">
        <v>46054</v>
      </c>
      <c r="C66">
        <v>20</v>
      </c>
      <c r="D66">
        <v>10</v>
      </c>
      <c r="E66">
        <v>10</v>
      </c>
      <c r="F66">
        <v>2</v>
      </c>
      <c r="G66">
        <v>50</v>
      </c>
    </row>
    <row r="67" spans="1:7">
      <c r="A67">
        <v>6</v>
      </c>
      <c r="B67" s="1">
        <v>46082</v>
      </c>
      <c r="C67">
        <v>21</v>
      </c>
      <c r="D67">
        <v>18</v>
      </c>
      <c r="E67">
        <v>3</v>
      </c>
      <c r="F67">
        <v>2</v>
      </c>
      <c r="G67">
        <v>85.7</v>
      </c>
    </row>
    <row r="68" spans="1:7">
      <c r="A68">
        <v>6</v>
      </c>
      <c r="B68" s="1">
        <v>46113</v>
      </c>
      <c r="C68">
        <v>19</v>
      </c>
      <c r="D68">
        <v>10</v>
      </c>
      <c r="E68">
        <v>9</v>
      </c>
      <c r="F68">
        <v>1</v>
      </c>
      <c r="G68">
        <v>52.6</v>
      </c>
    </row>
    <row r="69" spans="1:7">
      <c r="A69">
        <v>6</v>
      </c>
      <c r="B69" s="1">
        <v>46143</v>
      </c>
      <c r="C69">
        <v>21</v>
      </c>
      <c r="D69">
        <v>13</v>
      </c>
      <c r="E69">
        <v>8</v>
      </c>
      <c r="F69">
        <v>2</v>
      </c>
      <c r="G69">
        <v>61.9</v>
      </c>
    </row>
    <row r="70" spans="1:7">
      <c r="A70">
        <v>6</v>
      </c>
      <c r="B70" s="1">
        <v>46174</v>
      </c>
      <c r="C70">
        <v>19</v>
      </c>
      <c r="D70">
        <v>10</v>
      </c>
      <c r="E70">
        <v>9</v>
      </c>
      <c r="F70">
        <v>0</v>
      </c>
      <c r="G70">
        <v>52.6</v>
      </c>
    </row>
    <row r="71" spans="1:7">
      <c r="A71">
        <v>6</v>
      </c>
      <c r="B71" s="1">
        <v>46204</v>
      </c>
      <c r="C71">
        <v>22</v>
      </c>
      <c r="D71">
        <v>14</v>
      </c>
      <c r="E71">
        <v>8</v>
      </c>
      <c r="F71">
        <v>5</v>
      </c>
      <c r="G71">
        <v>63.6</v>
      </c>
    </row>
    <row r="72" spans="1:7">
      <c r="A72">
        <v>6</v>
      </c>
      <c r="B72" s="1">
        <v>46235</v>
      </c>
      <c r="C72">
        <v>21</v>
      </c>
      <c r="D72">
        <v>13</v>
      </c>
      <c r="E72">
        <v>8</v>
      </c>
      <c r="F72">
        <v>4</v>
      </c>
      <c r="G72">
        <v>61.9</v>
      </c>
    </row>
    <row r="73" spans="1:7">
      <c r="A73">
        <v>6</v>
      </c>
      <c r="B73" s="1">
        <v>46266</v>
      </c>
      <c r="C73">
        <v>18</v>
      </c>
      <c r="D73">
        <v>10</v>
      </c>
      <c r="E73">
        <v>8</v>
      </c>
      <c r="F73">
        <v>5</v>
      </c>
      <c r="G73">
        <v>55.6</v>
      </c>
    </row>
    <row r="74" spans="1:7">
      <c r="A74">
        <v>7</v>
      </c>
      <c r="B74" s="1">
        <v>45931</v>
      </c>
      <c r="C74">
        <v>18</v>
      </c>
      <c r="D74">
        <v>13</v>
      </c>
      <c r="E74">
        <v>5</v>
      </c>
      <c r="F74">
        <v>3</v>
      </c>
      <c r="G74">
        <v>72.2</v>
      </c>
    </row>
    <row r="75" spans="1:7">
      <c r="A75">
        <v>7</v>
      </c>
      <c r="B75" s="1">
        <v>45962</v>
      </c>
      <c r="C75">
        <v>20</v>
      </c>
      <c r="D75">
        <v>19</v>
      </c>
      <c r="E75">
        <v>1</v>
      </c>
      <c r="F75">
        <v>2</v>
      </c>
      <c r="G75">
        <v>95</v>
      </c>
    </row>
    <row r="76" spans="1:7">
      <c r="A76">
        <v>7</v>
      </c>
      <c r="B76" s="1">
        <v>45992</v>
      </c>
      <c r="C76">
        <v>21</v>
      </c>
      <c r="D76">
        <v>15</v>
      </c>
      <c r="E76">
        <v>6</v>
      </c>
      <c r="F76">
        <v>6</v>
      </c>
      <c r="G76">
        <v>71.400000000000006</v>
      </c>
    </row>
    <row r="77" spans="1:7">
      <c r="A77">
        <v>7</v>
      </c>
      <c r="B77" s="1">
        <v>46023</v>
      </c>
      <c r="C77">
        <v>18</v>
      </c>
      <c r="D77">
        <v>15</v>
      </c>
      <c r="E77">
        <v>3</v>
      </c>
      <c r="F77">
        <v>6</v>
      </c>
      <c r="G77">
        <v>83.3</v>
      </c>
    </row>
    <row r="78" spans="1:7">
      <c r="A78">
        <v>7</v>
      </c>
      <c r="B78" s="1">
        <v>46054</v>
      </c>
      <c r="C78">
        <v>20</v>
      </c>
      <c r="D78">
        <v>20</v>
      </c>
      <c r="E78">
        <v>0</v>
      </c>
      <c r="F78">
        <v>3</v>
      </c>
      <c r="G78">
        <v>100</v>
      </c>
    </row>
    <row r="79" spans="1:7">
      <c r="A79">
        <v>7</v>
      </c>
      <c r="B79" s="1">
        <v>46082</v>
      </c>
      <c r="C79">
        <v>18</v>
      </c>
      <c r="D79">
        <v>13</v>
      </c>
      <c r="E79">
        <v>5</v>
      </c>
      <c r="F79">
        <v>0</v>
      </c>
      <c r="G79">
        <v>72.2</v>
      </c>
    </row>
    <row r="80" spans="1:7">
      <c r="A80">
        <v>7</v>
      </c>
      <c r="B80" s="1">
        <v>46113</v>
      </c>
      <c r="C80">
        <v>18</v>
      </c>
      <c r="D80">
        <v>15</v>
      </c>
      <c r="E80">
        <v>3</v>
      </c>
      <c r="F80">
        <v>5</v>
      </c>
      <c r="G80">
        <v>83.3</v>
      </c>
    </row>
    <row r="81" spans="1:7">
      <c r="A81">
        <v>7</v>
      </c>
      <c r="B81" s="1">
        <v>46143</v>
      </c>
      <c r="C81">
        <v>19</v>
      </c>
      <c r="D81">
        <v>17</v>
      </c>
      <c r="E81">
        <v>2</v>
      </c>
      <c r="F81">
        <v>2</v>
      </c>
      <c r="G81">
        <v>89.5</v>
      </c>
    </row>
    <row r="82" spans="1:7">
      <c r="A82">
        <v>7</v>
      </c>
      <c r="B82" s="1">
        <v>46174</v>
      </c>
      <c r="C82">
        <v>20</v>
      </c>
      <c r="D82">
        <v>14</v>
      </c>
      <c r="E82">
        <v>6</v>
      </c>
      <c r="F82">
        <v>2</v>
      </c>
      <c r="G82">
        <v>70</v>
      </c>
    </row>
    <row r="83" spans="1:7">
      <c r="A83">
        <v>7</v>
      </c>
      <c r="B83" s="1">
        <v>46204</v>
      </c>
      <c r="C83">
        <v>18</v>
      </c>
      <c r="D83">
        <v>18</v>
      </c>
      <c r="E83">
        <v>0</v>
      </c>
      <c r="F83">
        <v>2</v>
      </c>
      <c r="G83">
        <v>100</v>
      </c>
    </row>
    <row r="84" spans="1:7">
      <c r="A84">
        <v>7</v>
      </c>
      <c r="B84" s="1">
        <v>46235</v>
      </c>
      <c r="C84">
        <v>20</v>
      </c>
      <c r="D84">
        <v>17</v>
      </c>
      <c r="E84">
        <v>3</v>
      </c>
      <c r="F84">
        <v>3</v>
      </c>
      <c r="G84">
        <v>85</v>
      </c>
    </row>
    <row r="85" spans="1:7">
      <c r="A85">
        <v>7</v>
      </c>
      <c r="B85" s="1">
        <v>46266</v>
      </c>
      <c r="C85">
        <v>20</v>
      </c>
      <c r="D85">
        <v>16</v>
      </c>
      <c r="E85">
        <v>4</v>
      </c>
      <c r="F85">
        <v>6</v>
      </c>
      <c r="G85">
        <v>80</v>
      </c>
    </row>
    <row r="86" spans="1:7">
      <c r="A86">
        <v>8</v>
      </c>
      <c r="B86" s="1">
        <v>45931</v>
      </c>
      <c r="C86">
        <v>21</v>
      </c>
      <c r="D86">
        <v>14</v>
      </c>
      <c r="E86">
        <v>7</v>
      </c>
      <c r="F86">
        <v>3</v>
      </c>
      <c r="G86">
        <v>66.7</v>
      </c>
    </row>
    <row r="87" spans="1:7">
      <c r="A87">
        <v>8</v>
      </c>
      <c r="B87" s="1">
        <v>45962</v>
      </c>
      <c r="C87">
        <v>19</v>
      </c>
      <c r="D87">
        <v>14</v>
      </c>
      <c r="E87">
        <v>5</v>
      </c>
      <c r="F87">
        <v>0</v>
      </c>
      <c r="G87">
        <v>73.7</v>
      </c>
    </row>
    <row r="88" spans="1:7">
      <c r="A88">
        <v>8</v>
      </c>
      <c r="B88" s="1">
        <v>45992</v>
      </c>
      <c r="C88">
        <v>19</v>
      </c>
      <c r="D88">
        <v>12</v>
      </c>
      <c r="E88">
        <v>7</v>
      </c>
      <c r="F88">
        <v>6</v>
      </c>
      <c r="G88">
        <v>63.2</v>
      </c>
    </row>
    <row r="89" spans="1:7">
      <c r="A89">
        <v>8</v>
      </c>
      <c r="B89" s="1">
        <v>46023</v>
      </c>
      <c r="C89">
        <v>19</v>
      </c>
      <c r="D89">
        <v>12</v>
      </c>
      <c r="E89">
        <v>7</v>
      </c>
      <c r="F89">
        <v>0</v>
      </c>
      <c r="G89">
        <v>63.2</v>
      </c>
    </row>
    <row r="90" spans="1:7">
      <c r="A90">
        <v>8</v>
      </c>
      <c r="B90" s="1">
        <v>46054</v>
      </c>
      <c r="C90">
        <v>21</v>
      </c>
      <c r="D90">
        <v>12</v>
      </c>
      <c r="E90">
        <v>9</v>
      </c>
      <c r="F90">
        <v>4</v>
      </c>
      <c r="G90">
        <v>57.1</v>
      </c>
    </row>
    <row r="91" spans="1:7">
      <c r="A91">
        <v>8</v>
      </c>
      <c r="B91" s="1">
        <v>46082</v>
      </c>
      <c r="C91">
        <v>21</v>
      </c>
      <c r="D91">
        <v>15</v>
      </c>
      <c r="E91">
        <v>6</v>
      </c>
      <c r="F91">
        <v>1</v>
      </c>
      <c r="G91">
        <v>71.400000000000006</v>
      </c>
    </row>
    <row r="92" spans="1:7">
      <c r="A92">
        <v>8</v>
      </c>
      <c r="B92" s="1">
        <v>46113</v>
      </c>
      <c r="C92">
        <v>22</v>
      </c>
      <c r="D92">
        <v>16</v>
      </c>
      <c r="E92">
        <v>6</v>
      </c>
      <c r="F92">
        <v>0</v>
      </c>
      <c r="G92">
        <v>72.7</v>
      </c>
    </row>
    <row r="93" spans="1:7">
      <c r="A93">
        <v>8</v>
      </c>
      <c r="B93" s="1">
        <v>46143</v>
      </c>
      <c r="C93">
        <v>19</v>
      </c>
      <c r="D93">
        <v>10</v>
      </c>
      <c r="E93">
        <v>9</v>
      </c>
      <c r="F93">
        <v>3</v>
      </c>
      <c r="G93">
        <v>52.6</v>
      </c>
    </row>
    <row r="94" spans="1:7">
      <c r="A94">
        <v>8</v>
      </c>
      <c r="B94" s="1">
        <v>46174</v>
      </c>
      <c r="C94">
        <v>21</v>
      </c>
      <c r="D94">
        <v>12</v>
      </c>
      <c r="E94">
        <v>9</v>
      </c>
      <c r="F94">
        <v>0</v>
      </c>
      <c r="G94">
        <v>57.1</v>
      </c>
    </row>
    <row r="95" spans="1:7">
      <c r="A95">
        <v>8</v>
      </c>
      <c r="B95" s="1">
        <v>46204</v>
      </c>
      <c r="C95">
        <v>18</v>
      </c>
      <c r="D95">
        <v>10</v>
      </c>
      <c r="E95">
        <v>8</v>
      </c>
      <c r="F95">
        <v>2</v>
      </c>
      <c r="G95">
        <v>55.6</v>
      </c>
    </row>
    <row r="96" spans="1:7">
      <c r="A96">
        <v>8</v>
      </c>
      <c r="B96" s="1">
        <v>46235</v>
      </c>
      <c r="C96">
        <v>20</v>
      </c>
      <c r="D96">
        <v>10</v>
      </c>
      <c r="E96">
        <v>10</v>
      </c>
      <c r="F96">
        <v>4</v>
      </c>
      <c r="G96">
        <v>50</v>
      </c>
    </row>
    <row r="97" spans="1:7">
      <c r="A97">
        <v>8</v>
      </c>
      <c r="B97" s="1">
        <v>46266</v>
      </c>
      <c r="C97">
        <v>22</v>
      </c>
      <c r="D97">
        <v>14</v>
      </c>
      <c r="E97">
        <v>8</v>
      </c>
      <c r="F97">
        <v>5</v>
      </c>
      <c r="G97">
        <v>63.6</v>
      </c>
    </row>
    <row r="98" spans="1:7">
      <c r="A98">
        <v>9</v>
      </c>
      <c r="B98" s="1">
        <v>45931</v>
      </c>
      <c r="C98">
        <v>22</v>
      </c>
      <c r="D98">
        <v>15</v>
      </c>
      <c r="E98">
        <v>7</v>
      </c>
      <c r="F98">
        <v>6</v>
      </c>
      <c r="G98">
        <v>68.2</v>
      </c>
    </row>
    <row r="99" spans="1:7">
      <c r="A99">
        <v>9</v>
      </c>
      <c r="B99" s="1">
        <v>45962</v>
      </c>
      <c r="C99">
        <v>20</v>
      </c>
      <c r="D99">
        <v>10</v>
      </c>
      <c r="E99">
        <v>10</v>
      </c>
      <c r="F99">
        <v>4</v>
      </c>
      <c r="G99">
        <v>50</v>
      </c>
    </row>
    <row r="100" spans="1:7">
      <c r="A100">
        <v>9</v>
      </c>
      <c r="B100" s="1">
        <v>45992</v>
      </c>
      <c r="C100">
        <v>22</v>
      </c>
      <c r="D100">
        <v>17</v>
      </c>
      <c r="E100">
        <v>5</v>
      </c>
      <c r="F100">
        <v>3</v>
      </c>
      <c r="G100">
        <v>77.3</v>
      </c>
    </row>
    <row r="101" spans="1:7">
      <c r="A101">
        <v>9</v>
      </c>
      <c r="B101" s="1">
        <v>46023</v>
      </c>
      <c r="C101">
        <v>19</v>
      </c>
      <c r="D101">
        <v>16</v>
      </c>
      <c r="E101">
        <v>3</v>
      </c>
      <c r="F101">
        <v>3</v>
      </c>
      <c r="G101">
        <v>84.2</v>
      </c>
    </row>
    <row r="102" spans="1:7">
      <c r="A102">
        <v>9</v>
      </c>
      <c r="B102" s="1">
        <v>46054</v>
      </c>
      <c r="C102">
        <v>20</v>
      </c>
      <c r="D102">
        <v>16</v>
      </c>
      <c r="E102">
        <v>4</v>
      </c>
      <c r="F102">
        <v>1</v>
      </c>
      <c r="G102">
        <v>80</v>
      </c>
    </row>
    <row r="103" spans="1:7">
      <c r="A103">
        <v>9</v>
      </c>
      <c r="B103" s="1">
        <v>46082</v>
      </c>
      <c r="C103">
        <v>22</v>
      </c>
      <c r="D103">
        <v>19</v>
      </c>
      <c r="E103">
        <v>3</v>
      </c>
      <c r="F103">
        <v>4</v>
      </c>
      <c r="G103">
        <v>86.4</v>
      </c>
    </row>
    <row r="104" spans="1:7">
      <c r="A104">
        <v>9</v>
      </c>
      <c r="B104" s="1">
        <v>46113</v>
      </c>
      <c r="C104">
        <v>18</v>
      </c>
      <c r="D104">
        <v>10</v>
      </c>
      <c r="E104">
        <v>8</v>
      </c>
      <c r="F104">
        <v>4</v>
      </c>
      <c r="G104">
        <v>55.6</v>
      </c>
    </row>
    <row r="105" spans="1:7">
      <c r="A105">
        <v>9</v>
      </c>
      <c r="B105" s="1">
        <v>46143</v>
      </c>
      <c r="C105">
        <v>21</v>
      </c>
      <c r="D105">
        <v>15</v>
      </c>
      <c r="E105">
        <v>6</v>
      </c>
      <c r="F105">
        <v>6</v>
      </c>
      <c r="G105">
        <v>71.400000000000006</v>
      </c>
    </row>
    <row r="106" spans="1:7">
      <c r="A106">
        <v>9</v>
      </c>
      <c r="B106" s="1">
        <v>46174</v>
      </c>
      <c r="C106">
        <v>21</v>
      </c>
      <c r="D106">
        <v>15</v>
      </c>
      <c r="E106">
        <v>6</v>
      </c>
      <c r="F106">
        <v>3</v>
      </c>
      <c r="G106">
        <v>71.400000000000006</v>
      </c>
    </row>
    <row r="107" spans="1:7">
      <c r="A107">
        <v>9</v>
      </c>
      <c r="B107" s="1">
        <v>46204</v>
      </c>
      <c r="C107">
        <v>20</v>
      </c>
      <c r="D107">
        <v>15</v>
      </c>
      <c r="E107">
        <v>5</v>
      </c>
      <c r="F107">
        <v>1</v>
      </c>
      <c r="G107">
        <v>75</v>
      </c>
    </row>
    <row r="108" spans="1:7">
      <c r="A108">
        <v>9</v>
      </c>
      <c r="B108" s="1">
        <v>46235</v>
      </c>
      <c r="C108">
        <v>20</v>
      </c>
      <c r="D108">
        <v>13</v>
      </c>
      <c r="E108">
        <v>7</v>
      </c>
      <c r="F108">
        <v>1</v>
      </c>
      <c r="G108">
        <v>65</v>
      </c>
    </row>
    <row r="109" spans="1:7">
      <c r="A109">
        <v>9</v>
      </c>
      <c r="B109" s="1">
        <v>46266</v>
      </c>
      <c r="C109">
        <v>22</v>
      </c>
      <c r="D109">
        <v>16</v>
      </c>
      <c r="E109">
        <v>6</v>
      </c>
      <c r="F109">
        <v>5</v>
      </c>
      <c r="G109">
        <v>72.7</v>
      </c>
    </row>
    <row r="110" spans="1:7">
      <c r="A110">
        <v>10</v>
      </c>
      <c r="B110" s="1">
        <v>45931</v>
      </c>
      <c r="C110">
        <v>21</v>
      </c>
      <c r="D110">
        <v>18</v>
      </c>
      <c r="E110">
        <v>3</v>
      </c>
      <c r="F110">
        <v>3</v>
      </c>
      <c r="G110">
        <v>85.7</v>
      </c>
    </row>
    <row r="111" spans="1:7">
      <c r="A111">
        <v>10</v>
      </c>
      <c r="B111" s="1">
        <v>45962</v>
      </c>
      <c r="C111">
        <v>21</v>
      </c>
      <c r="D111">
        <v>16</v>
      </c>
      <c r="E111">
        <v>5</v>
      </c>
      <c r="F111">
        <v>6</v>
      </c>
      <c r="G111">
        <v>76.2</v>
      </c>
    </row>
    <row r="112" spans="1:7">
      <c r="A112">
        <v>10</v>
      </c>
      <c r="B112" s="1">
        <v>45992</v>
      </c>
      <c r="C112">
        <v>22</v>
      </c>
      <c r="D112">
        <v>21</v>
      </c>
      <c r="E112">
        <v>1</v>
      </c>
      <c r="F112">
        <v>3</v>
      </c>
      <c r="G112">
        <v>95.5</v>
      </c>
    </row>
    <row r="113" spans="1:7">
      <c r="A113">
        <v>10</v>
      </c>
      <c r="B113" s="1">
        <v>46023</v>
      </c>
      <c r="C113">
        <v>20</v>
      </c>
      <c r="D113">
        <v>14</v>
      </c>
      <c r="E113">
        <v>6</v>
      </c>
      <c r="F113">
        <v>0</v>
      </c>
      <c r="G113">
        <v>70</v>
      </c>
    </row>
    <row r="114" spans="1:7">
      <c r="A114">
        <v>10</v>
      </c>
      <c r="B114" s="1">
        <v>46054</v>
      </c>
      <c r="C114">
        <v>21</v>
      </c>
      <c r="D114">
        <v>17</v>
      </c>
      <c r="E114">
        <v>4</v>
      </c>
      <c r="F114">
        <v>3</v>
      </c>
      <c r="G114">
        <v>81</v>
      </c>
    </row>
    <row r="115" spans="1:7">
      <c r="A115">
        <v>10</v>
      </c>
      <c r="B115" s="1">
        <v>46082</v>
      </c>
      <c r="C115">
        <v>21</v>
      </c>
      <c r="D115">
        <v>17</v>
      </c>
      <c r="E115">
        <v>4</v>
      </c>
      <c r="F115">
        <v>0</v>
      </c>
      <c r="G115">
        <v>81</v>
      </c>
    </row>
    <row r="116" spans="1:7">
      <c r="A116">
        <v>10</v>
      </c>
      <c r="B116" s="1">
        <v>46113</v>
      </c>
      <c r="C116">
        <v>22</v>
      </c>
      <c r="D116">
        <v>21</v>
      </c>
      <c r="E116">
        <v>1</v>
      </c>
      <c r="F116">
        <v>4</v>
      </c>
      <c r="G116">
        <v>95.5</v>
      </c>
    </row>
    <row r="117" spans="1:7">
      <c r="A117">
        <v>10</v>
      </c>
      <c r="B117" s="1">
        <v>46143</v>
      </c>
      <c r="C117">
        <v>22</v>
      </c>
      <c r="D117">
        <v>19</v>
      </c>
      <c r="E117">
        <v>3</v>
      </c>
      <c r="F117">
        <v>5</v>
      </c>
      <c r="G117">
        <v>86.4</v>
      </c>
    </row>
    <row r="118" spans="1:7">
      <c r="A118">
        <v>10</v>
      </c>
      <c r="B118" s="1">
        <v>46174</v>
      </c>
      <c r="C118">
        <v>20</v>
      </c>
      <c r="D118">
        <v>14</v>
      </c>
      <c r="E118">
        <v>6</v>
      </c>
      <c r="F118">
        <v>5</v>
      </c>
      <c r="G118">
        <v>70</v>
      </c>
    </row>
    <row r="119" spans="1:7">
      <c r="A119">
        <v>10</v>
      </c>
      <c r="B119" s="1">
        <v>46204</v>
      </c>
      <c r="C119">
        <v>21</v>
      </c>
      <c r="D119">
        <v>18</v>
      </c>
      <c r="E119">
        <v>3</v>
      </c>
      <c r="F119">
        <v>2</v>
      </c>
      <c r="G119">
        <v>85.7</v>
      </c>
    </row>
    <row r="120" spans="1:7">
      <c r="A120">
        <v>10</v>
      </c>
      <c r="B120" s="1">
        <v>46235</v>
      </c>
      <c r="C120">
        <v>20</v>
      </c>
      <c r="D120">
        <v>14</v>
      </c>
      <c r="E120">
        <v>6</v>
      </c>
      <c r="F120">
        <v>6</v>
      </c>
      <c r="G120">
        <v>70</v>
      </c>
    </row>
    <row r="121" spans="1:7">
      <c r="A121">
        <v>10</v>
      </c>
      <c r="B121" s="1">
        <v>46266</v>
      </c>
      <c r="C121">
        <v>21</v>
      </c>
      <c r="D121">
        <v>20</v>
      </c>
      <c r="E121">
        <v>1</v>
      </c>
      <c r="F121">
        <v>2</v>
      </c>
      <c r="G121">
        <v>95.2</v>
      </c>
    </row>
    <row r="122" spans="1:7">
      <c r="A122">
        <v>11</v>
      </c>
      <c r="B122" s="1">
        <v>45931</v>
      </c>
      <c r="C122">
        <v>22</v>
      </c>
      <c r="D122">
        <v>20</v>
      </c>
      <c r="E122">
        <v>2</v>
      </c>
      <c r="F122">
        <v>5</v>
      </c>
      <c r="G122">
        <v>90.9</v>
      </c>
    </row>
    <row r="123" spans="1:7">
      <c r="A123">
        <v>11</v>
      </c>
      <c r="B123" s="1">
        <v>45962</v>
      </c>
      <c r="C123">
        <v>20</v>
      </c>
      <c r="D123">
        <v>20</v>
      </c>
      <c r="E123">
        <v>0</v>
      </c>
      <c r="F123">
        <v>3</v>
      </c>
      <c r="G123">
        <v>100</v>
      </c>
    </row>
    <row r="124" spans="1:7">
      <c r="A124">
        <v>11</v>
      </c>
      <c r="B124" s="1">
        <v>45992</v>
      </c>
      <c r="C124">
        <v>18</v>
      </c>
      <c r="D124">
        <v>14</v>
      </c>
      <c r="E124">
        <v>4</v>
      </c>
      <c r="F124">
        <v>0</v>
      </c>
      <c r="G124">
        <v>77.8</v>
      </c>
    </row>
    <row r="125" spans="1:7">
      <c r="A125">
        <v>11</v>
      </c>
      <c r="B125" s="1">
        <v>46023</v>
      </c>
      <c r="C125">
        <v>20</v>
      </c>
      <c r="D125">
        <v>17</v>
      </c>
      <c r="E125">
        <v>3</v>
      </c>
      <c r="F125">
        <v>2</v>
      </c>
      <c r="G125">
        <v>85</v>
      </c>
    </row>
    <row r="126" spans="1:7">
      <c r="A126">
        <v>11</v>
      </c>
      <c r="B126" s="1">
        <v>46054</v>
      </c>
      <c r="C126">
        <v>20</v>
      </c>
      <c r="D126">
        <v>20</v>
      </c>
      <c r="E126">
        <v>0</v>
      </c>
      <c r="F126">
        <v>0</v>
      </c>
      <c r="G126">
        <v>100</v>
      </c>
    </row>
    <row r="127" spans="1:7">
      <c r="A127">
        <v>11</v>
      </c>
      <c r="B127" s="1">
        <v>46082</v>
      </c>
      <c r="C127">
        <v>18</v>
      </c>
      <c r="D127">
        <v>17</v>
      </c>
      <c r="E127">
        <v>1</v>
      </c>
      <c r="F127">
        <v>1</v>
      </c>
      <c r="G127">
        <v>94.4</v>
      </c>
    </row>
    <row r="128" spans="1:7">
      <c r="A128">
        <v>11</v>
      </c>
      <c r="B128" s="1">
        <v>46113</v>
      </c>
      <c r="C128">
        <v>21</v>
      </c>
      <c r="D128">
        <v>17</v>
      </c>
      <c r="E128">
        <v>4</v>
      </c>
      <c r="F128">
        <v>5</v>
      </c>
      <c r="G128">
        <v>81</v>
      </c>
    </row>
    <row r="129" spans="1:7">
      <c r="A129">
        <v>11</v>
      </c>
      <c r="B129" s="1">
        <v>46143</v>
      </c>
      <c r="C129">
        <v>21</v>
      </c>
      <c r="D129">
        <v>17</v>
      </c>
      <c r="E129">
        <v>4</v>
      </c>
      <c r="F129">
        <v>0</v>
      </c>
      <c r="G129">
        <v>81</v>
      </c>
    </row>
    <row r="130" spans="1:7">
      <c r="A130">
        <v>11</v>
      </c>
      <c r="B130" s="1">
        <v>46174</v>
      </c>
      <c r="C130">
        <v>20</v>
      </c>
      <c r="D130">
        <v>19</v>
      </c>
      <c r="E130">
        <v>1</v>
      </c>
      <c r="F130">
        <v>3</v>
      </c>
      <c r="G130">
        <v>95</v>
      </c>
    </row>
    <row r="131" spans="1:7">
      <c r="A131">
        <v>11</v>
      </c>
      <c r="B131" s="1">
        <v>46204</v>
      </c>
      <c r="C131">
        <v>19</v>
      </c>
      <c r="D131">
        <v>18</v>
      </c>
      <c r="E131">
        <v>1</v>
      </c>
      <c r="F131">
        <v>3</v>
      </c>
      <c r="G131">
        <v>94.7</v>
      </c>
    </row>
    <row r="132" spans="1:7">
      <c r="A132">
        <v>11</v>
      </c>
      <c r="B132" s="1">
        <v>46235</v>
      </c>
      <c r="C132">
        <v>19</v>
      </c>
      <c r="D132">
        <v>18</v>
      </c>
      <c r="E132">
        <v>1</v>
      </c>
      <c r="F132">
        <v>3</v>
      </c>
      <c r="G132">
        <v>94.7</v>
      </c>
    </row>
    <row r="133" spans="1:7">
      <c r="A133">
        <v>11</v>
      </c>
      <c r="B133" s="1">
        <v>46266</v>
      </c>
      <c r="C133">
        <v>18</v>
      </c>
      <c r="D133">
        <v>17</v>
      </c>
      <c r="E133">
        <v>1</v>
      </c>
      <c r="F133">
        <v>4</v>
      </c>
      <c r="G133">
        <v>94.4</v>
      </c>
    </row>
    <row r="134" spans="1:7">
      <c r="A134">
        <v>12</v>
      </c>
      <c r="B134" s="1">
        <v>45931</v>
      </c>
      <c r="C134">
        <v>18</v>
      </c>
      <c r="D134">
        <v>12</v>
      </c>
      <c r="E134">
        <v>6</v>
      </c>
      <c r="F134">
        <v>5</v>
      </c>
      <c r="G134">
        <v>66.7</v>
      </c>
    </row>
    <row r="135" spans="1:7">
      <c r="A135">
        <v>12</v>
      </c>
      <c r="B135" s="1">
        <v>45962</v>
      </c>
      <c r="C135">
        <v>22</v>
      </c>
      <c r="D135">
        <v>18</v>
      </c>
      <c r="E135">
        <v>4</v>
      </c>
      <c r="F135">
        <v>4</v>
      </c>
      <c r="G135">
        <v>81.8</v>
      </c>
    </row>
    <row r="136" spans="1:7">
      <c r="A136">
        <v>12</v>
      </c>
      <c r="B136" s="1">
        <v>45992</v>
      </c>
      <c r="C136">
        <v>19</v>
      </c>
      <c r="D136">
        <v>13</v>
      </c>
      <c r="E136">
        <v>6</v>
      </c>
      <c r="F136">
        <v>5</v>
      </c>
      <c r="G136">
        <v>68.400000000000006</v>
      </c>
    </row>
    <row r="137" spans="1:7">
      <c r="A137">
        <v>12</v>
      </c>
      <c r="B137" s="1">
        <v>46023</v>
      </c>
      <c r="C137">
        <v>18</v>
      </c>
      <c r="D137">
        <v>12</v>
      </c>
      <c r="E137">
        <v>6</v>
      </c>
      <c r="F137">
        <v>4</v>
      </c>
      <c r="G137">
        <v>66.7</v>
      </c>
    </row>
    <row r="138" spans="1:7">
      <c r="A138">
        <v>12</v>
      </c>
      <c r="B138" s="1">
        <v>46054</v>
      </c>
      <c r="C138">
        <v>21</v>
      </c>
      <c r="D138">
        <v>14</v>
      </c>
      <c r="E138">
        <v>7</v>
      </c>
      <c r="F138">
        <v>4</v>
      </c>
      <c r="G138">
        <v>66.7</v>
      </c>
    </row>
    <row r="139" spans="1:7">
      <c r="A139">
        <v>12</v>
      </c>
      <c r="B139" s="1">
        <v>46082</v>
      </c>
      <c r="C139">
        <v>19</v>
      </c>
      <c r="D139">
        <v>15</v>
      </c>
      <c r="E139">
        <v>4</v>
      </c>
      <c r="F139">
        <v>5</v>
      </c>
      <c r="G139">
        <v>78.900000000000006</v>
      </c>
    </row>
    <row r="140" spans="1:7">
      <c r="A140">
        <v>12</v>
      </c>
      <c r="B140" s="1">
        <v>46113</v>
      </c>
      <c r="C140">
        <v>22</v>
      </c>
      <c r="D140">
        <v>14</v>
      </c>
      <c r="E140">
        <v>8</v>
      </c>
      <c r="F140">
        <v>0</v>
      </c>
      <c r="G140">
        <v>63.6</v>
      </c>
    </row>
    <row r="141" spans="1:7">
      <c r="A141">
        <v>12</v>
      </c>
      <c r="B141" s="1">
        <v>46143</v>
      </c>
      <c r="C141">
        <v>21</v>
      </c>
      <c r="D141">
        <v>12</v>
      </c>
      <c r="E141">
        <v>9</v>
      </c>
      <c r="F141">
        <v>5</v>
      </c>
      <c r="G141">
        <v>57.1</v>
      </c>
    </row>
    <row r="142" spans="1:7">
      <c r="A142">
        <v>12</v>
      </c>
      <c r="B142" s="1">
        <v>46174</v>
      </c>
      <c r="C142">
        <v>22</v>
      </c>
      <c r="D142">
        <v>17</v>
      </c>
      <c r="E142">
        <v>5</v>
      </c>
      <c r="F142">
        <v>3</v>
      </c>
      <c r="G142">
        <v>77.3</v>
      </c>
    </row>
    <row r="143" spans="1:7">
      <c r="A143">
        <v>12</v>
      </c>
      <c r="B143" s="1">
        <v>46204</v>
      </c>
      <c r="C143">
        <v>21</v>
      </c>
      <c r="D143">
        <v>16</v>
      </c>
      <c r="E143">
        <v>5</v>
      </c>
      <c r="F143">
        <v>4</v>
      </c>
      <c r="G143">
        <v>76.2</v>
      </c>
    </row>
    <row r="144" spans="1:7">
      <c r="A144">
        <v>12</v>
      </c>
      <c r="B144" s="1">
        <v>46235</v>
      </c>
      <c r="C144">
        <v>19</v>
      </c>
      <c r="D144">
        <v>14</v>
      </c>
      <c r="E144">
        <v>5</v>
      </c>
      <c r="F144">
        <v>2</v>
      </c>
      <c r="G144">
        <v>73.7</v>
      </c>
    </row>
    <row r="145" spans="1:7">
      <c r="A145">
        <v>12</v>
      </c>
      <c r="B145" s="1">
        <v>46266</v>
      </c>
      <c r="C145">
        <v>21</v>
      </c>
      <c r="D145">
        <v>10</v>
      </c>
      <c r="E145">
        <v>11</v>
      </c>
      <c r="F145">
        <v>6</v>
      </c>
      <c r="G145">
        <v>47.6</v>
      </c>
    </row>
    <row r="146" spans="1:7">
      <c r="A146">
        <v>13</v>
      </c>
      <c r="B146" s="1">
        <v>45931</v>
      </c>
      <c r="C146">
        <v>19</v>
      </c>
      <c r="D146">
        <v>17</v>
      </c>
      <c r="E146">
        <v>2</v>
      </c>
      <c r="F146">
        <v>5</v>
      </c>
      <c r="G146">
        <v>89.5</v>
      </c>
    </row>
    <row r="147" spans="1:7">
      <c r="A147">
        <v>13</v>
      </c>
      <c r="B147" s="1">
        <v>45962</v>
      </c>
      <c r="C147">
        <v>22</v>
      </c>
      <c r="D147">
        <v>20</v>
      </c>
      <c r="E147">
        <v>2</v>
      </c>
      <c r="F147">
        <v>2</v>
      </c>
      <c r="G147">
        <v>90.9</v>
      </c>
    </row>
    <row r="148" spans="1:7">
      <c r="A148">
        <v>13</v>
      </c>
      <c r="B148" s="1">
        <v>45992</v>
      </c>
      <c r="C148">
        <v>22</v>
      </c>
      <c r="D148">
        <v>20</v>
      </c>
      <c r="E148">
        <v>2</v>
      </c>
      <c r="F148">
        <v>4</v>
      </c>
      <c r="G148">
        <v>90.9</v>
      </c>
    </row>
    <row r="149" spans="1:7">
      <c r="A149">
        <v>13</v>
      </c>
      <c r="B149" s="1">
        <v>46023</v>
      </c>
      <c r="C149">
        <v>19</v>
      </c>
      <c r="D149">
        <v>19</v>
      </c>
      <c r="E149">
        <v>0</v>
      </c>
      <c r="F149">
        <v>1</v>
      </c>
      <c r="G149">
        <v>100</v>
      </c>
    </row>
    <row r="150" spans="1:7">
      <c r="A150">
        <v>13</v>
      </c>
      <c r="B150" s="1">
        <v>46054</v>
      </c>
      <c r="C150">
        <v>19</v>
      </c>
      <c r="D150">
        <v>19</v>
      </c>
      <c r="E150">
        <v>0</v>
      </c>
      <c r="F150">
        <v>2</v>
      </c>
      <c r="G150">
        <v>100</v>
      </c>
    </row>
    <row r="151" spans="1:7">
      <c r="A151">
        <v>13</v>
      </c>
      <c r="B151" s="1">
        <v>46082</v>
      </c>
      <c r="C151">
        <v>19</v>
      </c>
      <c r="D151">
        <v>19</v>
      </c>
      <c r="E151">
        <v>0</v>
      </c>
      <c r="F151">
        <v>1</v>
      </c>
      <c r="G151">
        <v>100</v>
      </c>
    </row>
    <row r="152" spans="1:7">
      <c r="A152">
        <v>13</v>
      </c>
      <c r="B152" s="1">
        <v>46113</v>
      </c>
      <c r="C152">
        <v>22</v>
      </c>
      <c r="D152">
        <v>22</v>
      </c>
      <c r="E152">
        <v>0</v>
      </c>
      <c r="F152">
        <v>0</v>
      </c>
      <c r="G152">
        <v>100</v>
      </c>
    </row>
    <row r="153" spans="1:7">
      <c r="A153">
        <v>13</v>
      </c>
      <c r="B153" s="1">
        <v>46143</v>
      </c>
      <c r="C153">
        <v>20</v>
      </c>
      <c r="D153">
        <v>20</v>
      </c>
      <c r="E153">
        <v>0</v>
      </c>
      <c r="F153">
        <v>3</v>
      </c>
      <c r="G153">
        <v>100</v>
      </c>
    </row>
    <row r="154" spans="1:7">
      <c r="A154">
        <v>13</v>
      </c>
      <c r="B154" s="1">
        <v>46174</v>
      </c>
      <c r="C154">
        <v>22</v>
      </c>
      <c r="D154">
        <v>22</v>
      </c>
      <c r="E154">
        <v>0</v>
      </c>
      <c r="F154">
        <v>3</v>
      </c>
      <c r="G154">
        <v>100</v>
      </c>
    </row>
    <row r="155" spans="1:7">
      <c r="A155">
        <v>13</v>
      </c>
      <c r="B155" s="1">
        <v>46204</v>
      </c>
      <c r="C155">
        <v>22</v>
      </c>
      <c r="D155">
        <v>22</v>
      </c>
      <c r="E155">
        <v>0</v>
      </c>
      <c r="F155">
        <v>2</v>
      </c>
      <c r="G155">
        <v>100</v>
      </c>
    </row>
    <row r="156" spans="1:7">
      <c r="A156">
        <v>13</v>
      </c>
      <c r="B156" s="1">
        <v>46235</v>
      </c>
      <c r="C156">
        <v>21</v>
      </c>
      <c r="D156">
        <v>20</v>
      </c>
      <c r="E156">
        <v>1</v>
      </c>
      <c r="F156">
        <v>0</v>
      </c>
      <c r="G156">
        <v>95.2</v>
      </c>
    </row>
    <row r="157" spans="1:7">
      <c r="A157">
        <v>13</v>
      </c>
      <c r="B157" s="1">
        <v>46266</v>
      </c>
      <c r="C157">
        <v>21</v>
      </c>
      <c r="D157">
        <v>21</v>
      </c>
      <c r="E157">
        <v>0</v>
      </c>
      <c r="F157">
        <v>1</v>
      </c>
      <c r="G157">
        <v>100</v>
      </c>
    </row>
    <row r="158" spans="1:7">
      <c r="A158">
        <v>14</v>
      </c>
      <c r="B158" s="1">
        <v>45931</v>
      </c>
      <c r="C158">
        <v>18</v>
      </c>
      <c r="D158">
        <v>17</v>
      </c>
      <c r="E158">
        <v>1</v>
      </c>
      <c r="F158">
        <v>1</v>
      </c>
      <c r="G158">
        <v>94.4</v>
      </c>
    </row>
    <row r="159" spans="1:7">
      <c r="A159">
        <v>14</v>
      </c>
      <c r="B159" s="1">
        <v>45962</v>
      </c>
      <c r="C159">
        <v>20</v>
      </c>
      <c r="D159">
        <v>20</v>
      </c>
      <c r="E159">
        <v>0</v>
      </c>
      <c r="F159">
        <v>2</v>
      </c>
      <c r="G159">
        <v>100</v>
      </c>
    </row>
    <row r="160" spans="1:7">
      <c r="A160">
        <v>14</v>
      </c>
      <c r="B160" s="1">
        <v>45992</v>
      </c>
      <c r="C160">
        <v>19</v>
      </c>
      <c r="D160">
        <v>16</v>
      </c>
      <c r="E160">
        <v>3</v>
      </c>
      <c r="F160">
        <v>2</v>
      </c>
      <c r="G160">
        <v>84.2</v>
      </c>
    </row>
    <row r="161" spans="1:7">
      <c r="A161">
        <v>14</v>
      </c>
      <c r="B161" s="1">
        <v>46023</v>
      </c>
      <c r="C161">
        <v>19</v>
      </c>
      <c r="D161">
        <v>19</v>
      </c>
      <c r="E161">
        <v>0</v>
      </c>
      <c r="F161">
        <v>0</v>
      </c>
      <c r="G161">
        <v>100</v>
      </c>
    </row>
    <row r="162" spans="1:7">
      <c r="A162">
        <v>14</v>
      </c>
      <c r="B162" s="1">
        <v>46054</v>
      </c>
      <c r="C162">
        <v>20</v>
      </c>
      <c r="D162">
        <v>18</v>
      </c>
      <c r="E162">
        <v>2</v>
      </c>
      <c r="F162">
        <v>5</v>
      </c>
      <c r="G162">
        <v>90</v>
      </c>
    </row>
    <row r="163" spans="1:7">
      <c r="A163">
        <v>14</v>
      </c>
      <c r="B163" s="1">
        <v>46082</v>
      </c>
      <c r="C163">
        <v>22</v>
      </c>
      <c r="D163">
        <v>21</v>
      </c>
      <c r="E163">
        <v>1</v>
      </c>
      <c r="F163">
        <v>1</v>
      </c>
      <c r="G163">
        <v>95.5</v>
      </c>
    </row>
    <row r="164" spans="1:7">
      <c r="A164">
        <v>14</v>
      </c>
      <c r="B164" s="1">
        <v>46113</v>
      </c>
      <c r="C164">
        <v>22</v>
      </c>
      <c r="D164">
        <v>22</v>
      </c>
      <c r="E164">
        <v>0</v>
      </c>
      <c r="F164">
        <v>2</v>
      </c>
      <c r="G164">
        <v>100</v>
      </c>
    </row>
    <row r="165" spans="1:7">
      <c r="A165">
        <v>14</v>
      </c>
      <c r="B165" s="1">
        <v>46143</v>
      </c>
      <c r="C165">
        <v>18</v>
      </c>
      <c r="D165">
        <v>15</v>
      </c>
      <c r="E165">
        <v>3</v>
      </c>
      <c r="F165">
        <v>3</v>
      </c>
      <c r="G165">
        <v>83.3</v>
      </c>
    </row>
    <row r="166" spans="1:7">
      <c r="A166">
        <v>14</v>
      </c>
      <c r="B166" s="1">
        <v>46174</v>
      </c>
      <c r="C166">
        <v>21</v>
      </c>
      <c r="D166">
        <v>21</v>
      </c>
      <c r="E166">
        <v>0</v>
      </c>
      <c r="F166">
        <v>2</v>
      </c>
      <c r="G166">
        <v>100</v>
      </c>
    </row>
    <row r="167" spans="1:7">
      <c r="A167">
        <v>14</v>
      </c>
      <c r="B167" s="1">
        <v>46204</v>
      </c>
      <c r="C167">
        <v>22</v>
      </c>
      <c r="D167">
        <v>19</v>
      </c>
      <c r="E167">
        <v>3</v>
      </c>
      <c r="F167">
        <v>0</v>
      </c>
      <c r="G167">
        <v>86.4</v>
      </c>
    </row>
    <row r="168" spans="1:7">
      <c r="A168">
        <v>14</v>
      </c>
      <c r="B168" s="1">
        <v>46235</v>
      </c>
      <c r="C168">
        <v>18</v>
      </c>
      <c r="D168">
        <v>17</v>
      </c>
      <c r="E168">
        <v>1</v>
      </c>
      <c r="F168">
        <v>3</v>
      </c>
      <c r="G168">
        <v>94.4</v>
      </c>
    </row>
    <row r="169" spans="1:7">
      <c r="A169">
        <v>14</v>
      </c>
      <c r="B169" s="1">
        <v>46266</v>
      </c>
      <c r="C169">
        <v>19</v>
      </c>
      <c r="D169">
        <v>19</v>
      </c>
      <c r="E169">
        <v>0</v>
      </c>
      <c r="F169">
        <v>2</v>
      </c>
      <c r="G169">
        <v>100</v>
      </c>
    </row>
    <row r="170" spans="1:7">
      <c r="A170">
        <v>15</v>
      </c>
      <c r="B170" s="1">
        <v>45931</v>
      </c>
      <c r="C170">
        <v>22</v>
      </c>
      <c r="D170">
        <v>19</v>
      </c>
      <c r="E170">
        <v>3</v>
      </c>
      <c r="F170">
        <v>6</v>
      </c>
      <c r="G170">
        <v>86.4</v>
      </c>
    </row>
    <row r="171" spans="1:7">
      <c r="A171">
        <v>15</v>
      </c>
      <c r="B171" s="1">
        <v>45962</v>
      </c>
      <c r="C171">
        <v>19</v>
      </c>
      <c r="D171">
        <v>14</v>
      </c>
      <c r="E171">
        <v>5</v>
      </c>
      <c r="F171">
        <v>2</v>
      </c>
      <c r="G171">
        <v>73.7</v>
      </c>
    </row>
    <row r="172" spans="1:7">
      <c r="A172">
        <v>15</v>
      </c>
      <c r="B172" s="1">
        <v>45992</v>
      </c>
      <c r="C172">
        <v>21</v>
      </c>
      <c r="D172">
        <v>14</v>
      </c>
      <c r="E172">
        <v>7</v>
      </c>
      <c r="F172">
        <v>1</v>
      </c>
      <c r="G172">
        <v>66.7</v>
      </c>
    </row>
    <row r="173" spans="1:7">
      <c r="A173">
        <v>15</v>
      </c>
      <c r="B173" s="1">
        <v>46023</v>
      </c>
      <c r="C173">
        <v>19</v>
      </c>
      <c r="D173">
        <v>10</v>
      </c>
      <c r="E173">
        <v>9</v>
      </c>
      <c r="F173">
        <v>5</v>
      </c>
      <c r="G173">
        <v>52.6</v>
      </c>
    </row>
    <row r="174" spans="1:7">
      <c r="A174">
        <v>15</v>
      </c>
      <c r="B174" s="1">
        <v>46054</v>
      </c>
      <c r="C174">
        <v>22</v>
      </c>
      <c r="D174">
        <v>16</v>
      </c>
      <c r="E174">
        <v>6</v>
      </c>
      <c r="F174">
        <v>2</v>
      </c>
      <c r="G174">
        <v>72.7</v>
      </c>
    </row>
    <row r="175" spans="1:7">
      <c r="A175">
        <v>15</v>
      </c>
      <c r="B175" s="1">
        <v>46082</v>
      </c>
      <c r="C175">
        <v>22</v>
      </c>
      <c r="D175">
        <v>16</v>
      </c>
      <c r="E175">
        <v>6</v>
      </c>
      <c r="F175">
        <v>2</v>
      </c>
      <c r="G175">
        <v>72.7</v>
      </c>
    </row>
    <row r="176" spans="1:7">
      <c r="A176">
        <v>15</v>
      </c>
      <c r="B176" s="1">
        <v>46113</v>
      </c>
      <c r="C176">
        <v>19</v>
      </c>
      <c r="D176">
        <v>11</v>
      </c>
      <c r="E176">
        <v>8</v>
      </c>
      <c r="F176">
        <v>0</v>
      </c>
      <c r="G176">
        <v>57.9</v>
      </c>
    </row>
    <row r="177" spans="1:7">
      <c r="A177">
        <v>15</v>
      </c>
      <c r="B177" s="1">
        <v>46143</v>
      </c>
      <c r="C177">
        <v>20</v>
      </c>
      <c r="D177">
        <v>11</v>
      </c>
      <c r="E177">
        <v>9</v>
      </c>
      <c r="F177">
        <v>3</v>
      </c>
      <c r="G177">
        <v>55</v>
      </c>
    </row>
    <row r="178" spans="1:7">
      <c r="A178">
        <v>15</v>
      </c>
      <c r="B178" s="1">
        <v>46174</v>
      </c>
      <c r="C178">
        <v>19</v>
      </c>
      <c r="D178">
        <v>10</v>
      </c>
      <c r="E178">
        <v>9</v>
      </c>
      <c r="F178">
        <v>4</v>
      </c>
      <c r="G178">
        <v>52.6</v>
      </c>
    </row>
    <row r="179" spans="1:7">
      <c r="A179">
        <v>15</v>
      </c>
      <c r="B179" s="1">
        <v>46204</v>
      </c>
      <c r="C179">
        <v>18</v>
      </c>
      <c r="D179">
        <v>11</v>
      </c>
      <c r="E179">
        <v>7</v>
      </c>
      <c r="F179">
        <v>6</v>
      </c>
      <c r="G179">
        <v>61.1</v>
      </c>
    </row>
    <row r="180" spans="1:7">
      <c r="A180">
        <v>15</v>
      </c>
      <c r="B180" s="1">
        <v>46235</v>
      </c>
      <c r="C180">
        <v>22</v>
      </c>
      <c r="D180">
        <v>15</v>
      </c>
      <c r="E180">
        <v>7</v>
      </c>
      <c r="F180">
        <v>6</v>
      </c>
      <c r="G180">
        <v>68.2</v>
      </c>
    </row>
    <row r="181" spans="1:7">
      <c r="A181">
        <v>15</v>
      </c>
      <c r="B181" s="1">
        <v>46266</v>
      </c>
      <c r="C181">
        <v>22</v>
      </c>
      <c r="D181">
        <v>18</v>
      </c>
      <c r="E181">
        <v>4</v>
      </c>
      <c r="F181">
        <v>4</v>
      </c>
      <c r="G181">
        <v>81.8</v>
      </c>
    </row>
    <row r="182" spans="1:7">
      <c r="A182">
        <v>16</v>
      </c>
      <c r="B182" s="1">
        <v>45931</v>
      </c>
      <c r="C182">
        <v>20</v>
      </c>
      <c r="D182">
        <v>17</v>
      </c>
      <c r="E182">
        <v>3</v>
      </c>
      <c r="F182">
        <v>4</v>
      </c>
      <c r="G182">
        <v>85</v>
      </c>
    </row>
    <row r="183" spans="1:7">
      <c r="A183">
        <v>16</v>
      </c>
      <c r="B183" s="1">
        <v>45962</v>
      </c>
      <c r="C183">
        <v>19</v>
      </c>
      <c r="D183">
        <v>17</v>
      </c>
      <c r="E183">
        <v>2</v>
      </c>
      <c r="F183">
        <v>1</v>
      </c>
      <c r="G183">
        <v>89.5</v>
      </c>
    </row>
    <row r="184" spans="1:7">
      <c r="A184">
        <v>16</v>
      </c>
      <c r="B184" s="1">
        <v>45992</v>
      </c>
      <c r="C184">
        <v>22</v>
      </c>
      <c r="D184">
        <v>20</v>
      </c>
      <c r="E184">
        <v>2</v>
      </c>
      <c r="F184">
        <v>3</v>
      </c>
      <c r="G184">
        <v>90.9</v>
      </c>
    </row>
    <row r="185" spans="1:7">
      <c r="A185">
        <v>16</v>
      </c>
      <c r="B185" s="1">
        <v>46023</v>
      </c>
      <c r="C185">
        <v>22</v>
      </c>
      <c r="D185">
        <v>21</v>
      </c>
      <c r="E185">
        <v>1</v>
      </c>
      <c r="F185">
        <v>4</v>
      </c>
      <c r="G185">
        <v>95.5</v>
      </c>
    </row>
    <row r="186" spans="1:7">
      <c r="A186">
        <v>16</v>
      </c>
      <c r="B186" s="1">
        <v>46054</v>
      </c>
      <c r="C186">
        <v>21</v>
      </c>
      <c r="D186">
        <v>20</v>
      </c>
      <c r="E186">
        <v>1</v>
      </c>
      <c r="F186">
        <v>1</v>
      </c>
      <c r="G186">
        <v>95.2</v>
      </c>
    </row>
    <row r="187" spans="1:7">
      <c r="A187">
        <v>16</v>
      </c>
      <c r="B187" s="1">
        <v>46082</v>
      </c>
      <c r="C187">
        <v>20</v>
      </c>
      <c r="D187">
        <v>19</v>
      </c>
      <c r="E187">
        <v>1</v>
      </c>
      <c r="F187">
        <v>2</v>
      </c>
      <c r="G187">
        <v>95</v>
      </c>
    </row>
    <row r="188" spans="1:7">
      <c r="A188">
        <v>16</v>
      </c>
      <c r="B188" s="1">
        <v>46113</v>
      </c>
      <c r="C188">
        <v>20</v>
      </c>
      <c r="D188">
        <v>20</v>
      </c>
      <c r="E188">
        <v>0</v>
      </c>
      <c r="F188">
        <v>3</v>
      </c>
      <c r="G188">
        <v>100</v>
      </c>
    </row>
    <row r="189" spans="1:7">
      <c r="A189">
        <v>16</v>
      </c>
      <c r="B189" s="1">
        <v>46143</v>
      </c>
      <c r="C189">
        <v>22</v>
      </c>
      <c r="D189">
        <v>17</v>
      </c>
      <c r="E189">
        <v>5</v>
      </c>
      <c r="F189">
        <v>6</v>
      </c>
      <c r="G189">
        <v>77.3</v>
      </c>
    </row>
    <row r="190" spans="1:7">
      <c r="A190">
        <v>16</v>
      </c>
      <c r="B190" s="1">
        <v>46174</v>
      </c>
      <c r="C190">
        <v>18</v>
      </c>
      <c r="D190">
        <v>16</v>
      </c>
      <c r="E190">
        <v>2</v>
      </c>
      <c r="F190">
        <v>1</v>
      </c>
      <c r="G190">
        <v>88.9</v>
      </c>
    </row>
    <row r="191" spans="1:7">
      <c r="A191">
        <v>16</v>
      </c>
      <c r="B191" s="1">
        <v>46204</v>
      </c>
      <c r="C191">
        <v>22</v>
      </c>
      <c r="D191">
        <v>20</v>
      </c>
      <c r="E191">
        <v>2</v>
      </c>
      <c r="F191">
        <v>4</v>
      </c>
      <c r="G191">
        <v>90.9</v>
      </c>
    </row>
    <row r="192" spans="1:7">
      <c r="A192">
        <v>16</v>
      </c>
      <c r="B192" s="1">
        <v>46235</v>
      </c>
      <c r="C192">
        <v>19</v>
      </c>
      <c r="D192">
        <v>16</v>
      </c>
      <c r="E192">
        <v>3</v>
      </c>
      <c r="F192">
        <v>2</v>
      </c>
      <c r="G192">
        <v>84.2</v>
      </c>
    </row>
    <row r="193" spans="1:7">
      <c r="A193">
        <v>16</v>
      </c>
      <c r="B193" s="1">
        <v>46266</v>
      </c>
      <c r="C193">
        <v>21</v>
      </c>
      <c r="D193">
        <v>21</v>
      </c>
      <c r="E193">
        <v>0</v>
      </c>
      <c r="F193">
        <v>0</v>
      </c>
      <c r="G193">
        <v>100</v>
      </c>
    </row>
    <row r="194" spans="1:7">
      <c r="A194">
        <v>17</v>
      </c>
      <c r="B194" s="1">
        <v>45931</v>
      </c>
      <c r="C194">
        <v>21</v>
      </c>
      <c r="D194">
        <v>19</v>
      </c>
      <c r="E194">
        <v>2</v>
      </c>
      <c r="F194">
        <v>0</v>
      </c>
      <c r="G194">
        <v>90.5</v>
      </c>
    </row>
    <row r="195" spans="1:7">
      <c r="A195">
        <v>17</v>
      </c>
      <c r="B195" s="1">
        <v>45962</v>
      </c>
      <c r="C195">
        <v>22</v>
      </c>
      <c r="D195">
        <v>16</v>
      </c>
      <c r="E195">
        <v>6</v>
      </c>
      <c r="F195">
        <v>6</v>
      </c>
      <c r="G195">
        <v>72.7</v>
      </c>
    </row>
    <row r="196" spans="1:7">
      <c r="A196">
        <v>17</v>
      </c>
      <c r="B196" s="1">
        <v>45992</v>
      </c>
      <c r="C196">
        <v>20</v>
      </c>
      <c r="D196">
        <v>20</v>
      </c>
      <c r="E196">
        <v>0</v>
      </c>
      <c r="F196">
        <v>3</v>
      </c>
      <c r="G196">
        <v>100</v>
      </c>
    </row>
    <row r="197" spans="1:7">
      <c r="A197">
        <v>17</v>
      </c>
      <c r="B197" s="1">
        <v>46023</v>
      </c>
      <c r="C197">
        <v>18</v>
      </c>
      <c r="D197">
        <v>16</v>
      </c>
      <c r="E197">
        <v>2</v>
      </c>
      <c r="F197">
        <v>2</v>
      </c>
      <c r="G197">
        <v>88.9</v>
      </c>
    </row>
    <row r="198" spans="1:7">
      <c r="A198">
        <v>17</v>
      </c>
      <c r="B198" s="1">
        <v>46054</v>
      </c>
      <c r="C198">
        <v>19</v>
      </c>
      <c r="D198">
        <v>17</v>
      </c>
      <c r="E198">
        <v>2</v>
      </c>
      <c r="F198">
        <v>0</v>
      </c>
      <c r="G198">
        <v>89.5</v>
      </c>
    </row>
    <row r="199" spans="1:7">
      <c r="A199">
        <v>17</v>
      </c>
      <c r="B199" s="1">
        <v>46082</v>
      </c>
      <c r="C199">
        <v>19</v>
      </c>
      <c r="D199">
        <v>16</v>
      </c>
      <c r="E199">
        <v>3</v>
      </c>
      <c r="F199">
        <v>6</v>
      </c>
      <c r="G199">
        <v>84.2</v>
      </c>
    </row>
    <row r="200" spans="1:7">
      <c r="A200">
        <v>17</v>
      </c>
      <c r="B200" s="1">
        <v>46113</v>
      </c>
      <c r="C200">
        <v>22</v>
      </c>
      <c r="D200">
        <v>22</v>
      </c>
      <c r="E200">
        <v>0</v>
      </c>
      <c r="F200">
        <v>1</v>
      </c>
      <c r="G200">
        <v>100</v>
      </c>
    </row>
    <row r="201" spans="1:7">
      <c r="A201">
        <v>17</v>
      </c>
      <c r="B201" s="1">
        <v>46143</v>
      </c>
      <c r="C201">
        <v>19</v>
      </c>
      <c r="D201">
        <v>17</v>
      </c>
      <c r="E201">
        <v>2</v>
      </c>
      <c r="F201">
        <v>5</v>
      </c>
      <c r="G201">
        <v>89.5</v>
      </c>
    </row>
    <row r="202" spans="1:7">
      <c r="A202">
        <v>17</v>
      </c>
      <c r="B202" s="1">
        <v>46174</v>
      </c>
      <c r="C202">
        <v>21</v>
      </c>
      <c r="D202">
        <v>18</v>
      </c>
      <c r="E202">
        <v>3</v>
      </c>
      <c r="F202">
        <v>6</v>
      </c>
      <c r="G202">
        <v>85.7</v>
      </c>
    </row>
    <row r="203" spans="1:7">
      <c r="A203">
        <v>17</v>
      </c>
      <c r="B203" s="1">
        <v>46204</v>
      </c>
      <c r="C203">
        <v>21</v>
      </c>
      <c r="D203">
        <v>20</v>
      </c>
      <c r="E203">
        <v>1</v>
      </c>
      <c r="F203">
        <v>0</v>
      </c>
      <c r="G203">
        <v>95.2</v>
      </c>
    </row>
    <row r="204" spans="1:7">
      <c r="A204">
        <v>17</v>
      </c>
      <c r="B204" s="1">
        <v>46235</v>
      </c>
      <c r="C204">
        <v>19</v>
      </c>
      <c r="D204">
        <v>14</v>
      </c>
      <c r="E204">
        <v>5</v>
      </c>
      <c r="F204">
        <v>0</v>
      </c>
      <c r="G204">
        <v>73.7</v>
      </c>
    </row>
    <row r="205" spans="1:7">
      <c r="A205">
        <v>17</v>
      </c>
      <c r="B205" s="1">
        <v>46266</v>
      </c>
      <c r="C205">
        <v>18</v>
      </c>
      <c r="D205">
        <v>15</v>
      </c>
      <c r="E205">
        <v>3</v>
      </c>
      <c r="F205">
        <v>0</v>
      </c>
      <c r="G205">
        <v>83.3</v>
      </c>
    </row>
    <row r="206" spans="1:7">
      <c r="A206">
        <v>18</v>
      </c>
      <c r="B206" s="1">
        <v>45931</v>
      </c>
      <c r="C206">
        <v>18</v>
      </c>
      <c r="D206">
        <v>10</v>
      </c>
      <c r="E206">
        <v>8</v>
      </c>
      <c r="F206">
        <v>0</v>
      </c>
      <c r="G206">
        <v>55.6</v>
      </c>
    </row>
    <row r="207" spans="1:7">
      <c r="A207">
        <v>18</v>
      </c>
      <c r="B207" s="1">
        <v>45962</v>
      </c>
      <c r="C207">
        <v>22</v>
      </c>
      <c r="D207">
        <v>13</v>
      </c>
      <c r="E207">
        <v>9</v>
      </c>
      <c r="F207">
        <v>6</v>
      </c>
      <c r="G207">
        <v>59.1</v>
      </c>
    </row>
    <row r="208" spans="1:7">
      <c r="A208">
        <v>18</v>
      </c>
      <c r="B208" s="1">
        <v>45992</v>
      </c>
      <c r="C208">
        <v>19</v>
      </c>
      <c r="D208">
        <v>10</v>
      </c>
      <c r="E208">
        <v>9</v>
      </c>
      <c r="F208">
        <v>3</v>
      </c>
      <c r="G208">
        <v>52.6</v>
      </c>
    </row>
    <row r="209" spans="1:7">
      <c r="A209">
        <v>18</v>
      </c>
      <c r="B209" s="1">
        <v>46023</v>
      </c>
      <c r="C209">
        <v>21</v>
      </c>
      <c r="D209">
        <v>15</v>
      </c>
      <c r="E209">
        <v>6</v>
      </c>
      <c r="F209">
        <v>3</v>
      </c>
      <c r="G209">
        <v>71.400000000000006</v>
      </c>
    </row>
    <row r="210" spans="1:7">
      <c r="A210">
        <v>18</v>
      </c>
      <c r="B210" s="1">
        <v>46054</v>
      </c>
      <c r="C210">
        <v>20</v>
      </c>
      <c r="D210">
        <v>10</v>
      </c>
      <c r="E210">
        <v>10</v>
      </c>
      <c r="F210">
        <v>4</v>
      </c>
      <c r="G210">
        <v>50</v>
      </c>
    </row>
    <row r="211" spans="1:7">
      <c r="A211">
        <v>18</v>
      </c>
      <c r="B211" s="1">
        <v>46082</v>
      </c>
      <c r="C211">
        <v>18</v>
      </c>
      <c r="D211">
        <v>10</v>
      </c>
      <c r="E211">
        <v>8</v>
      </c>
      <c r="F211">
        <v>5</v>
      </c>
      <c r="G211">
        <v>55.6</v>
      </c>
    </row>
    <row r="212" spans="1:7">
      <c r="A212">
        <v>18</v>
      </c>
      <c r="B212" s="1">
        <v>46113</v>
      </c>
      <c r="C212">
        <v>22</v>
      </c>
      <c r="D212">
        <v>11</v>
      </c>
      <c r="E212">
        <v>11</v>
      </c>
      <c r="F212">
        <v>0</v>
      </c>
      <c r="G212">
        <v>50</v>
      </c>
    </row>
    <row r="213" spans="1:7">
      <c r="A213">
        <v>18</v>
      </c>
      <c r="B213" s="1">
        <v>46143</v>
      </c>
      <c r="C213">
        <v>18</v>
      </c>
      <c r="D213">
        <v>10</v>
      </c>
      <c r="E213">
        <v>8</v>
      </c>
      <c r="F213">
        <v>2</v>
      </c>
      <c r="G213">
        <v>55.6</v>
      </c>
    </row>
    <row r="214" spans="1:7">
      <c r="A214">
        <v>18</v>
      </c>
      <c r="B214" s="1">
        <v>46174</v>
      </c>
      <c r="C214">
        <v>22</v>
      </c>
      <c r="D214">
        <v>12</v>
      </c>
      <c r="E214">
        <v>10</v>
      </c>
      <c r="F214">
        <v>2</v>
      </c>
      <c r="G214">
        <v>54.5</v>
      </c>
    </row>
    <row r="215" spans="1:7">
      <c r="A215">
        <v>18</v>
      </c>
      <c r="B215" s="1">
        <v>46204</v>
      </c>
      <c r="C215">
        <v>22</v>
      </c>
      <c r="D215">
        <v>12</v>
      </c>
      <c r="E215">
        <v>10</v>
      </c>
      <c r="F215">
        <v>0</v>
      </c>
      <c r="G215">
        <v>54.5</v>
      </c>
    </row>
    <row r="216" spans="1:7">
      <c r="A216">
        <v>18</v>
      </c>
      <c r="B216" s="1">
        <v>46235</v>
      </c>
      <c r="C216">
        <v>20</v>
      </c>
      <c r="D216">
        <v>12</v>
      </c>
      <c r="E216">
        <v>8</v>
      </c>
      <c r="F216">
        <v>3</v>
      </c>
      <c r="G216">
        <v>60</v>
      </c>
    </row>
    <row r="217" spans="1:7">
      <c r="A217">
        <v>18</v>
      </c>
      <c r="B217" s="1">
        <v>46266</v>
      </c>
      <c r="C217">
        <v>18</v>
      </c>
      <c r="D217">
        <v>13</v>
      </c>
      <c r="E217">
        <v>5</v>
      </c>
      <c r="F217">
        <v>3</v>
      </c>
      <c r="G217">
        <v>72.2</v>
      </c>
    </row>
    <row r="218" spans="1:7">
      <c r="A218">
        <v>19</v>
      </c>
      <c r="B218" s="1">
        <v>45931</v>
      </c>
      <c r="C218">
        <v>19</v>
      </c>
      <c r="D218">
        <v>19</v>
      </c>
      <c r="E218">
        <v>0</v>
      </c>
      <c r="F218">
        <v>3</v>
      </c>
      <c r="G218">
        <v>100</v>
      </c>
    </row>
    <row r="219" spans="1:7">
      <c r="A219">
        <v>19</v>
      </c>
      <c r="B219" s="1">
        <v>45962</v>
      </c>
      <c r="C219">
        <v>22</v>
      </c>
      <c r="D219">
        <v>22</v>
      </c>
      <c r="E219">
        <v>0</v>
      </c>
      <c r="F219">
        <v>2</v>
      </c>
      <c r="G219">
        <v>100</v>
      </c>
    </row>
    <row r="220" spans="1:7">
      <c r="A220">
        <v>19</v>
      </c>
      <c r="B220" s="1">
        <v>45992</v>
      </c>
      <c r="C220">
        <v>19</v>
      </c>
      <c r="D220">
        <v>19</v>
      </c>
      <c r="E220">
        <v>0</v>
      </c>
      <c r="F220">
        <v>2</v>
      </c>
      <c r="G220">
        <v>100</v>
      </c>
    </row>
    <row r="221" spans="1:7">
      <c r="A221">
        <v>19</v>
      </c>
      <c r="B221" s="1">
        <v>46023</v>
      </c>
      <c r="C221">
        <v>18</v>
      </c>
      <c r="D221">
        <v>14</v>
      </c>
      <c r="E221">
        <v>4</v>
      </c>
      <c r="F221">
        <v>4</v>
      </c>
      <c r="G221">
        <v>77.8</v>
      </c>
    </row>
    <row r="222" spans="1:7">
      <c r="A222">
        <v>19</v>
      </c>
      <c r="B222" s="1">
        <v>46054</v>
      </c>
      <c r="C222">
        <v>22</v>
      </c>
      <c r="D222">
        <v>21</v>
      </c>
      <c r="E222">
        <v>1</v>
      </c>
      <c r="F222">
        <v>4</v>
      </c>
      <c r="G222">
        <v>95.5</v>
      </c>
    </row>
    <row r="223" spans="1:7">
      <c r="A223">
        <v>19</v>
      </c>
      <c r="B223" s="1">
        <v>46082</v>
      </c>
      <c r="C223">
        <v>22</v>
      </c>
      <c r="D223">
        <v>21</v>
      </c>
      <c r="E223">
        <v>1</v>
      </c>
      <c r="F223">
        <v>3</v>
      </c>
      <c r="G223">
        <v>95.5</v>
      </c>
    </row>
    <row r="224" spans="1:7">
      <c r="A224">
        <v>19</v>
      </c>
      <c r="B224" s="1">
        <v>46113</v>
      </c>
      <c r="C224">
        <v>22</v>
      </c>
      <c r="D224">
        <v>22</v>
      </c>
      <c r="E224">
        <v>0</v>
      </c>
      <c r="F224">
        <v>1</v>
      </c>
      <c r="G224">
        <v>100</v>
      </c>
    </row>
    <row r="225" spans="1:7">
      <c r="A225">
        <v>19</v>
      </c>
      <c r="B225" s="1">
        <v>46143</v>
      </c>
      <c r="C225">
        <v>20</v>
      </c>
      <c r="D225">
        <v>20</v>
      </c>
      <c r="E225">
        <v>0</v>
      </c>
      <c r="F225">
        <v>1</v>
      </c>
      <c r="G225">
        <v>100</v>
      </c>
    </row>
    <row r="226" spans="1:7">
      <c r="A226">
        <v>19</v>
      </c>
      <c r="B226" s="1">
        <v>46174</v>
      </c>
      <c r="C226">
        <v>21</v>
      </c>
      <c r="D226">
        <v>17</v>
      </c>
      <c r="E226">
        <v>4</v>
      </c>
      <c r="F226">
        <v>1</v>
      </c>
      <c r="G226">
        <v>81</v>
      </c>
    </row>
    <row r="227" spans="1:7">
      <c r="A227">
        <v>19</v>
      </c>
      <c r="B227" s="1">
        <v>46204</v>
      </c>
      <c r="C227">
        <v>19</v>
      </c>
      <c r="D227">
        <v>19</v>
      </c>
      <c r="E227">
        <v>0</v>
      </c>
      <c r="F227">
        <v>1</v>
      </c>
      <c r="G227">
        <v>100</v>
      </c>
    </row>
    <row r="228" spans="1:7">
      <c r="A228">
        <v>19</v>
      </c>
      <c r="B228" s="1">
        <v>46235</v>
      </c>
      <c r="C228">
        <v>19</v>
      </c>
      <c r="D228">
        <v>19</v>
      </c>
      <c r="E228">
        <v>0</v>
      </c>
      <c r="F228">
        <v>0</v>
      </c>
      <c r="G228">
        <v>100</v>
      </c>
    </row>
    <row r="229" spans="1:7">
      <c r="A229">
        <v>19</v>
      </c>
      <c r="B229" s="1">
        <v>46266</v>
      </c>
      <c r="C229">
        <v>19</v>
      </c>
      <c r="D229">
        <v>19</v>
      </c>
      <c r="E229">
        <v>0</v>
      </c>
      <c r="F229">
        <v>0</v>
      </c>
      <c r="G229">
        <v>100</v>
      </c>
    </row>
    <row r="230" spans="1:7">
      <c r="A230">
        <v>20</v>
      </c>
      <c r="B230" s="1">
        <v>45931</v>
      </c>
      <c r="C230">
        <v>22</v>
      </c>
      <c r="D230">
        <v>22</v>
      </c>
      <c r="E230">
        <v>0</v>
      </c>
      <c r="F230">
        <v>2</v>
      </c>
      <c r="G230">
        <v>100</v>
      </c>
    </row>
    <row r="231" spans="1:7">
      <c r="A231">
        <v>20</v>
      </c>
      <c r="B231" s="1">
        <v>45962</v>
      </c>
      <c r="C231">
        <v>18</v>
      </c>
      <c r="D231">
        <v>17</v>
      </c>
      <c r="E231">
        <v>1</v>
      </c>
      <c r="F231">
        <v>2</v>
      </c>
      <c r="G231">
        <v>94.4</v>
      </c>
    </row>
    <row r="232" spans="1:7">
      <c r="A232">
        <v>20</v>
      </c>
      <c r="B232" s="1">
        <v>45992</v>
      </c>
      <c r="C232">
        <v>18</v>
      </c>
      <c r="D232">
        <v>17</v>
      </c>
      <c r="E232">
        <v>1</v>
      </c>
      <c r="F232">
        <v>2</v>
      </c>
      <c r="G232">
        <v>94.4</v>
      </c>
    </row>
    <row r="233" spans="1:7">
      <c r="A233">
        <v>20</v>
      </c>
      <c r="B233" s="1">
        <v>46023</v>
      </c>
      <c r="C233">
        <v>20</v>
      </c>
      <c r="D233">
        <v>18</v>
      </c>
      <c r="E233">
        <v>2</v>
      </c>
      <c r="F233">
        <v>1</v>
      </c>
      <c r="G233">
        <v>90</v>
      </c>
    </row>
    <row r="234" spans="1:7">
      <c r="A234">
        <v>20</v>
      </c>
      <c r="B234" s="1">
        <v>46054</v>
      </c>
      <c r="C234">
        <v>19</v>
      </c>
      <c r="D234">
        <v>17</v>
      </c>
      <c r="E234">
        <v>2</v>
      </c>
      <c r="F234">
        <v>1</v>
      </c>
      <c r="G234">
        <v>89.5</v>
      </c>
    </row>
    <row r="235" spans="1:7">
      <c r="A235">
        <v>20</v>
      </c>
      <c r="B235" s="1">
        <v>46082</v>
      </c>
      <c r="C235">
        <v>20</v>
      </c>
      <c r="D235">
        <v>18</v>
      </c>
      <c r="E235">
        <v>2</v>
      </c>
      <c r="F235">
        <v>3</v>
      </c>
      <c r="G235">
        <v>90</v>
      </c>
    </row>
    <row r="236" spans="1:7">
      <c r="A236">
        <v>20</v>
      </c>
      <c r="B236" s="1">
        <v>46113</v>
      </c>
      <c r="C236">
        <v>21</v>
      </c>
      <c r="D236">
        <v>21</v>
      </c>
      <c r="E236">
        <v>0</v>
      </c>
      <c r="F236">
        <v>1</v>
      </c>
      <c r="G236">
        <v>100</v>
      </c>
    </row>
    <row r="237" spans="1:7">
      <c r="A237">
        <v>20</v>
      </c>
      <c r="B237" s="1">
        <v>46143</v>
      </c>
      <c r="C237">
        <v>22</v>
      </c>
      <c r="D237">
        <v>20</v>
      </c>
      <c r="E237">
        <v>2</v>
      </c>
      <c r="F237">
        <v>4</v>
      </c>
      <c r="G237">
        <v>90.9</v>
      </c>
    </row>
    <row r="238" spans="1:7">
      <c r="A238">
        <v>20</v>
      </c>
      <c r="B238" s="1">
        <v>46174</v>
      </c>
      <c r="C238">
        <v>20</v>
      </c>
      <c r="D238">
        <v>18</v>
      </c>
      <c r="E238">
        <v>2</v>
      </c>
      <c r="F238">
        <v>1</v>
      </c>
      <c r="G238">
        <v>90</v>
      </c>
    </row>
    <row r="239" spans="1:7">
      <c r="A239">
        <v>20</v>
      </c>
      <c r="B239" s="1">
        <v>46204</v>
      </c>
      <c r="C239">
        <v>18</v>
      </c>
      <c r="D239">
        <v>18</v>
      </c>
      <c r="E239">
        <v>0</v>
      </c>
      <c r="F239">
        <v>2</v>
      </c>
      <c r="G239">
        <v>100</v>
      </c>
    </row>
    <row r="240" spans="1:7">
      <c r="A240">
        <v>20</v>
      </c>
      <c r="B240" s="1">
        <v>46235</v>
      </c>
      <c r="C240">
        <v>19</v>
      </c>
      <c r="D240">
        <v>18</v>
      </c>
      <c r="E240">
        <v>1</v>
      </c>
      <c r="F240">
        <v>3</v>
      </c>
      <c r="G240">
        <v>94.7</v>
      </c>
    </row>
    <row r="241" spans="1:7">
      <c r="A241">
        <v>20</v>
      </c>
      <c r="B241" s="1">
        <v>46266</v>
      </c>
      <c r="C241">
        <v>20</v>
      </c>
      <c r="D241">
        <v>20</v>
      </c>
      <c r="E241">
        <v>0</v>
      </c>
      <c r="F241">
        <v>2</v>
      </c>
      <c r="G241">
        <v>100</v>
      </c>
    </row>
    <row r="242" spans="1:7">
      <c r="A242">
        <v>21</v>
      </c>
      <c r="B242" s="1">
        <v>45931</v>
      </c>
      <c r="C242">
        <v>19</v>
      </c>
      <c r="D242">
        <v>18</v>
      </c>
      <c r="E242">
        <v>1</v>
      </c>
      <c r="F242">
        <v>3</v>
      </c>
      <c r="G242">
        <v>94.7</v>
      </c>
    </row>
    <row r="243" spans="1:7">
      <c r="A243">
        <v>21</v>
      </c>
      <c r="B243" s="1">
        <v>45962</v>
      </c>
      <c r="C243">
        <v>21</v>
      </c>
      <c r="D243">
        <v>21</v>
      </c>
      <c r="E243">
        <v>0</v>
      </c>
      <c r="F243">
        <v>3</v>
      </c>
      <c r="G243">
        <v>100</v>
      </c>
    </row>
    <row r="244" spans="1:7">
      <c r="A244">
        <v>21</v>
      </c>
      <c r="B244" s="1">
        <v>45992</v>
      </c>
      <c r="C244">
        <v>20</v>
      </c>
      <c r="D244">
        <v>18</v>
      </c>
      <c r="E244">
        <v>2</v>
      </c>
      <c r="F244">
        <v>0</v>
      </c>
      <c r="G244">
        <v>90</v>
      </c>
    </row>
    <row r="245" spans="1:7">
      <c r="A245">
        <v>21</v>
      </c>
      <c r="B245" s="1">
        <v>46023</v>
      </c>
      <c r="C245">
        <v>19</v>
      </c>
      <c r="D245">
        <v>19</v>
      </c>
      <c r="E245">
        <v>0</v>
      </c>
      <c r="F245">
        <v>0</v>
      </c>
      <c r="G245">
        <v>100</v>
      </c>
    </row>
    <row r="246" spans="1:7">
      <c r="A246">
        <v>21</v>
      </c>
      <c r="B246" s="1">
        <v>46054</v>
      </c>
      <c r="C246">
        <v>20</v>
      </c>
      <c r="D246">
        <v>17</v>
      </c>
      <c r="E246">
        <v>3</v>
      </c>
      <c r="F246">
        <v>4</v>
      </c>
      <c r="G246">
        <v>85</v>
      </c>
    </row>
    <row r="247" spans="1:7">
      <c r="A247">
        <v>21</v>
      </c>
      <c r="B247" s="1">
        <v>46082</v>
      </c>
      <c r="C247">
        <v>19</v>
      </c>
      <c r="D247">
        <v>18</v>
      </c>
      <c r="E247">
        <v>1</v>
      </c>
      <c r="F247">
        <v>2</v>
      </c>
      <c r="G247">
        <v>94.7</v>
      </c>
    </row>
    <row r="248" spans="1:7">
      <c r="A248">
        <v>21</v>
      </c>
      <c r="B248" s="1">
        <v>46113</v>
      </c>
      <c r="C248">
        <v>18</v>
      </c>
      <c r="D248">
        <v>17</v>
      </c>
      <c r="E248">
        <v>1</v>
      </c>
      <c r="F248">
        <v>4</v>
      </c>
      <c r="G248">
        <v>94.4</v>
      </c>
    </row>
    <row r="249" spans="1:7">
      <c r="A249">
        <v>21</v>
      </c>
      <c r="B249" s="1">
        <v>46143</v>
      </c>
      <c r="C249">
        <v>18</v>
      </c>
      <c r="D249">
        <v>18</v>
      </c>
      <c r="E249">
        <v>0</v>
      </c>
      <c r="F249">
        <v>3</v>
      </c>
      <c r="G249">
        <v>100</v>
      </c>
    </row>
    <row r="250" spans="1:7">
      <c r="A250">
        <v>21</v>
      </c>
      <c r="B250" s="1">
        <v>46174</v>
      </c>
      <c r="C250">
        <v>22</v>
      </c>
      <c r="D250">
        <v>20</v>
      </c>
      <c r="E250">
        <v>2</v>
      </c>
      <c r="F250">
        <v>2</v>
      </c>
      <c r="G250">
        <v>90.9</v>
      </c>
    </row>
    <row r="251" spans="1:7">
      <c r="A251">
        <v>21</v>
      </c>
      <c r="B251" s="1">
        <v>46204</v>
      </c>
      <c r="C251">
        <v>22</v>
      </c>
      <c r="D251">
        <v>20</v>
      </c>
      <c r="E251">
        <v>2</v>
      </c>
      <c r="F251">
        <v>4</v>
      </c>
      <c r="G251">
        <v>90.9</v>
      </c>
    </row>
    <row r="252" spans="1:7">
      <c r="A252">
        <v>21</v>
      </c>
      <c r="B252" s="1">
        <v>46235</v>
      </c>
      <c r="C252">
        <v>21</v>
      </c>
      <c r="D252">
        <v>20</v>
      </c>
      <c r="E252">
        <v>1</v>
      </c>
      <c r="F252">
        <v>3</v>
      </c>
      <c r="G252">
        <v>95.2</v>
      </c>
    </row>
    <row r="253" spans="1:7">
      <c r="A253">
        <v>21</v>
      </c>
      <c r="B253" s="1">
        <v>46266</v>
      </c>
      <c r="C253">
        <v>19</v>
      </c>
      <c r="D253">
        <v>18</v>
      </c>
      <c r="E253">
        <v>1</v>
      </c>
      <c r="F253">
        <v>4</v>
      </c>
      <c r="G253">
        <v>94.7</v>
      </c>
    </row>
    <row r="254" spans="1:7">
      <c r="A254">
        <v>22</v>
      </c>
      <c r="B254" s="1">
        <v>45931</v>
      </c>
      <c r="C254">
        <v>20</v>
      </c>
      <c r="D254">
        <v>13</v>
      </c>
      <c r="E254">
        <v>7</v>
      </c>
      <c r="F254">
        <v>0</v>
      </c>
      <c r="G254">
        <v>65</v>
      </c>
    </row>
    <row r="255" spans="1:7">
      <c r="A255">
        <v>22</v>
      </c>
      <c r="B255" s="1">
        <v>45962</v>
      </c>
      <c r="C255">
        <v>21</v>
      </c>
      <c r="D255">
        <v>13</v>
      </c>
      <c r="E255">
        <v>8</v>
      </c>
      <c r="F255">
        <v>2</v>
      </c>
      <c r="G255">
        <v>61.9</v>
      </c>
    </row>
    <row r="256" spans="1:7">
      <c r="A256">
        <v>22</v>
      </c>
      <c r="B256" s="1">
        <v>45992</v>
      </c>
      <c r="C256">
        <v>22</v>
      </c>
      <c r="D256">
        <v>15</v>
      </c>
      <c r="E256">
        <v>7</v>
      </c>
      <c r="F256">
        <v>6</v>
      </c>
      <c r="G256">
        <v>68.2</v>
      </c>
    </row>
    <row r="257" spans="1:7">
      <c r="A257">
        <v>22</v>
      </c>
      <c r="B257" s="1">
        <v>46023</v>
      </c>
      <c r="C257">
        <v>22</v>
      </c>
      <c r="D257">
        <v>16</v>
      </c>
      <c r="E257">
        <v>6</v>
      </c>
      <c r="F257">
        <v>5</v>
      </c>
      <c r="G257">
        <v>72.7</v>
      </c>
    </row>
    <row r="258" spans="1:7">
      <c r="A258">
        <v>22</v>
      </c>
      <c r="B258" s="1">
        <v>46054</v>
      </c>
      <c r="C258">
        <v>19</v>
      </c>
      <c r="D258">
        <v>13</v>
      </c>
      <c r="E258">
        <v>6</v>
      </c>
      <c r="F258">
        <v>1</v>
      </c>
      <c r="G258">
        <v>68.400000000000006</v>
      </c>
    </row>
    <row r="259" spans="1:7">
      <c r="A259">
        <v>22</v>
      </c>
      <c r="B259" s="1">
        <v>46082</v>
      </c>
      <c r="C259">
        <v>19</v>
      </c>
      <c r="D259">
        <v>14</v>
      </c>
      <c r="E259">
        <v>5</v>
      </c>
      <c r="F259">
        <v>4</v>
      </c>
      <c r="G259">
        <v>73.7</v>
      </c>
    </row>
    <row r="260" spans="1:7">
      <c r="A260">
        <v>22</v>
      </c>
      <c r="B260" s="1">
        <v>46113</v>
      </c>
      <c r="C260">
        <v>22</v>
      </c>
      <c r="D260">
        <v>19</v>
      </c>
      <c r="E260">
        <v>3</v>
      </c>
      <c r="F260">
        <v>5</v>
      </c>
      <c r="G260">
        <v>86.4</v>
      </c>
    </row>
    <row r="261" spans="1:7">
      <c r="A261">
        <v>22</v>
      </c>
      <c r="B261" s="1">
        <v>46143</v>
      </c>
      <c r="C261">
        <v>21</v>
      </c>
      <c r="D261">
        <v>20</v>
      </c>
      <c r="E261">
        <v>1</v>
      </c>
      <c r="F261">
        <v>2</v>
      </c>
      <c r="G261">
        <v>95.2</v>
      </c>
    </row>
    <row r="262" spans="1:7">
      <c r="A262">
        <v>22</v>
      </c>
      <c r="B262" s="1">
        <v>46174</v>
      </c>
      <c r="C262">
        <v>18</v>
      </c>
      <c r="D262">
        <v>12</v>
      </c>
      <c r="E262">
        <v>6</v>
      </c>
      <c r="F262">
        <v>0</v>
      </c>
      <c r="G262">
        <v>66.7</v>
      </c>
    </row>
    <row r="263" spans="1:7">
      <c r="A263">
        <v>22</v>
      </c>
      <c r="B263" s="1">
        <v>46204</v>
      </c>
      <c r="C263">
        <v>20</v>
      </c>
      <c r="D263">
        <v>12</v>
      </c>
      <c r="E263">
        <v>8</v>
      </c>
      <c r="F263">
        <v>2</v>
      </c>
      <c r="G263">
        <v>60</v>
      </c>
    </row>
    <row r="264" spans="1:7">
      <c r="A264">
        <v>22</v>
      </c>
      <c r="B264" s="1">
        <v>46235</v>
      </c>
      <c r="C264">
        <v>19</v>
      </c>
      <c r="D264">
        <v>12</v>
      </c>
      <c r="E264">
        <v>7</v>
      </c>
      <c r="F264">
        <v>6</v>
      </c>
      <c r="G264">
        <v>63.2</v>
      </c>
    </row>
    <row r="265" spans="1:7">
      <c r="A265">
        <v>22</v>
      </c>
      <c r="B265" s="1">
        <v>46266</v>
      </c>
      <c r="C265">
        <v>20</v>
      </c>
      <c r="D265">
        <v>14</v>
      </c>
      <c r="E265">
        <v>6</v>
      </c>
      <c r="F265">
        <v>3</v>
      </c>
      <c r="G265">
        <v>70</v>
      </c>
    </row>
    <row r="266" spans="1:7">
      <c r="A266">
        <v>23</v>
      </c>
      <c r="B266" s="1">
        <v>45931</v>
      </c>
      <c r="C266">
        <v>21</v>
      </c>
      <c r="D266">
        <v>10</v>
      </c>
      <c r="E266">
        <v>11</v>
      </c>
      <c r="F266">
        <v>0</v>
      </c>
      <c r="G266">
        <v>47.6</v>
      </c>
    </row>
    <row r="267" spans="1:7">
      <c r="A267">
        <v>23</v>
      </c>
      <c r="B267" s="1">
        <v>45962</v>
      </c>
      <c r="C267">
        <v>20</v>
      </c>
      <c r="D267">
        <v>14</v>
      </c>
      <c r="E267">
        <v>6</v>
      </c>
      <c r="F267">
        <v>0</v>
      </c>
      <c r="G267">
        <v>70</v>
      </c>
    </row>
    <row r="268" spans="1:7">
      <c r="A268">
        <v>23</v>
      </c>
      <c r="B268" s="1">
        <v>45992</v>
      </c>
      <c r="C268">
        <v>22</v>
      </c>
      <c r="D268">
        <v>15</v>
      </c>
      <c r="E268">
        <v>7</v>
      </c>
      <c r="F268">
        <v>5</v>
      </c>
      <c r="G268">
        <v>68.2</v>
      </c>
    </row>
    <row r="269" spans="1:7">
      <c r="A269">
        <v>23</v>
      </c>
      <c r="B269" s="1">
        <v>46023</v>
      </c>
      <c r="C269">
        <v>20</v>
      </c>
      <c r="D269">
        <v>13</v>
      </c>
      <c r="E269">
        <v>7</v>
      </c>
      <c r="F269">
        <v>4</v>
      </c>
      <c r="G269">
        <v>65</v>
      </c>
    </row>
    <row r="270" spans="1:7">
      <c r="A270">
        <v>23</v>
      </c>
      <c r="B270" s="1">
        <v>46054</v>
      </c>
      <c r="C270">
        <v>22</v>
      </c>
      <c r="D270">
        <v>16</v>
      </c>
      <c r="E270">
        <v>6</v>
      </c>
      <c r="F270">
        <v>3</v>
      </c>
      <c r="G270">
        <v>72.7</v>
      </c>
    </row>
    <row r="271" spans="1:7">
      <c r="A271">
        <v>23</v>
      </c>
      <c r="B271" s="1">
        <v>46082</v>
      </c>
      <c r="C271">
        <v>20</v>
      </c>
      <c r="D271">
        <v>13</v>
      </c>
      <c r="E271">
        <v>7</v>
      </c>
      <c r="F271">
        <v>4</v>
      </c>
      <c r="G271">
        <v>65</v>
      </c>
    </row>
    <row r="272" spans="1:7">
      <c r="A272">
        <v>23</v>
      </c>
      <c r="B272" s="1">
        <v>46113</v>
      </c>
      <c r="C272">
        <v>18</v>
      </c>
      <c r="D272">
        <v>12</v>
      </c>
      <c r="E272">
        <v>6</v>
      </c>
      <c r="F272">
        <v>1</v>
      </c>
      <c r="G272">
        <v>66.7</v>
      </c>
    </row>
    <row r="273" spans="1:7">
      <c r="A273">
        <v>23</v>
      </c>
      <c r="B273" s="1">
        <v>46143</v>
      </c>
      <c r="C273">
        <v>22</v>
      </c>
      <c r="D273">
        <v>14</v>
      </c>
      <c r="E273">
        <v>8</v>
      </c>
      <c r="F273">
        <v>3</v>
      </c>
      <c r="G273">
        <v>63.6</v>
      </c>
    </row>
    <row r="274" spans="1:7">
      <c r="A274">
        <v>23</v>
      </c>
      <c r="B274" s="1">
        <v>46174</v>
      </c>
      <c r="C274">
        <v>20</v>
      </c>
      <c r="D274">
        <v>11</v>
      </c>
      <c r="E274">
        <v>9</v>
      </c>
      <c r="F274">
        <v>6</v>
      </c>
      <c r="G274">
        <v>55</v>
      </c>
    </row>
    <row r="275" spans="1:7">
      <c r="A275">
        <v>23</v>
      </c>
      <c r="B275" s="1">
        <v>46204</v>
      </c>
      <c r="C275">
        <v>21</v>
      </c>
      <c r="D275">
        <v>15</v>
      </c>
      <c r="E275">
        <v>6</v>
      </c>
      <c r="F275">
        <v>4</v>
      </c>
      <c r="G275">
        <v>71.400000000000006</v>
      </c>
    </row>
    <row r="276" spans="1:7">
      <c r="A276">
        <v>23</v>
      </c>
      <c r="B276" s="1">
        <v>46235</v>
      </c>
      <c r="C276">
        <v>18</v>
      </c>
      <c r="D276">
        <v>11</v>
      </c>
      <c r="E276">
        <v>7</v>
      </c>
      <c r="F276">
        <v>1</v>
      </c>
      <c r="G276">
        <v>61.1</v>
      </c>
    </row>
    <row r="277" spans="1:7">
      <c r="A277">
        <v>23</v>
      </c>
      <c r="B277" s="1">
        <v>46266</v>
      </c>
      <c r="C277">
        <v>19</v>
      </c>
      <c r="D277">
        <v>11</v>
      </c>
      <c r="E277">
        <v>8</v>
      </c>
      <c r="F277">
        <v>0</v>
      </c>
      <c r="G277">
        <v>57.9</v>
      </c>
    </row>
    <row r="278" spans="1:7">
      <c r="A278">
        <v>24</v>
      </c>
      <c r="B278" s="1">
        <v>45931</v>
      </c>
      <c r="C278">
        <v>22</v>
      </c>
      <c r="D278">
        <v>15</v>
      </c>
      <c r="E278">
        <v>7</v>
      </c>
      <c r="F278">
        <v>1</v>
      </c>
      <c r="G278">
        <v>68.2</v>
      </c>
    </row>
    <row r="279" spans="1:7">
      <c r="A279">
        <v>24</v>
      </c>
      <c r="B279" s="1">
        <v>45962</v>
      </c>
      <c r="C279">
        <v>19</v>
      </c>
      <c r="D279">
        <v>12</v>
      </c>
      <c r="E279">
        <v>7</v>
      </c>
      <c r="F279">
        <v>2</v>
      </c>
      <c r="G279">
        <v>63.2</v>
      </c>
    </row>
    <row r="280" spans="1:7">
      <c r="A280">
        <v>24</v>
      </c>
      <c r="B280" s="1">
        <v>45992</v>
      </c>
      <c r="C280">
        <v>22</v>
      </c>
      <c r="D280">
        <v>14</v>
      </c>
      <c r="E280">
        <v>8</v>
      </c>
      <c r="F280">
        <v>1</v>
      </c>
      <c r="G280">
        <v>63.6</v>
      </c>
    </row>
    <row r="281" spans="1:7">
      <c r="A281">
        <v>24</v>
      </c>
      <c r="B281" s="1">
        <v>46023</v>
      </c>
      <c r="C281">
        <v>21</v>
      </c>
      <c r="D281">
        <v>14</v>
      </c>
      <c r="E281">
        <v>7</v>
      </c>
      <c r="F281">
        <v>6</v>
      </c>
      <c r="G281">
        <v>66.7</v>
      </c>
    </row>
    <row r="282" spans="1:7">
      <c r="A282">
        <v>24</v>
      </c>
      <c r="B282" s="1">
        <v>46054</v>
      </c>
      <c r="C282">
        <v>20</v>
      </c>
      <c r="D282">
        <v>13</v>
      </c>
      <c r="E282">
        <v>7</v>
      </c>
      <c r="F282">
        <v>3</v>
      </c>
      <c r="G282">
        <v>65</v>
      </c>
    </row>
    <row r="283" spans="1:7">
      <c r="A283">
        <v>24</v>
      </c>
      <c r="B283" s="1">
        <v>46082</v>
      </c>
      <c r="C283">
        <v>21</v>
      </c>
      <c r="D283">
        <v>15</v>
      </c>
      <c r="E283">
        <v>6</v>
      </c>
      <c r="F283">
        <v>1</v>
      </c>
      <c r="G283">
        <v>71.400000000000006</v>
      </c>
    </row>
    <row r="284" spans="1:7">
      <c r="A284">
        <v>24</v>
      </c>
      <c r="B284" s="1">
        <v>46113</v>
      </c>
      <c r="C284">
        <v>22</v>
      </c>
      <c r="D284">
        <v>12</v>
      </c>
      <c r="E284">
        <v>10</v>
      </c>
      <c r="F284">
        <v>0</v>
      </c>
      <c r="G284">
        <v>54.5</v>
      </c>
    </row>
    <row r="285" spans="1:7">
      <c r="A285">
        <v>24</v>
      </c>
      <c r="B285" s="1">
        <v>46143</v>
      </c>
      <c r="C285">
        <v>19</v>
      </c>
      <c r="D285">
        <v>10</v>
      </c>
      <c r="E285">
        <v>9</v>
      </c>
      <c r="F285">
        <v>0</v>
      </c>
      <c r="G285">
        <v>52.6</v>
      </c>
    </row>
    <row r="286" spans="1:7">
      <c r="A286">
        <v>24</v>
      </c>
      <c r="B286" s="1">
        <v>46174</v>
      </c>
      <c r="C286">
        <v>19</v>
      </c>
      <c r="D286">
        <v>12</v>
      </c>
      <c r="E286">
        <v>7</v>
      </c>
      <c r="F286">
        <v>5</v>
      </c>
      <c r="G286">
        <v>63.2</v>
      </c>
    </row>
    <row r="287" spans="1:7">
      <c r="A287">
        <v>24</v>
      </c>
      <c r="B287" s="1">
        <v>46204</v>
      </c>
      <c r="C287">
        <v>22</v>
      </c>
      <c r="D287">
        <v>15</v>
      </c>
      <c r="E287">
        <v>7</v>
      </c>
      <c r="F287">
        <v>0</v>
      </c>
      <c r="G287">
        <v>68.2</v>
      </c>
    </row>
    <row r="288" spans="1:7">
      <c r="A288">
        <v>24</v>
      </c>
      <c r="B288" s="1">
        <v>46235</v>
      </c>
      <c r="C288">
        <v>22</v>
      </c>
      <c r="D288">
        <v>13</v>
      </c>
      <c r="E288">
        <v>9</v>
      </c>
      <c r="F288">
        <v>1</v>
      </c>
      <c r="G288">
        <v>59.1</v>
      </c>
    </row>
    <row r="289" spans="1:7">
      <c r="A289">
        <v>24</v>
      </c>
      <c r="B289" s="1">
        <v>46266</v>
      </c>
      <c r="C289">
        <v>22</v>
      </c>
      <c r="D289">
        <v>13</v>
      </c>
      <c r="E289">
        <v>9</v>
      </c>
      <c r="F289">
        <v>3</v>
      </c>
      <c r="G289">
        <v>59.1</v>
      </c>
    </row>
    <row r="290" spans="1:7">
      <c r="A290">
        <v>25</v>
      </c>
      <c r="B290" s="1">
        <v>45931</v>
      </c>
      <c r="C290">
        <v>22</v>
      </c>
      <c r="D290">
        <v>15</v>
      </c>
      <c r="E290">
        <v>7</v>
      </c>
      <c r="F290">
        <v>5</v>
      </c>
      <c r="G290">
        <v>68.2</v>
      </c>
    </row>
    <row r="291" spans="1:7">
      <c r="A291">
        <v>25</v>
      </c>
      <c r="B291" s="1">
        <v>45962</v>
      </c>
      <c r="C291">
        <v>20</v>
      </c>
      <c r="D291">
        <v>17</v>
      </c>
      <c r="E291">
        <v>3</v>
      </c>
      <c r="F291">
        <v>0</v>
      </c>
      <c r="G291">
        <v>85</v>
      </c>
    </row>
    <row r="292" spans="1:7">
      <c r="A292">
        <v>25</v>
      </c>
      <c r="B292" s="1">
        <v>45992</v>
      </c>
      <c r="C292">
        <v>19</v>
      </c>
      <c r="D292">
        <v>19</v>
      </c>
      <c r="E292">
        <v>0</v>
      </c>
      <c r="F292">
        <v>3</v>
      </c>
      <c r="G292">
        <v>100</v>
      </c>
    </row>
    <row r="293" spans="1:7">
      <c r="A293">
        <v>25</v>
      </c>
      <c r="B293" s="1">
        <v>46023</v>
      </c>
      <c r="C293">
        <v>19</v>
      </c>
      <c r="D293">
        <v>13</v>
      </c>
      <c r="E293">
        <v>6</v>
      </c>
      <c r="F293">
        <v>1</v>
      </c>
      <c r="G293">
        <v>68.400000000000006</v>
      </c>
    </row>
    <row r="294" spans="1:7">
      <c r="A294">
        <v>25</v>
      </c>
      <c r="B294" s="1">
        <v>46054</v>
      </c>
      <c r="C294">
        <v>21</v>
      </c>
      <c r="D294">
        <v>20</v>
      </c>
      <c r="E294">
        <v>1</v>
      </c>
      <c r="F294">
        <v>1</v>
      </c>
      <c r="G294">
        <v>95.2</v>
      </c>
    </row>
    <row r="295" spans="1:7">
      <c r="A295">
        <v>25</v>
      </c>
      <c r="B295" s="1">
        <v>46082</v>
      </c>
      <c r="C295">
        <v>22</v>
      </c>
      <c r="D295">
        <v>20</v>
      </c>
      <c r="E295">
        <v>2</v>
      </c>
      <c r="F295">
        <v>5</v>
      </c>
      <c r="G295">
        <v>90.9</v>
      </c>
    </row>
    <row r="296" spans="1:7">
      <c r="A296">
        <v>25</v>
      </c>
      <c r="B296" s="1">
        <v>46113</v>
      </c>
      <c r="C296">
        <v>22</v>
      </c>
      <c r="D296">
        <v>18</v>
      </c>
      <c r="E296">
        <v>4</v>
      </c>
      <c r="F296">
        <v>2</v>
      </c>
      <c r="G296">
        <v>81.8</v>
      </c>
    </row>
    <row r="297" spans="1:7">
      <c r="A297">
        <v>25</v>
      </c>
      <c r="B297" s="1">
        <v>46143</v>
      </c>
      <c r="C297">
        <v>21</v>
      </c>
      <c r="D297">
        <v>14</v>
      </c>
      <c r="E297">
        <v>7</v>
      </c>
      <c r="F297">
        <v>4</v>
      </c>
      <c r="G297">
        <v>66.7</v>
      </c>
    </row>
    <row r="298" spans="1:7">
      <c r="A298">
        <v>25</v>
      </c>
      <c r="B298" s="1">
        <v>46174</v>
      </c>
      <c r="C298">
        <v>22</v>
      </c>
      <c r="D298">
        <v>16</v>
      </c>
      <c r="E298">
        <v>6</v>
      </c>
      <c r="F298">
        <v>1</v>
      </c>
      <c r="G298">
        <v>72.7</v>
      </c>
    </row>
    <row r="299" spans="1:7">
      <c r="A299">
        <v>25</v>
      </c>
      <c r="B299" s="1">
        <v>46204</v>
      </c>
      <c r="C299">
        <v>18</v>
      </c>
      <c r="D299">
        <v>13</v>
      </c>
      <c r="E299">
        <v>5</v>
      </c>
      <c r="F299">
        <v>0</v>
      </c>
      <c r="G299">
        <v>72.2</v>
      </c>
    </row>
    <row r="300" spans="1:7">
      <c r="A300">
        <v>25</v>
      </c>
      <c r="B300" s="1">
        <v>46235</v>
      </c>
      <c r="C300">
        <v>19</v>
      </c>
      <c r="D300">
        <v>19</v>
      </c>
      <c r="E300">
        <v>0</v>
      </c>
      <c r="F300">
        <v>3</v>
      </c>
      <c r="G300">
        <v>100</v>
      </c>
    </row>
    <row r="301" spans="1:7">
      <c r="A301">
        <v>25</v>
      </c>
      <c r="B301" s="1">
        <v>46266</v>
      </c>
      <c r="C301">
        <v>19</v>
      </c>
      <c r="D301">
        <v>16</v>
      </c>
      <c r="E301">
        <v>3</v>
      </c>
      <c r="F301">
        <v>4</v>
      </c>
      <c r="G301">
        <v>84.2</v>
      </c>
    </row>
    <row r="302" spans="1:7">
      <c r="A302">
        <v>26</v>
      </c>
      <c r="B302" s="1">
        <v>45931</v>
      </c>
      <c r="C302">
        <v>18</v>
      </c>
      <c r="D302">
        <v>10</v>
      </c>
      <c r="E302">
        <v>8</v>
      </c>
      <c r="F302">
        <v>4</v>
      </c>
      <c r="G302">
        <v>55.6</v>
      </c>
    </row>
    <row r="303" spans="1:7">
      <c r="A303">
        <v>26</v>
      </c>
      <c r="B303" s="1">
        <v>45962</v>
      </c>
      <c r="C303">
        <v>18</v>
      </c>
      <c r="D303">
        <v>10</v>
      </c>
      <c r="E303">
        <v>8</v>
      </c>
      <c r="F303">
        <v>6</v>
      </c>
      <c r="G303">
        <v>55.6</v>
      </c>
    </row>
    <row r="304" spans="1:7">
      <c r="A304">
        <v>26</v>
      </c>
      <c r="B304" s="1">
        <v>45992</v>
      </c>
      <c r="C304">
        <v>22</v>
      </c>
      <c r="D304">
        <v>17</v>
      </c>
      <c r="E304">
        <v>5</v>
      </c>
      <c r="F304">
        <v>3</v>
      </c>
      <c r="G304">
        <v>77.3</v>
      </c>
    </row>
    <row r="305" spans="1:7">
      <c r="A305">
        <v>26</v>
      </c>
      <c r="B305" s="1">
        <v>46023</v>
      </c>
      <c r="C305">
        <v>19</v>
      </c>
      <c r="D305">
        <v>13</v>
      </c>
      <c r="E305">
        <v>6</v>
      </c>
      <c r="F305">
        <v>4</v>
      </c>
      <c r="G305">
        <v>68.400000000000006</v>
      </c>
    </row>
    <row r="306" spans="1:7">
      <c r="A306">
        <v>26</v>
      </c>
      <c r="B306" s="1">
        <v>46054</v>
      </c>
      <c r="C306">
        <v>22</v>
      </c>
      <c r="D306">
        <v>14</v>
      </c>
      <c r="E306">
        <v>8</v>
      </c>
      <c r="F306">
        <v>6</v>
      </c>
      <c r="G306">
        <v>63.6</v>
      </c>
    </row>
    <row r="307" spans="1:7">
      <c r="A307">
        <v>26</v>
      </c>
      <c r="B307" s="1">
        <v>46082</v>
      </c>
      <c r="C307">
        <v>21</v>
      </c>
      <c r="D307">
        <v>18</v>
      </c>
      <c r="E307">
        <v>3</v>
      </c>
      <c r="F307">
        <v>4</v>
      </c>
      <c r="G307">
        <v>85.7</v>
      </c>
    </row>
    <row r="308" spans="1:7">
      <c r="A308">
        <v>26</v>
      </c>
      <c r="B308" s="1">
        <v>46113</v>
      </c>
      <c r="C308">
        <v>21</v>
      </c>
      <c r="D308">
        <v>15</v>
      </c>
      <c r="E308">
        <v>6</v>
      </c>
      <c r="F308">
        <v>4</v>
      </c>
      <c r="G308">
        <v>71.400000000000006</v>
      </c>
    </row>
    <row r="309" spans="1:7">
      <c r="A309">
        <v>26</v>
      </c>
      <c r="B309" s="1">
        <v>46143</v>
      </c>
      <c r="C309">
        <v>21</v>
      </c>
      <c r="D309">
        <v>14</v>
      </c>
      <c r="E309">
        <v>7</v>
      </c>
      <c r="F309">
        <v>1</v>
      </c>
      <c r="G309">
        <v>66.7</v>
      </c>
    </row>
    <row r="310" spans="1:7">
      <c r="A310">
        <v>26</v>
      </c>
      <c r="B310" s="1">
        <v>46174</v>
      </c>
      <c r="C310">
        <v>21</v>
      </c>
      <c r="D310">
        <v>14</v>
      </c>
      <c r="E310">
        <v>7</v>
      </c>
      <c r="F310">
        <v>4</v>
      </c>
      <c r="G310">
        <v>66.7</v>
      </c>
    </row>
    <row r="311" spans="1:7">
      <c r="A311">
        <v>26</v>
      </c>
      <c r="B311" s="1">
        <v>46204</v>
      </c>
      <c r="C311">
        <v>22</v>
      </c>
      <c r="D311">
        <v>18</v>
      </c>
      <c r="E311">
        <v>4</v>
      </c>
      <c r="F311">
        <v>0</v>
      </c>
      <c r="G311">
        <v>81.8</v>
      </c>
    </row>
    <row r="312" spans="1:7">
      <c r="A312">
        <v>26</v>
      </c>
      <c r="B312" s="1">
        <v>46235</v>
      </c>
      <c r="C312">
        <v>21</v>
      </c>
      <c r="D312">
        <v>13</v>
      </c>
      <c r="E312">
        <v>8</v>
      </c>
      <c r="F312">
        <v>1</v>
      </c>
      <c r="G312">
        <v>61.9</v>
      </c>
    </row>
    <row r="313" spans="1:7">
      <c r="A313">
        <v>26</v>
      </c>
      <c r="B313" s="1">
        <v>46266</v>
      </c>
      <c r="C313">
        <v>18</v>
      </c>
      <c r="D313">
        <v>10</v>
      </c>
      <c r="E313">
        <v>8</v>
      </c>
      <c r="F313">
        <v>2</v>
      </c>
      <c r="G313">
        <v>55.6</v>
      </c>
    </row>
    <row r="314" spans="1:7">
      <c r="A314">
        <v>27</v>
      </c>
      <c r="B314" s="1">
        <v>45931</v>
      </c>
      <c r="C314">
        <v>22</v>
      </c>
      <c r="D314">
        <v>15</v>
      </c>
      <c r="E314">
        <v>7</v>
      </c>
      <c r="F314">
        <v>1</v>
      </c>
      <c r="G314">
        <v>68.2</v>
      </c>
    </row>
    <row r="315" spans="1:7">
      <c r="A315">
        <v>27</v>
      </c>
      <c r="B315" s="1">
        <v>45962</v>
      </c>
      <c r="C315">
        <v>18</v>
      </c>
      <c r="D315">
        <v>14</v>
      </c>
      <c r="E315">
        <v>4</v>
      </c>
      <c r="F315">
        <v>5</v>
      </c>
      <c r="G315">
        <v>77.8</v>
      </c>
    </row>
    <row r="316" spans="1:7">
      <c r="A316">
        <v>27</v>
      </c>
      <c r="B316" s="1">
        <v>45992</v>
      </c>
      <c r="C316">
        <v>18</v>
      </c>
      <c r="D316">
        <v>13</v>
      </c>
      <c r="E316">
        <v>5</v>
      </c>
      <c r="F316">
        <v>0</v>
      </c>
      <c r="G316">
        <v>72.2</v>
      </c>
    </row>
    <row r="317" spans="1:7">
      <c r="A317">
        <v>27</v>
      </c>
      <c r="B317" s="1">
        <v>46023</v>
      </c>
      <c r="C317">
        <v>21</v>
      </c>
      <c r="D317">
        <v>16</v>
      </c>
      <c r="E317">
        <v>5</v>
      </c>
      <c r="F317">
        <v>5</v>
      </c>
      <c r="G317">
        <v>76.2</v>
      </c>
    </row>
    <row r="318" spans="1:7">
      <c r="A318">
        <v>27</v>
      </c>
      <c r="B318" s="1">
        <v>46054</v>
      </c>
      <c r="C318">
        <v>19</v>
      </c>
      <c r="D318">
        <v>14</v>
      </c>
      <c r="E318">
        <v>5</v>
      </c>
      <c r="F318">
        <v>2</v>
      </c>
      <c r="G318">
        <v>73.7</v>
      </c>
    </row>
    <row r="319" spans="1:7">
      <c r="A319">
        <v>27</v>
      </c>
      <c r="B319" s="1">
        <v>46082</v>
      </c>
      <c r="C319">
        <v>18</v>
      </c>
      <c r="D319">
        <v>14</v>
      </c>
      <c r="E319">
        <v>4</v>
      </c>
      <c r="F319">
        <v>1</v>
      </c>
      <c r="G319">
        <v>77.8</v>
      </c>
    </row>
    <row r="320" spans="1:7">
      <c r="A320">
        <v>27</v>
      </c>
      <c r="B320" s="1">
        <v>46113</v>
      </c>
      <c r="C320">
        <v>21</v>
      </c>
      <c r="D320">
        <v>16</v>
      </c>
      <c r="E320">
        <v>5</v>
      </c>
      <c r="F320">
        <v>6</v>
      </c>
      <c r="G320">
        <v>76.2</v>
      </c>
    </row>
    <row r="321" spans="1:7">
      <c r="A321">
        <v>27</v>
      </c>
      <c r="B321" s="1">
        <v>46143</v>
      </c>
      <c r="C321">
        <v>22</v>
      </c>
      <c r="D321">
        <v>18</v>
      </c>
      <c r="E321">
        <v>4</v>
      </c>
      <c r="F321">
        <v>3</v>
      </c>
      <c r="G321">
        <v>81.8</v>
      </c>
    </row>
    <row r="322" spans="1:7">
      <c r="A322">
        <v>27</v>
      </c>
      <c r="B322" s="1">
        <v>46174</v>
      </c>
      <c r="C322">
        <v>22</v>
      </c>
      <c r="D322">
        <v>18</v>
      </c>
      <c r="E322">
        <v>4</v>
      </c>
      <c r="F322">
        <v>5</v>
      </c>
      <c r="G322">
        <v>81.8</v>
      </c>
    </row>
    <row r="323" spans="1:7">
      <c r="A323">
        <v>27</v>
      </c>
      <c r="B323" s="1">
        <v>46204</v>
      </c>
      <c r="C323">
        <v>21</v>
      </c>
      <c r="D323">
        <v>14</v>
      </c>
      <c r="E323">
        <v>7</v>
      </c>
      <c r="F323">
        <v>6</v>
      </c>
      <c r="G323">
        <v>66.7</v>
      </c>
    </row>
    <row r="324" spans="1:7">
      <c r="A324">
        <v>27</v>
      </c>
      <c r="B324" s="1">
        <v>46235</v>
      </c>
      <c r="C324">
        <v>19</v>
      </c>
      <c r="D324">
        <v>16</v>
      </c>
      <c r="E324">
        <v>3</v>
      </c>
      <c r="F324">
        <v>3</v>
      </c>
      <c r="G324">
        <v>84.2</v>
      </c>
    </row>
    <row r="325" spans="1:7">
      <c r="A325">
        <v>27</v>
      </c>
      <c r="B325" s="1">
        <v>46266</v>
      </c>
      <c r="C325">
        <v>19</v>
      </c>
      <c r="D325">
        <v>12</v>
      </c>
      <c r="E325">
        <v>7</v>
      </c>
      <c r="F325">
        <v>2</v>
      </c>
      <c r="G325">
        <v>63.2</v>
      </c>
    </row>
    <row r="326" spans="1:7">
      <c r="A326">
        <v>28</v>
      </c>
      <c r="B326" s="1">
        <v>45931</v>
      </c>
      <c r="C326">
        <v>22</v>
      </c>
      <c r="D326">
        <v>15</v>
      </c>
      <c r="E326">
        <v>7</v>
      </c>
      <c r="F326">
        <v>2</v>
      </c>
      <c r="G326">
        <v>68.2</v>
      </c>
    </row>
    <row r="327" spans="1:7">
      <c r="A327">
        <v>28</v>
      </c>
      <c r="B327" s="1">
        <v>45962</v>
      </c>
      <c r="C327">
        <v>22</v>
      </c>
      <c r="D327">
        <v>14</v>
      </c>
      <c r="E327">
        <v>8</v>
      </c>
      <c r="F327">
        <v>2</v>
      </c>
      <c r="G327">
        <v>63.6</v>
      </c>
    </row>
    <row r="328" spans="1:7">
      <c r="A328">
        <v>28</v>
      </c>
      <c r="B328" s="1">
        <v>45992</v>
      </c>
      <c r="C328">
        <v>21</v>
      </c>
      <c r="D328">
        <v>13</v>
      </c>
      <c r="E328">
        <v>8</v>
      </c>
      <c r="F328">
        <v>5</v>
      </c>
      <c r="G328">
        <v>61.9</v>
      </c>
    </row>
    <row r="329" spans="1:7">
      <c r="A329">
        <v>28</v>
      </c>
      <c r="B329" s="1">
        <v>46023</v>
      </c>
      <c r="C329">
        <v>18</v>
      </c>
      <c r="D329">
        <v>13</v>
      </c>
      <c r="E329">
        <v>5</v>
      </c>
      <c r="F329">
        <v>5</v>
      </c>
      <c r="G329">
        <v>72.2</v>
      </c>
    </row>
    <row r="330" spans="1:7">
      <c r="A330">
        <v>28</v>
      </c>
      <c r="B330" s="1">
        <v>46054</v>
      </c>
      <c r="C330">
        <v>19</v>
      </c>
      <c r="D330">
        <v>13</v>
      </c>
      <c r="E330">
        <v>6</v>
      </c>
      <c r="F330">
        <v>1</v>
      </c>
      <c r="G330">
        <v>68.400000000000006</v>
      </c>
    </row>
    <row r="331" spans="1:7">
      <c r="A331">
        <v>28</v>
      </c>
      <c r="B331" s="1">
        <v>46082</v>
      </c>
      <c r="C331">
        <v>18</v>
      </c>
      <c r="D331">
        <v>10</v>
      </c>
      <c r="E331">
        <v>8</v>
      </c>
      <c r="F331">
        <v>1</v>
      </c>
      <c r="G331">
        <v>55.6</v>
      </c>
    </row>
    <row r="332" spans="1:7">
      <c r="A332">
        <v>28</v>
      </c>
      <c r="B332" s="1">
        <v>46113</v>
      </c>
      <c r="C332">
        <v>22</v>
      </c>
      <c r="D332">
        <v>15</v>
      </c>
      <c r="E332">
        <v>7</v>
      </c>
      <c r="F332">
        <v>4</v>
      </c>
      <c r="G332">
        <v>68.2</v>
      </c>
    </row>
    <row r="333" spans="1:7">
      <c r="A333">
        <v>28</v>
      </c>
      <c r="B333" s="1">
        <v>46143</v>
      </c>
      <c r="C333">
        <v>22</v>
      </c>
      <c r="D333">
        <v>12</v>
      </c>
      <c r="E333">
        <v>10</v>
      </c>
      <c r="F333">
        <v>5</v>
      </c>
      <c r="G333">
        <v>54.5</v>
      </c>
    </row>
    <row r="334" spans="1:7">
      <c r="A334">
        <v>28</v>
      </c>
      <c r="B334" s="1">
        <v>46174</v>
      </c>
      <c r="C334">
        <v>18</v>
      </c>
      <c r="D334">
        <v>10</v>
      </c>
      <c r="E334">
        <v>8</v>
      </c>
      <c r="F334">
        <v>0</v>
      </c>
      <c r="G334">
        <v>55.6</v>
      </c>
    </row>
    <row r="335" spans="1:7">
      <c r="A335">
        <v>28</v>
      </c>
      <c r="B335" s="1">
        <v>46204</v>
      </c>
      <c r="C335">
        <v>18</v>
      </c>
      <c r="D335">
        <v>10</v>
      </c>
      <c r="E335">
        <v>8</v>
      </c>
      <c r="F335">
        <v>6</v>
      </c>
      <c r="G335">
        <v>55.6</v>
      </c>
    </row>
    <row r="336" spans="1:7">
      <c r="A336">
        <v>28</v>
      </c>
      <c r="B336" s="1">
        <v>46235</v>
      </c>
      <c r="C336">
        <v>19</v>
      </c>
      <c r="D336">
        <v>13</v>
      </c>
      <c r="E336">
        <v>6</v>
      </c>
      <c r="F336">
        <v>0</v>
      </c>
      <c r="G336">
        <v>68.400000000000006</v>
      </c>
    </row>
    <row r="337" spans="1:7">
      <c r="A337">
        <v>28</v>
      </c>
      <c r="B337" s="1">
        <v>46266</v>
      </c>
      <c r="C337">
        <v>18</v>
      </c>
      <c r="D337">
        <v>10</v>
      </c>
      <c r="E337">
        <v>8</v>
      </c>
      <c r="F337">
        <v>2</v>
      </c>
      <c r="G337">
        <v>55.6</v>
      </c>
    </row>
    <row r="338" spans="1:7">
      <c r="A338">
        <v>29</v>
      </c>
      <c r="B338" s="1">
        <v>45931</v>
      </c>
      <c r="C338">
        <v>19</v>
      </c>
      <c r="D338">
        <v>15</v>
      </c>
      <c r="E338">
        <v>4</v>
      </c>
      <c r="F338">
        <v>5</v>
      </c>
      <c r="G338">
        <v>78.900000000000006</v>
      </c>
    </row>
    <row r="339" spans="1:7">
      <c r="A339">
        <v>29</v>
      </c>
      <c r="B339" s="1">
        <v>45962</v>
      </c>
      <c r="C339">
        <v>21</v>
      </c>
      <c r="D339">
        <v>13</v>
      </c>
      <c r="E339">
        <v>8</v>
      </c>
      <c r="F339">
        <v>3</v>
      </c>
      <c r="G339">
        <v>61.9</v>
      </c>
    </row>
    <row r="340" spans="1:7">
      <c r="A340">
        <v>29</v>
      </c>
      <c r="B340" s="1">
        <v>45992</v>
      </c>
      <c r="C340">
        <v>22</v>
      </c>
      <c r="D340">
        <v>17</v>
      </c>
      <c r="E340">
        <v>5</v>
      </c>
      <c r="F340">
        <v>4</v>
      </c>
      <c r="G340">
        <v>77.3</v>
      </c>
    </row>
    <row r="341" spans="1:7">
      <c r="A341">
        <v>29</v>
      </c>
      <c r="B341" s="1">
        <v>46023</v>
      </c>
      <c r="C341">
        <v>18</v>
      </c>
      <c r="D341">
        <v>13</v>
      </c>
      <c r="E341">
        <v>5</v>
      </c>
      <c r="F341">
        <v>6</v>
      </c>
      <c r="G341">
        <v>72.2</v>
      </c>
    </row>
    <row r="342" spans="1:7">
      <c r="A342">
        <v>29</v>
      </c>
      <c r="B342" s="1">
        <v>46054</v>
      </c>
      <c r="C342">
        <v>19</v>
      </c>
      <c r="D342">
        <v>14</v>
      </c>
      <c r="E342">
        <v>5</v>
      </c>
      <c r="F342">
        <v>1</v>
      </c>
      <c r="G342">
        <v>73.7</v>
      </c>
    </row>
    <row r="343" spans="1:7">
      <c r="A343">
        <v>29</v>
      </c>
      <c r="B343" s="1">
        <v>46082</v>
      </c>
      <c r="C343">
        <v>22</v>
      </c>
      <c r="D343">
        <v>17</v>
      </c>
      <c r="E343">
        <v>5</v>
      </c>
      <c r="F343">
        <v>2</v>
      </c>
      <c r="G343">
        <v>77.3</v>
      </c>
    </row>
    <row r="344" spans="1:7">
      <c r="A344">
        <v>29</v>
      </c>
      <c r="B344" s="1">
        <v>46113</v>
      </c>
      <c r="C344">
        <v>19</v>
      </c>
      <c r="D344">
        <v>10</v>
      </c>
      <c r="E344">
        <v>9</v>
      </c>
      <c r="F344">
        <v>4</v>
      </c>
      <c r="G344">
        <v>52.6</v>
      </c>
    </row>
    <row r="345" spans="1:7">
      <c r="A345">
        <v>29</v>
      </c>
      <c r="B345" s="1">
        <v>46143</v>
      </c>
      <c r="C345">
        <v>19</v>
      </c>
      <c r="D345">
        <v>12</v>
      </c>
      <c r="E345">
        <v>7</v>
      </c>
      <c r="F345">
        <v>4</v>
      </c>
      <c r="G345">
        <v>63.2</v>
      </c>
    </row>
    <row r="346" spans="1:7">
      <c r="A346">
        <v>29</v>
      </c>
      <c r="B346" s="1">
        <v>46174</v>
      </c>
      <c r="C346">
        <v>19</v>
      </c>
      <c r="D346">
        <v>14</v>
      </c>
      <c r="E346">
        <v>5</v>
      </c>
      <c r="F346">
        <v>5</v>
      </c>
      <c r="G346">
        <v>73.7</v>
      </c>
    </row>
    <row r="347" spans="1:7">
      <c r="A347">
        <v>29</v>
      </c>
      <c r="B347" s="1">
        <v>46204</v>
      </c>
      <c r="C347">
        <v>18</v>
      </c>
      <c r="D347">
        <v>13</v>
      </c>
      <c r="E347">
        <v>5</v>
      </c>
      <c r="F347">
        <v>1</v>
      </c>
      <c r="G347">
        <v>72.2</v>
      </c>
    </row>
    <row r="348" spans="1:7">
      <c r="A348">
        <v>29</v>
      </c>
      <c r="B348" s="1">
        <v>46235</v>
      </c>
      <c r="C348">
        <v>18</v>
      </c>
      <c r="D348">
        <v>10</v>
      </c>
      <c r="E348">
        <v>8</v>
      </c>
      <c r="F348">
        <v>2</v>
      </c>
      <c r="G348">
        <v>55.6</v>
      </c>
    </row>
    <row r="349" spans="1:7">
      <c r="A349">
        <v>29</v>
      </c>
      <c r="B349" s="1">
        <v>46266</v>
      </c>
      <c r="C349">
        <v>21</v>
      </c>
      <c r="D349">
        <v>15</v>
      </c>
      <c r="E349">
        <v>6</v>
      </c>
      <c r="F349">
        <v>3</v>
      </c>
      <c r="G349">
        <v>71.400000000000006</v>
      </c>
    </row>
    <row r="350" spans="1:7">
      <c r="A350">
        <v>30</v>
      </c>
      <c r="B350" s="1">
        <v>45931</v>
      </c>
      <c r="C350">
        <v>22</v>
      </c>
      <c r="D350">
        <v>21</v>
      </c>
      <c r="E350">
        <v>1</v>
      </c>
      <c r="F350">
        <v>0</v>
      </c>
      <c r="G350">
        <v>95.5</v>
      </c>
    </row>
    <row r="351" spans="1:7">
      <c r="A351">
        <v>30</v>
      </c>
      <c r="B351" s="1">
        <v>45962</v>
      </c>
      <c r="C351">
        <v>18</v>
      </c>
      <c r="D351">
        <v>17</v>
      </c>
      <c r="E351">
        <v>1</v>
      </c>
      <c r="F351">
        <v>4</v>
      </c>
      <c r="G351">
        <v>94.4</v>
      </c>
    </row>
    <row r="352" spans="1:7">
      <c r="A352">
        <v>30</v>
      </c>
      <c r="B352" s="1">
        <v>45992</v>
      </c>
      <c r="C352">
        <v>20</v>
      </c>
      <c r="D352">
        <v>20</v>
      </c>
      <c r="E352">
        <v>0</v>
      </c>
      <c r="F352">
        <v>2</v>
      </c>
      <c r="G352">
        <v>100</v>
      </c>
    </row>
    <row r="353" spans="1:7">
      <c r="A353">
        <v>30</v>
      </c>
      <c r="B353" s="1">
        <v>46023</v>
      </c>
      <c r="C353">
        <v>20</v>
      </c>
      <c r="D353">
        <v>20</v>
      </c>
      <c r="E353">
        <v>0</v>
      </c>
      <c r="F353">
        <v>2</v>
      </c>
      <c r="G353">
        <v>100</v>
      </c>
    </row>
    <row r="354" spans="1:7">
      <c r="A354">
        <v>30</v>
      </c>
      <c r="B354" s="1">
        <v>46054</v>
      </c>
      <c r="C354">
        <v>19</v>
      </c>
      <c r="D354">
        <v>19</v>
      </c>
      <c r="E354">
        <v>0</v>
      </c>
      <c r="F354">
        <v>3</v>
      </c>
      <c r="G354">
        <v>100</v>
      </c>
    </row>
    <row r="355" spans="1:7">
      <c r="A355">
        <v>30</v>
      </c>
      <c r="B355" s="1">
        <v>46082</v>
      </c>
      <c r="C355">
        <v>22</v>
      </c>
      <c r="D355">
        <v>22</v>
      </c>
      <c r="E355">
        <v>0</v>
      </c>
      <c r="F355">
        <v>0</v>
      </c>
      <c r="G355">
        <v>100</v>
      </c>
    </row>
    <row r="356" spans="1:7">
      <c r="A356">
        <v>30</v>
      </c>
      <c r="B356" s="1">
        <v>46113</v>
      </c>
      <c r="C356">
        <v>20</v>
      </c>
      <c r="D356">
        <v>18</v>
      </c>
      <c r="E356">
        <v>2</v>
      </c>
      <c r="F356">
        <v>4</v>
      </c>
      <c r="G356">
        <v>90</v>
      </c>
    </row>
    <row r="357" spans="1:7">
      <c r="A357">
        <v>30</v>
      </c>
      <c r="B357" s="1">
        <v>46143</v>
      </c>
      <c r="C357">
        <v>18</v>
      </c>
      <c r="D357">
        <v>15</v>
      </c>
      <c r="E357">
        <v>3</v>
      </c>
      <c r="F357">
        <v>4</v>
      </c>
      <c r="G357">
        <v>83.3</v>
      </c>
    </row>
    <row r="358" spans="1:7">
      <c r="A358">
        <v>30</v>
      </c>
      <c r="B358" s="1">
        <v>46174</v>
      </c>
      <c r="C358">
        <v>20</v>
      </c>
      <c r="D358">
        <v>20</v>
      </c>
      <c r="E358">
        <v>0</v>
      </c>
      <c r="F358">
        <v>2</v>
      </c>
      <c r="G358">
        <v>100</v>
      </c>
    </row>
    <row r="359" spans="1:7">
      <c r="A359">
        <v>30</v>
      </c>
      <c r="B359" s="1">
        <v>46204</v>
      </c>
      <c r="C359">
        <v>22</v>
      </c>
      <c r="D359">
        <v>20</v>
      </c>
      <c r="E359">
        <v>2</v>
      </c>
      <c r="F359">
        <v>4</v>
      </c>
      <c r="G359">
        <v>90.9</v>
      </c>
    </row>
    <row r="360" spans="1:7">
      <c r="A360">
        <v>30</v>
      </c>
      <c r="B360" s="1">
        <v>46235</v>
      </c>
      <c r="C360">
        <v>20</v>
      </c>
      <c r="D360">
        <v>20</v>
      </c>
      <c r="E360">
        <v>0</v>
      </c>
      <c r="F360">
        <v>3</v>
      </c>
      <c r="G360">
        <v>100</v>
      </c>
    </row>
    <row r="361" spans="1:7">
      <c r="A361">
        <v>30</v>
      </c>
      <c r="B361" s="1">
        <v>46266</v>
      </c>
      <c r="C361">
        <v>19</v>
      </c>
      <c r="D361">
        <v>19</v>
      </c>
      <c r="E361">
        <v>0</v>
      </c>
      <c r="F361">
        <v>2</v>
      </c>
      <c r="G361">
        <v>100</v>
      </c>
    </row>
    <row r="362" spans="1:7">
      <c r="A362">
        <v>31</v>
      </c>
      <c r="B362" s="1">
        <v>45931</v>
      </c>
      <c r="C362">
        <v>21</v>
      </c>
      <c r="D362">
        <v>15</v>
      </c>
      <c r="E362">
        <v>6</v>
      </c>
      <c r="F362">
        <v>6</v>
      </c>
      <c r="G362">
        <v>71.400000000000006</v>
      </c>
    </row>
    <row r="363" spans="1:7">
      <c r="A363">
        <v>31</v>
      </c>
      <c r="B363" s="1">
        <v>45962</v>
      </c>
      <c r="C363">
        <v>18</v>
      </c>
      <c r="D363">
        <v>14</v>
      </c>
      <c r="E363">
        <v>4</v>
      </c>
      <c r="F363">
        <v>3</v>
      </c>
      <c r="G363">
        <v>77.8</v>
      </c>
    </row>
    <row r="364" spans="1:7">
      <c r="A364">
        <v>31</v>
      </c>
      <c r="B364" s="1">
        <v>45992</v>
      </c>
      <c r="C364">
        <v>18</v>
      </c>
      <c r="D364">
        <v>10</v>
      </c>
      <c r="E364">
        <v>8</v>
      </c>
      <c r="F364">
        <v>6</v>
      </c>
      <c r="G364">
        <v>55.6</v>
      </c>
    </row>
    <row r="365" spans="1:7">
      <c r="A365">
        <v>31</v>
      </c>
      <c r="B365" s="1">
        <v>46023</v>
      </c>
      <c r="C365">
        <v>19</v>
      </c>
      <c r="D365">
        <v>10</v>
      </c>
      <c r="E365">
        <v>9</v>
      </c>
      <c r="F365">
        <v>5</v>
      </c>
      <c r="G365">
        <v>52.6</v>
      </c>
    </row>
    <row r="366" spans="1:7">
      <c r="A366">
        <v>31</v>
      </c>
      <c r="B366" s="1">
        <v>46054</v>
      </c>
      <c r="C366">
        <v>19</v>
      </c>
      <c r="D366">
        <v>10</v>
      </c>
      <c r="E366">
        <v>9</v>
      </c>
      <c r="F366">
        <v>2</v>
      </c>
      <c r="G366">
        <v>52.6</v>
      </c>
    </row>
    <row r="367" spans="1:7">
      <c r="A367">
        <v>31</v>
      </c>
      <c r="B367" s="1">
        <v>46082</v>
      </c>
      <c r="C367">
        <v>22</v>
      </c>
      <c r="D367">
        <v>16</v>
      </c>
      <c r="E367">
        <v>6</v>
      </c>
      <c r="F367">
        <v>4</v>
      </c>
      <c r="G367">
        <v>72.7</v>
      </c>
    </row>
    <row r="368" spans="1:7">
      <c r="A368">
        <v>31</v>
      </c>
      <c r="B368" s="1">
        <v>46113</v>
      </c>
      <c r="C368">
        <v>18</v>
      </c>
      <c r="D368">
        <v>11</v>
      </c>
      <c r="E368">
        <v>7</v>
      </c>
      <c r="F368">
        <v>2</v>
      </c>
      <c r="G368">
        <v>61.1</v>
      </c>
    </row>
    <row r="369" spans="1:7">
      <c r="A369">
        <v>31</v>
      </c>
      <c r="B369" s="1">
        <v>46143</v>
      </c>
      <c r="C369">
        <v>18</v>
      </c>
      <c r="D369">
        <v>12</v>
      </c>
      <c r="E369">
        <v>6</v>
      </c>
      <c r="F369">
        <v>3</v>
      </c>
      <c r="G369">
        <v>66.7</v>
      </c>
    </row>
    <row r="370" spans="1:7">
      <c r="A370">
        <v>31</v>
      </c>
      <c r="B370" s="1">
        <v>46174</v>
      </c>
      <c r="C370">
        <v>20</v>
      </c>
      <c r="D370">
        <v>10</v>
      </c>
      <c r="E370">
        <v>10</v>
      </c>
      <c r="F370">
        <v>3</v>
      </c>
      <c r="G370">
        <v>50</v>
      </c>
    </row>
    <row r="371" spans="1:7">
      <c r="A371">
        <v>31</v>
      </c>
      <c r="B371" s="1">
        <v>46204</v>
      </c>
      <c r="C371">
        <v>20</v>
      </c>
      <c r="D371">
        <v>10</v>
      </c>
      <c r="E371">
        <v>10</v>
      </c>
      <c r="F371">
        <v>2</v>
      </c>
      <c r="G371">
        <v>50</v>
      </c>
    </row>
    <row r="372" spans="1:7">
      <c r="A372">
        <v>31</v>
      </c>
      <c r="B372" s="1">
        <v>46235</v>
      </c>
      <c r="C372">
        <v>19</v>
      </c>
      <c r="D372">
        <v>10</v>
      </c>
      <c r="E372">
        <v>9</v>
      </c>
      <c r="F372">
        <v>5</v>
      </c>
      <c r="G372">
        <v>52.6</v>
      </c>
    </row>
    <row r="373" spans="1:7">
      <c r="A373">
        <v>31</v>
      </c>
      <c r="B373" s="1">
        <v>46266</v>
      </c>
      <c r="C373">
        <v>19</v>
      </c>
      <c r="D373">
        <v>12</v>
      </c>
      <c r="E373">
        <v>7</v>
      </c>
      <c r="F373">
        <v>3</v>
      </c>
      <c r="G373">
        <v>63.2</v>
      </c>
    </row>
    <row r="374" spans="1:7">
      <c r="A374">
        <v>32</v>
      </c>
      <c r="B374" s="1">
        <v>45931</v>
      </c>
      <c r="C374">
        <v>19</v>
      </c>
      <c r="D374">
        <v>16</v>
      </c>
      <c r="E374">
        <v>3</v>
      </c>
      <c r="F374">
        <v>2</v>
      </c>
      <c r="G374">
        <v>84.2</v>
      </c>
    </row>
    <row r="375" spans="1:7">
      <c r="A375">
        <v>32</v>
      </c>
      <c r="B375" s="1">
        <v>45962</v>
      </c>
      <c r="C375">
        <v>19</v>
      </c>
      <c r="D375">
        <v>14</v>
      </c>
      <c r="E375">
        <v>5</v>
      </c>
      <c r="F375">
        <v>1</v>
      </c>
      <c r="G375">
        <v>73.7</v>
      </c>
    </row>
    <row r="376" spans="1:7">
      <c r="A376">
        <v>32</v>
      </c>
      <c r="B376" s="1">
        <v>45992</v>
      </c>
      <c r="C376">
        <v>19</v>
      </c>
      <c r="D376">
        <v>14</v>
      </c>
      <c r="E376">
        <v>5</v>
      </c>
      <c r="F376">
        <v>2</v>
      </c>
      <c r="G376">
        <v>73.7</v>
      </c>
    </row>
    <row r="377" spans="1:7">
      <c r="A377">
        <v>32</v>
      </c>
      <c r="B377" s="1">
        <v>46023</v>
      </c>
      <c r="C377">
        <v>19</v>
      </c>
      <c r="D377">
        <v>19</v>
      </c>
      <c r="E377">
        <v>0</v>
      </c>
      <c r="F377">
        <v>0</v>
      </c>
      <c r="G377">
        <v>100</v>
      </c>
    </row>
    <row r="378" spans="1:7">
      <c r="A378">
        <v>32</v>
      </c>
      <c r="B378" s="1">
        <v>46054</v>
      </c>
      <c r="C378">
        <v>18</v>
      </c>
      <c r="D378">
        <v>12</v>
      </c>
      <c r="E378">
        <v>6</v>
      </c>
      <c r="F378">
        <v>5</v>
      </c>
      <c r="G378">
        <v>66.7</v>
      </c>
    </row>
    <row r="379" spans="1:7">
      <c r="A379">
        <v>32</v>
      </c>
      <c r="B379" s="1">
        <v>46082</v>
      </c>
      <c r="C379">
        <v>21</v>
      </c>
      <c r="D379">
        <v>19</v>
      </c>
      <c r="E379">
        <v>2</v>
      </c>
      <c r="F379">
        <v>4</v>
      </c>
      <c r="G379">
        <v>90.5</v>
      </c>
    </row>
    <row r="380" spans="1:7">
      <c r="A380">
        <v>32</v>
      </c>
      <c r="B380" s="1">
        <v>46113</v>
      </c>
      <c r="C380">
        <v>18</v>
      </c>
      <c r="D380">
        <v>15</v>
      </c>
      <c r="E380">
        <v>3</v>
      </c>
      <c r="F380">
        <v>0</v>
      </c>
      <c r="G380">
        <v>83.3</v>
      </c>
    </row>
    <row r="381" spans="1:7">
      <c r="A381">
        <v>32</v>
      </c>
      <c r="B381" s="1">
        <v>46143</v>
      </c>
      <c r="C381">
        <v>21</v>
      </c>
      <c r="D381">
        <v>20</v>
      </c>
      <c r="E381">
        <v>1</v>
      </c>
      <c r="F381">
        <v>2</v>
      </c>
      <c r="G381">
        <v>95.2</v>
      </c>
    </row>
    <row r="382" spans="1:7">
      <c r="A382">
        <v>32</v>
      </c>
      <c r="B382" s="1">
        <v>46174</v>
      </c>
      <c r="C382">
        <v>22</v>
      </c>
      <c r="D382">
        <v>21</v>
      </c>
      <c r="E382">
        <v>1</v>
      </c>
      <c r="F382">
        <v>4</v>
      </c>
      <c r="G382">
        <v>95.5</v>
      </c>
    </row>
    <row r="383" spans="1:7">
      <c r="A383">
        <v>32</v>
      </c>
      <c r="B383" s="1">
        <v>46204</v>
      </c>
      <c r="C383">
        <v>20</v>
      </c>
      <c r="D383">
        <v>13</v>
      </c>
      <c r="E383">
        <v>7</v>
      </c>
      <c r="F383">
        <v>3</v>
      </c>
      <c r="G383">
        <v>65</v>
      </c>
    </row>
    <row r="384" spans="1:7">
      <c r="A384">
        <v>32</v>
      </c>
      <c r="B384" s="1">
        <v>46235</v>
      </c>
      <c r="C384">
        <v>19</v>
      </c>
      <c r="D384">
        <v>11</v>
      </c>
      <c r="E384">
        <v>8</v>
      </c>
      <c r="F384">
        <v>2</v>
      </c>
      <c r="G384">
        <v>57.9</v>
      </c>
    </row>
    <row r="385" spans="1:7">
      <c r="A385">
        <v>32</v>
      </c>
      <c r="B385" s="1">
        <v>46266</v>
      </c>
      <c r="C385">
        <v>21</v>
      </c>
      <c r="D385">
        <v>18</v>
      </c>
      <c r="E385">
        <v>3</v>
      </c>
      <c r="F385">
        <v>1</v>
      </c>
      <c r="G385">
        <v>85.7</v>
      </c>
    </row>
    <row r="386" spans="1:7">
      <c r="A386">
        <v>33</v>
      </c>
      <c r="B386" s="1">
        <v>45931</v>
      </c>
      <c r="C386">
        <v>22</v>
      </c>
      <c r="D386">
        <v>14</v>
      </c>
      <c r="E386">
        <v>8</v>
      </c>
      <c r="F386">
        <v>3</v>
      </c>
      <c r="G386">
        <v>63.6</v>
      </c>
    </row>
    <row r="387" spans="1:7">
      <c r="A387">
        <v>33</v>
      </c>
      <c r="B387" s="1">
        <v>45962</v>
      </c>
      <c r="C387">
        <v>21</v>
      </c>
      <c r="D387">
        <v>13</v>
      </c>
      <c r="E387">
        <v>8</v>
      </c>
      <c r="F387">
        <v>4</v>
      </c>
      <c r="G387">
        <v>61.9</v>
      </c>
    </row>
    <row r="388" spans="1:7">
      <c r="A388">
        <v>33</v>
      </c>
      <c r="B388" s="1">
        <v>45992</v>
      </c>
      <c r="C388">
        <v>18</v>
      </c>
      <c r="D388">
        <v>14</v>
      </c>
      <c r="E388">
        <v>4</v>
      </c>
      <c r="F388">
        <v>5</v>
      </c>
      <c r="G388">
        <v>77.8</v>
      </c>
    </row>
    <row r="389" spans="1:7">
      <c r="A389">
        <v>33</v>
      </c>
      <c r="B389" s="1">
        <v>46023</v>
      </c>
      <c r="C389">
        <v>19</v>
      </c>
      <c r="D389">
        <v>13</v>
      </c>
      <c r="E389">
        <v>6</v>
      </c>
      <c r="F389">
        <v>3</v>
      </c>
      <c r="G389">
        <v>68.400000000000006</v>
      </c>
    </row>
    <row r="390" spans="1:7">
      <c r="A390">
        <v>33</v>
      </c>
      <c r="B390" s="1">
        <v>46054</v>
      </c>
      <c r="C390">
        <v>18</v>
      </c>
      <c r="D390">
        <v>12</v>
      </c>
      <c r="E390">
        <v>6</v>
      </c>
      <c r="F390">
        <v>5</v>
      </c>
      <c r="G390">
        <v>66.7</v>
      </c>
    </row>
    <row r="391" spans="1:7">
      <c r="A391">
        <v>33</v>
      </c>
      <c r="B391" s="1">
        <v>46082</v>
      </c>
      <c r="C391">
        <v>18</v>
      </c>
      <c r="D391">
        <v>14</v>
      </c>
      <c r="E391">
        <v>4</v>
      </c>
      <c r="F391">
        <v>0</v>
      </c>
      <c r="G391">
        <v>77.8</v>
      </c>
    </row>
    <row r="392" spans="1:7">
      <c r="A392">
        <v>33</v>
      </c>
      <c r="B392" s="1">
        <v>46113</v>
      </c>
      <c r="C392">
        <v>19</v>
      </c>
      <c r="D392">
        <v>13</v>
      </c>
      <c r="E392">
        <v>6</v>
      </c>
      <c r="F392">
        <v>2</v>
      </c>
      <c r="G392">
        <v>68.400000000000006</v>
      </c>
    </row>
    <row r="393" spans="1:7">
      <c r="A393">
        <v>33</v>
      </c>
      <c r="B393" s="1">
        <v>46143</v>
      </c>
      <c r="C393">
        <v>22</v>
      </c>
      <c r="D393">
        <v>15</v>
      </c>
      <c r="E393">
        <v>7</v>
      </c>
      <c r="F393">
        <v>6</v>
      </c>
      <c r="G393">
        <v>68.2</v>
      </c>
    </row>
    <row r="394" spans="1:7">
      <c r="A394">
        <v>33</v>
      </c>
      <c r="B394" s="1">
        <v>46174</v>
      </c>
      <c r="C394">
        <v>20</v>
      </c>
      <c r="D394">
        <v>13</v>
      </c>
      <c r="E394">
        <v>7</v>
      </c>
      <c r="F394">
        <v>2</v>
      </c>
      <c r="G394">
        <v>65</v>
      </c>
    </row>
    <row r="395" spans="1:7">
      <c r="A395">
        <v>33</v>
      </c>
      <c r="B395" s="1">
        <v>46204</v>
      </c>
      <c r="C395">
        <v>21</v>
      </c>
      <c r="D395">
        <v>13</v>
      </c>
      <c r="E395">
        <v>8</v>
      </c>
      <c r="F395">
        <v>4</v>
      </c>
      <c r="G395">
        <v>61.9</v>
      </c>
    </row>
    <row r="396" spans="1:7">
      <c r="A396">
        <v>33</v>
      </c>
      <c r="B396" s="1">
        <v>46235</v>
      </c>
      <c r="C396">
        <v>20</v>
      </c>
      <c r="D396">
        <v>15</v>
      </c>
      <c r="E396">
        <v>5</v>
      </c>
      <c r="F396">
        <v>1</v>
      </c>
      <c r="G396">
        <v>75</v>
      </c>
    </row>
    <row r="397" spans="1:7">
      <c r="A397">
        <v>33</v>
      </c>
      <c r="B397" s="1">
        <v>46266</v>
      </c>
      <c r="C397">
        <v>21</v>
      </c>
      <c r="D397">
        <v>13</v>
      </c>
      <c r="E397">
        <v>8</v>
      </c>
      <c r="F397">
        <v>5</v>
      </c>
      <c r="G397">
        <v>61.9</v>
      </c>
    </row>
    <row r="398" spans="1:7">
      <c r="A398">
        <v>34</v>
      </c>
      <c r="B398" s="1">
        <v>45931</v>
      </c>
      <c r="C398">
        <v>20</v>
      </c>
      <c r="D398">
        <v>18</v>
      </c>
      <c r="E398">
        <v>2</v>
      </c>
      <c r="F398">
        <v>3</v>
      </c>
      <c r="G398">
        <v>90</v>
      </c>
    </row>
    <row r="399" spans="1:7">
      <c r="A399">
        <v>34</v>
      </c>
      <c r="B399" s="1">
        <v>45962</v>
      </c>
      <c r="C399">
        <v>19</v>
      </c>
      <c r="D399">
        <v>14</v>
      </c>
      <c r="E399">
        <v>5</v>
      </c>
      <c r="F399">
        <v>4</v>
      </c>
      <c r="G399">
        <v>73.7</v>
      </c>
    </row>
    <row r="400" spans="1:7">
      <c r="A400">
        <v>34</v>
      </c>
      <c r="B400" s="1">
        <v>45992</v>
      </c>
      <c r="C400">
        <v>19</v>
      </c>
      <c r="D400">
        <v>12</v>
      </c>
      <c r="E400">
        <v>7</v>
      </c>
      <c r="F400">
        <v>6</v>
      </c>
      <c r="G400">
        <v>63.2</v>
      </c>
    </row>
    <row r="401" spans="1:7">
      <c r="A401">
        <v>34</v>
      </c>
      <c r="B401" s="1">
        <v>46023</v>
      </c>
      <c r="C401">
        <v>18</v>
      </c>
      <c r="D401">
        <v>15</v>
      </c>
      <c r="E401">
        <v>3</v>
      </c>
      <c r="F401">
        <v>5</v>
      </c>
      <c r="G401">
        <v>83.3</v>
      </c>
    </row>
    <row r="402" spans="1:7">
      <c r="A402">
        <v>34</v>
      </c>
      <c r="B402" s="1">
        <v>46054</v>
      </c>
      <c r="C402">
        <v>20</v>
      </c>
      <c r="D402">
        <v>16</v>
      </c>
      <c r="E402">
        <v>4</v>
      </c>
      <c r="F402">
        <v>6</v>
      </c>
      <c r="G402">
        <v>80</v>
      </c>
    </row>
    <row r="403" spans="1:7">
      <c r="A403">
        <v>34</v>
      </c>
      <c r="B403" s="1">
        <v>46082</v>
      </c>
      <c r="C403">
        <v>21</v>
      </c>
      <c r="D403">
        <v>20</v>
      </c>
      <c r="E403">
        <v>1</v>
      </c>
      <c r="F403">
        <v>1</v>
      </c>
      <c r="G403">
        <v>95.2</v>
      </c>
    </row>
    <row r="404" spans="1:7">
      <c r="A404">
        <v>34</v>
      </c>
      <c r="B404" s="1">
        <v>46113</v>
      </c>
      <c r="C404">
        <v>19</v>
      </c>
      <c r="D404">
        <v>14</v>
      </c>
      <c r="E404">
        <v>5</v>
      </c>
      <c r="F404">
        <v>3</v>
      </c>
      <c r="G404">
        <v>73.7</v>
      </c>
    </row>
    <row r="405" spans="1:7">
      <c r="A405">
        <v>34</v>
      </c>
      <c r="B405" s="1">
        <v>46143</v>
      </c>
      <c r="C405">
        <v>18</v>
      </c>
      <c r="D405">
        <v>18</v>
      </c>
      <c r="E405">
        <v>0</v>
      </c>
      <c r="F405">
        <v>1</v>
      </c>
      <c r="G405">
        <v>100</v>
      </c>
    </row>
    <row r="406" spans="1:7">
      <c r="A406">
        <v>34</v>
      </c>
      <c r="B406" s="1">
        <v>46174</v>
      </c>
      <c r="C406">
        <v>21</v>
      </c>
      <c r="D406">
        <v>21</v>
      </c>
      <c r="E406">
        <v>0</v>
      </c>
      <c r="F406">
        <v>2</v>
      </c>
      <c r="G406">
        <v>100</v>
      </c>
    </row>
    <row r="407" spans="1:7">
      <c r="A407">
        <v>34</v>
      </c>
      <c r="B407" s="1">
        <v>46204</v>
      </c>
      <c r="C407">
        <v>21</v>
      </c>
      <c r="D407">
        <v>17</v>
      </c>
      <c r="E407">
        <v>4</v>
      </c>
      <c r="F407">
        <v>2</v>
      </c>
      <c r="G407">
        <v>81</v>
      </c>
    </row>
    <row r="408" spans="1:7">
      <c r="A408">
        <v>34</v>
      </c>
      <c r="B408" s="1">
        <v>46235</v>
      </c>
      <c r="C408">
        <v>20</v>
      </c>
      <c r="D408">
        <v>19</v>
      </c>
      <c r="E408">
        <v>1</v>
      </c>
      <c r="F408">
        <v>3</v>
      </c>
      <c r="G408">
        <v>95</v>
      </c>
    </row>
    <row r="409" spans="1:7">
      <c r="A409">
        <v>34</v>
      </c>
      <c r="B409" s="1">
        <v>46266</v>
      </c>
      <c r="C409">
        <v>18</v>
      </c>
      <c r="D409">
        <v>15</v>
      </c>
      <c r="E409">
        <v>3</v>
      </c>
      <c r="F409">
        <v>5</v>
      </c>
      <c r="G409">
        <v>83.3</v>
      </c>
    </row>
    <row r="410" spans="1:7">
      <c r="A410">
        <v>35</v>
      </c>
      <c r="B410" s="1">
        <v>45931</v>
      </c>
      <c r="C410">
        <v>19</v>
      </c>
      <c r="D410">
        <v>12</v>
      </c>
      <c r="E410">
        <v>7</v>
      </c>
      <c r="F410">
        <v>3</v>
      </c>
      <c r="G410">
        <v>63.2</v>
      </c>
    </row>
    <row r="411" spans="1:7">
      <c r="A411">
        <v>35</v>
      </c>
      <c r="B411" s="1">
        <v>45962</v>
      </c>
      <c r="C411">
        <v>18</v>
      </c>
      <c r="D411">
        <v>13</v>
      </c>
      <c r="E411">
        <v>5</v>
      </c>
      <c r="F411">
        <v>3</v>
      </c>
      <c r="G411">
        <v>72.2</v>
      </c>
    </row>
    <row r="412" spans="1:7">
      <c r="A412">
        <v>35</v>
      </c>
      <c r="B412" s="1">
        <v>45992</v>
      </c>
      <c r="C412">
        <v>20</v>
      </c>
      <c r="D412">
        <v>16</v>
      </c>
      <c r="E412">
        <v>4</v>
      </c>
      <c r="F412">
        <v>4</v>
      </c>
      <c r="G412">
        <v>80</v>
      </c>
    </row>
    <row r="413" spans="1:7">
      <c r="A413">
        <v>35</v>
      </c>
      <c r="B413" s="1">
        <v>46023</v>
      </c>
      <c r="C413">
        <v>20</v>
      </c>
      <c r="D413">
        <v>14</v>
      </c>
      <c r="E413">
        <v>6</v>
      </c>
      <c r="F413">
        <v>2</v>
      </c>
      <c r="G413">
        <v>70</v>
      </c>
    </row>
    <row r="414" spans="1:7">
      <c r="A414">
        <v>35</v>
      </c>
      <c r="B414" s="1">
        <v>46054</v>
      </c>
      <c r="C414">
        <v>18</v>
      </c>
      <c r="D414">
        <v>16</v>
      </c>
      <c r="E414">
        <v>2</v>
      </c>
      <c r="F414">
        <v>5</v>
      </c>
      <c r="G414">
        <v>88.9</v>
      </c>
    </row>
    <row r="415" spans="1:7">
      <c r="A415">
        <v>35</v>
      </c>
      <c r="B415" s="1">
        <v>46082</v>
      </c>
      <c r="C415">
        <v>22</v>
      </c>
      <c r="D415">
        <v>17</v>
      </c>
      <c r="E415">
        <v>5</v>
      </c>
      <c r="F415">
        <v>1</v>
      </c>
      <c r="G415">
        <v>77.3</v>
      </c>
    </row>
    <row r="416" spans="1:7">
      <c r="A416">
        <v>35</v>
      </c>
      <c r="B416" s="1">
        <v>46113</v>
      </c>
      <c r="C416">
        <v>22</v>
      </c>
      <c r="D416">
        <v>21</v>
      </c>
      <c r="E416">
        <v>1</v>
      </c>
      <c r="F416">
        <v>1</v>
      </c>
      <c r="G416">
        <v>95.5</v>
      </c>
    </row>
    <row r="417" spans="1:7">
      <c r="A417">
        <v>35</v>
      </c>
      <c r="B417" s="1">
        <v>46143</v>
      </c>
      <c r="C417">
        <v>20</v>
      </c>
      <c r="D417">
        <v>17</v>
      </c>
      <c r="E417">
        <v>3</v>
      </c>
      <c r="F417">
        <v>2</v>
      </c>
      <c r="G417">
        <v>85</v>
      </c>
    </row>
    <row r="418" spans="1:7">
      <c r="A418">
        <v>35</v>
      </c>
      <c r="B418" s="1">
        <v>46174</v>
      </c>
      <c r="C418">
        <v>20</v>
      </c>
      <c r="D418">
        <v>17</v>
      </c>
      <c r="E418">
        <v>3</v>
      </c>
      <c r="F418">
        <v>5</v>
      </c>
      <c r="G418">
        <v>85</v>
      </c>
    </row>
    <row r="419" spans="1:7">
      <c r="A419">
        <v>35</v>
      </c>
      <c r="B419" s="1">
        <v>46204</v>
      </c>
      <c r="C419">
        <v>21</v>
      </c>
      <c r="D419">
        <v>19</v>
      </c>
      <c r="E419">
        <v>2</v>
      </c>
      <c r="F419">
        <v>0</v>
      </c>
      <c r="G419">
        <v>90.5</v>
      </c>
    </row>
    <row r="420" spans="1:7">
      <c r="A420">
        <v>35</v>
      </c>
      <c r="B420" s="1">
        <v>46235</v>
      </c>
      <c r="C420">
        <v>21</v>
      </c>
      <c r="D420">
        <v>19</v>
      </c>
      <c r="E420">
        <v>2</v>
      </c>
      <c r="F420">
        <v>1</v>
      </c>
      <c r="G420">
        <v>90.5</v>
      </c>
    </row>
    <row r="421" spans="1:7">
      <c r="A421">
        <v>35</v>
      </c>
      <c r="B421" s="1">
        <v>46266</v>
      </c>
      <c r="C421">
        <v>19</v>
      </c>
      <c r="D421">
        <v>17</v>
      </c>
      <c r="E421">
        <v>2</v>
      </c>
      <c r="F421">
        <v>5</v>
      </c>
      <c r="G421">
        <v>89.5</v>
      </c>
    </row>
    <row r="422" spans="1:7">
      <c r="A422">
        <v>36</v>
      </c>
      <c r="B422" s="1">
        <v>45931</v>
      </c>
      <c r="C422">
        <v>20</v>
      </c>
      <c r="D422">
        <v>14</v>
      </c>
      <c r="E422">
        <v>6</v>
      </c>
      <c r="F422">
        <v>3</v>
      </c>
      <c r="G422">
        <v>70</v>
      </c>
    </row>
    <row r="423" spans="1:7">
      <c r="A423">
        <v>36</v>
      </c>
      <c r="B423" s="1">
        <v>45962</v>
      </c>
      <c r="C423">
        <v>18</v>
      </c>
      <c r="D423">
        <v>10</v>
      </c>
      <c r="E423">
        <v>8</v>
      </c>
      <c r="F423">
        <v>0</v>
      </c>
      <c r="G423">
        <v>55.6</v>
      </c>
    </row>
    <row r="424" spans="1:7">
      <c r="A424">
        <v>36</v>
      </c>
      <c r="B424" s="1">
        <v>45992</v>
      </c>
      <c r="C424">
        <v>19</v>
      </c>
      <c r="D424">
        <v>12</v>
      </c>
      <c r="E424">
        <v>7</v>
      </c>
      <c r="F424">
        <v>5</v>
      </c>
      <c r="G424">
        <v>63.2</v>
      </c>
    </row>
    <row r="425" spans="1:7">
      <c r="A425">
        <v>36</v>
      </c>
      <c r="B425" s="1">
        <v>46023</v>
      </c>
      <c r="C425">
        <v>20</v>
      </c>
      <c r="D425">
        <v>10</v>
      </c>
      <c r="E425">
        <v>10</v>
      </c>
      <c r="F425">
        <v>5</v>
      </c>
      <c r="G425">
        <v>50</v>
      </c>
    </row>
    <row r="426" spans="1:7">
      <c r="A426">
        <v>36</v>
      </c>
      <c r="B426" s="1">
        <v>46054</v>
      </c>
      <c r="C426">
        <v>20</v>
      </c>
      <c r="D426">
        <v>13</v>
      </c>
      <c r="E426">
        <v>7</v>
      </c>
      <c r="F426">
        <v>3</v>
      </c>
      <c r="G426">
        <v>65</v>
      </c>
    </row>
    <row r="427" spans="1:7">
      <c r="A427">
        <v>36</v>
      </c>
      <c r="B427" s="1">
        <v>46082</v>
      </c>
      <c r="C427">
        <v>20</v>
      </c>
      <c r="D427">
        <v>13</v>
      </c>
      <c r="E427">
        <v>7</v>
      </c>
      <c r="F427">
        <v>5</v>
      </c>
      <c r="G427">
        <v>65</v>
      </c>
    </row>
    <row r="428" spans="1:7">
      <c r="A428">
        <v>36</v>
      </c>
      <c r="B428" s="1">
        <v>46113</v>
      </c>
      <c r="C428">
        <v>22</v>
      </c>
      <c r="D428">
        <v>16</v>
      </c>
      <c r="E428">
        <v>6</v>
      </c>
      <c r="F428">
        <v>1</v>
      </c>
      <c r="G428">
        <v>72.7</v>
      </c>
    </row>
    <row r="429" spans="1:7">
      <c r="A429">
        <v>36</v>
      </c>
      <c r="B429" s="1">
        <v>46143</v>
      </c>
      <c r="C429">
        <v>19</v>
      </c>
      <c r="D429">
        <v>11</v>
      </c>
      <c r="E429">
        <v>8</v>
      </c>
      <c r="F429">
        <v>6</v>
      </c>
      <c r="G429">
        <v>57.9</v>
      </c>
    </row>
    <row r="430" spans="1:7">
      <c r="A430">
        <v>36</v>
      </c>
      <c r="B430" s="1">
        <v>46174</v>
      </c>
      <c r="C430">
        <v>18</v>
      </c>
      <c r="D430">
        <v>10</v>
      </c>
      <c r="E430">
        <v>8</v>
      </c>
      <c r="F430">
        <v>2</v>
      </c>
      <c r="G430">
        <v>55.6</v>
      </c>
    </row>
    <row r="431" spans="1:7">
      <c r="A431">
        <v>36</v>
      </c>
      <c r="B431" s="1">
        <v>46204</v>
      </c>
      <c r="C431">
        <v>18</v>
      </c>
      <c r="D431">
        <v>10</v>
      </c>
      <c r="E431">
        <v>8</v>
      </c>
      <c r="F431">
        <v>1</v>
      </c>
      <c r="G431">
        <v>55.6</v>
      </c>
    </row>
    <row r="432" spans="1:7">
      <c r="A432">
        <v>36</v>
      </c>
      <c r="B432" s="1">
        <v>46235</v>
      </c>
      <c r="C432">
        <v>19</v>
      </c>
      <c r="D432">
        <v>11</v>
      </c>
      <c r="E432">
        <v>8</v>
      </c>
      <c r="F432">
        <v>3</v>
      </c>
      <c r="G432">
        <v>57.9</v>
      </c>
    </row>
    <row r="433" spans="1:7">
      <c r="A433">
        <v>36</v>
      </c>
      <c r="B433" s="1">
        <v>46266</v>
      </c>
      <c r="C433">
        <v>22</v>
      </c>
      <c r="D433">
        <v>13</v>
      </c>
      <c r="E433">
        <v>9</v>
      </c>
      <c r="F433">
        <v>0</v>
      </c>
      <c r="G433">
        <v>59.1</v>
      </c>
    </row>
    <row r="434" spans="1:7">
      <c r="A434">
        <v>37</v>
      </c>
      <c r="B434" s="1">
        <v>45931</v>
      </c>
      <c r="C434">
        <v>18</v>
      </c>
      <c r="D434">
        <v>15</v>
      </c>
      <c r="E434">
        <v>3</v>
      </c>
      <c r="F434">
        <v>0</v>
      </c>
      <c r="G434">
        <v>83.3</v>
      </c>
    </row>
    <row r="435" spans="1:7">
      <c r="A435">
        <v>37</v>
      </c>
      <c r="B435" s="1">
        <v>45962</v>
      </c>
      <c r="C435">
        <v>18</v>
      </c>
      <c r="D435">
        <v>17</v>
      </c>
      <c r="E435">
        <v>1</v>
      </c>
      <c r="F435">
        <v>2</v>
      </c>
      <c r="G435">
        <v>94.4</v>
      </c>
    </row>
    <row r="436" spans="1:7">
      <c r="A436">
        <v>37</v>
      </c>
      <c r="B436" s="1">
        <v>45992</v>
      </c>
      <c r="C436">
        <v>22</v>
      </c>
      <c r="D436">
        <v>17</v>
      </c>
      <c r="E436">
        <v>5</v>
      </c>
      <c r="F436">
        <v>3</v>
      </c>
      <c r="G436">
        <v>77.3</v>
      </c>
    </row>
    <row r="437" spans="1:7">
      <c r="A437">
        <v>37</v>
      </c>
      <c r="B437" s="1">
        <v>46023</v>
      </c>
      <c r="C437">
        <v>20</v>
      </c>
      <c r="D437">
        <v>14</v>
      </c>
      <c r="E437">
        <v>6</v>
      </c>
      <c r="F437">
        <v>1</v>
      </c>
      <c r="G437">
        <v>70</v>
      </c>
    </row>
    <row r="438" spans="1:7">
      <c r="A438">
        <v>37</v>
      </c>
      <c r="B438" s="1">
        <v>46054</v>
      </c>
      <c r="C438">
        <v>19</v>
      </c>
      <c r="D438">
        <v>16</v>
      </c>
      <c r="E438">
        <v>3</v>
      </c>
      <c r="F438">
        <v>1</v>
      </c>
      <c r="G438">
        <v>84.2</v>
      </c>
    </row>
    <row r="439" spans="1:7">
      <c r="A439">
        <v>37</v>
      </c>
      <c r="B439" s="1">
        <v>46082</v>
      </c>
      <c r="C439">
        <v>19</v>
      </c>
      <c r="D439">
        <v>18</v>
      </c>
      <c r="E439">
        <v>1</v>
      </c>
      <c r="F439">
        <v>4</v>
      </c>
      <c r="G439">
        <v>94.7</v>
      </c>
    </row>
    <row r="440" spans="1:7">
      <c r="A440">
        <v>37</v>
      </c>
      <c r="B440" s="1">
        <v>46113</v>
      </c>
      <c r="C440">
        <v>19</v>
      </c>
      <c r="D440">
        <v>13</v>
      </c>
      <c r="E440">
        <v>6</v>
      </c>
      <c r="F440">
        <v>6</v>
      </c>
      <c r="G440">
        <v>68.400000000000006</v>
      </c>
    </row>
    <row r="441" spans="1:7">
      <c r="A441">
        <v>37</v>
      </c>
      <c r="B441" s="1">
        <v>46143</v>
      </c>
      <c r="C441">
        <v>20</v>
      </c>
      <c r="D441">
        <v>16</v>
      </c>
      <c r="E441">
        <v>4</v>
      </c>
      <c r="F441">
        <v>6</v>
      </c>
      <c r="G441">
        <v>80</v>
      </c>
    </row>
    <row r="442" spans="1:7">
      <c r="A442">
        <v>37</v>
      </c>
      <c r="B442" s="1">
        <v>46174</v>
      </c>
      <c r="C442">
        <v>21</v>
      </c>
      <c r="D442">
        <v>21</v>
      </c>
      <c r="E442">
        <v>0</v>
      </c>
      <c r="F442">
        <v>2</v>
      </c>
      <c r="G442">
        <v>100</v>
      </c>
    </row>
    <row r="443" spans="1:7">
      <c r="A443">
        <v>37</v>
      </c>
      <c r="B443" s="1">
        <v>46204</v>
      </c>
      <c r="C443">
        <v>22</v>
      </c>
      <c r="D443">
        <v>18</v>
      </c>
      <c r="E443">
        <v>4</v>
      </c>
      <c r="F443">
        <v>3</v>
      </c>
      <c r="G443">
        <v>81.8</v>
      </c>
    </row>
    <row r="444" spans="1:7">
      <c r="A444">
        <v>37</v>
      </c>
      <c r="B444" s="1">
        <v>46235</v>
      </c>
      <c r="C444">
        <v>19</v>
      </c>
      <c r="D444">
        <v>13</v>
      </c>
      <c r="E444">
        <v>6</v>
      </c>
      <c r="F444">
        <v>1</v>
      </c>
      <c r="G444">
        <v>68.400000000000006</v>
      </c>
    </row>
    <row r="445" spans="1:7">
      <c r="A445">
        <v>37</v>
      </c>
      <c r="B445" s="1">
        <v>46266</v>
      </c>
      <c r="C445">
        <v>22</v>
      </c>
      <c r="D445">
        <v>19</v>
      </c>
      <c r="E445">
        <v>3</v>
      </c>
      <c r="F445">
        <v>4</v>
      </c>
      <c r="G445">
        <v>86.4</v>
      </c>
    </row>
    <row r="446" spans="1:7">
      <c r="A446">
        <v>38</v>
      </c>
      <c r="B446" s="1">
        <v>45931</v>
      </c>
      <c r="C446">
        <v>21</v>
      </c>
      <c r="D446">
        <v>21</v>
      </c>
      <c r="E446">
        <v>0</v>
      </c>
      <c r="F446">
        <v>3</v>
      </c>
      <c r="G446">
        <v>100</v>
      </c>
    </row>
    <row r="447" spans="1:7">
      <c r="A447">
        <v>38</v>
      </c>
      <c r="B447" s="1">
        <v>45962</v>
      </c>
      <c r="C447">
        <v>22</v>
      </c>
      <c r="D447">
        <v>22</v>
      </c>
      <c r="E447">
        <v>0</v>
      </c>
      <c r="F447">
        <v>2</v>
      </c>
      <c r="G447">
        <v>100</v>
      </c>
    </row>
    <row r="448" spans="1:7">
      <c r="A448">
        <v>38</v>
      </c>
      <c r="B448" s="1">
        <v>45992</v>
      </c>
      <c r="C448">
        <v>20</v>
      </c>
      <c r="D448">
        <v>20</v>
      </c>
      <c r="E448">
        <v>0</v>
      </c>
      <c r="F448">
        <v>0</v>
      </c>
      <c r="G448">
        <v>100</v>
      </c>
    </row>
    <row r="449" spans="1:7">
      <c r="A449">
        <v>38</v>
      </c>
      <c r="B449" s="1">
        <v>46023</v>
      </c>
      <c r="C449">
        <v>21</v>
      </c>
      <c r="D449">
        <v>19</v>
      </c>
      <c r="E449">
        <v>2</v>
      </c>
      <c r="F449">
        <v>2</v>
      </c>
      <c r="G449">
        <v>90.5</v>
      </c>
    </row>
    <row r="450" spans="1:7">
      <c r="A450">
        <v>38</v>
      </c>
      <c r="B450" s="1">
        <v>46054</v>
      </c>
      <c r="C450">
        <v>20</v>
      </c>
      <c r="D450">
        <v>19</v>
      </c>
      <c r="E450">
        <v>1</v>
      </c>
      <c r="F450">
        <v>0</v>
      </c>
      <c r="G450">
        <v>95</v>
      </c>
    </row>
    <row r="451" spans="1:7">
      <c r="A451">
        <v>38</v>
      </c>
      <c r="B451" s="1">
        <v>46082</v>
      </c>
      <c r="C451">
        <v>18</v>
      </c>
      <c r="D451">
        <v>16</v>
      </c>
      <c r="E451">
        <v>2</v>
      </c>
      <c r="F451">
        <v>4</v>
      </c>
      <c r="G451">
        <v>88.9</v>
      </c>
    </row>
    <row r="452" spans="1:7">
      <c r="A452">
        <v>38</v>
      </c>
      <c r="B452" s="1">
        <v>46113</v>
      </c>
      <c r="C452">
        <v>19</v>
      </c>
      <c r="D452">
        <v>19</v>
      </c>
      <c r="E452">
        <v>0</v>
      </c>
      <c r="F452">
        <v>0</v>
      </c>
      <c r="G452">
        <v>100</v>
      </c>
    </row>
    <row r="453" spans="1:7">
      <c r="A453">
        <v>38</v>
      </c>
      <c r="B453" s="1">
        <v>46143</v>
      </c>
      <c r="C453">
        <v>21</v>
      </c>
      <c r="D453">
        <v>18</v>
      </c>
      <c r="E453">
        <v>3</v>
      </c>
      <c r="F453">
        <v>6</v>
      </c>
      <c r="G453">
        <v>85.7</v>
      </c>
    </row>
    <row r="454" spans="1:7">
      <c r="A454">
        <v>38</v>
      </c>
      <c r="B454" s="1">
        <v>46174</v>
      </c>
      <c r="C454">
        <v>21</v>
      </c>
      <c r="D454">
        <v>21</v>
      </c>
      <c r="E454">
        <v>0</v>
      </c>
      <c r="F454">
        <v>2</v>
      </c>
      <c r="G454">
        <v>100</v>
      </c>
    </row>
    <row r="455" spans="1:7">
      <c r="A455">
        <v>38</v>
      </c>
      <c r="B455" s="1">
        <v>46204</v>
      </c>
      <c r="C455">
        <v>22</v>
      </c>
      <c r="D455">
        <v>17</v>
      </c>
      <c r="E455">
        <v>5</v>
      </c>
      <c r="F455">
        <v>1</v>
      </c>
      <c r="G455">
        <v>77.3</v>
      </c>
    </row>
    <row r="456" spans="1:7">
      <c r="A456">
        <v>38</v>
      </c>
      <c r="B456" s="1">
        <v>46235</v>
      </c>
      <c r="C456">
        <v>18</v>
      </c>
      <c r="D456">
        <v>18</v>
      </c>
      <c r="E456">
        <v>0</v>
      </c>
      <c r="F456">
        <v>3</v>
      </c>
      <c r="G456">
        <v>100</v>
      </c>
    </row>
    <row r="457" spans="1:7">
      <c r="A457">
        <v>38</v>
      </c>
      <c r="B457" s="1">
        <v>46266</v>
      </c>
      <c r="C457">
        <v>21</v>
      </c>
      <c r="D457">
        <v>20</v>
      </c>
      <c r="E457">
        <v>1</v>
      </c>
      <c r="F457">
        <v>1</v>
      </c>
      <c r="G457">
        <v>95.2</v>
      </c>
    </row>
    <row r="458" spans="1:7">
      <c r="A458">
        <v>39</v>
      </c>
      <c r="B458" s="1">
        <v>45931</v>
      </c>
      <c r="C458">
        <v>19</v>
      </c>
      <c r="D458">
        <v>13</v>
      </c>
      <c r="E458">
        <v>6</v>
      </c>
      <c r="F458">
        <v>6</v>
      </c>
      <c r="G458">
        <v>68.400000000000006</v>
      </c>
    </row>
    <row r="459" spans="1:7">
      <c r="A459">
        <v>39</v>
      </c>
      <c r="B459" s="1">
        <v>45962</v>
      </c>
      <c r="C459">
        <v>21</v>
      </c>
      <c r="D459">
        <v>17</v>
      </c>
      <c r="E459">
        <v>4</v>
      </c>
      <c r="F459">
        <v>1</v>
      </c>
      <c r="G459">
        <v>81</v>
      </c>
    </row>
    <row r="460" spans="1:7">
      <c r="A460">
        <v>39</v>
      </c>
      <c r="B460" s="1">
        <v>45992</v>
      </c>
      <c r="C460">
        <v>20</v>
      </c>
      <c r="D460">
        <v>10</v>
      </c>
      <c r="E460">
        <v>10</v>
      </c>
      <c r="F460">
        <v>4</v>
      </c>
      <c r="G460">
        <v>50</v>
      </c>
    </row>
    <row r="461" spans="1:7">
      <c r="A461">
        <v>39</v>
      </c>
      <c r="B461" s="1">
        <v>46023</v>
      </c>
      <c r="C461">
        <v>22</v>
      </c>
      <c r="D461">
        <v>14</v>
      </c>
      <c r="E461">
        <v>8</v>
      </c>
      <c r="F461">
        <v>6</v>
      </c>
      <c r="G461">
        <v>63.6</v>
      </c>
    </row>
    <row r="462" spans="1:7">
      <c r="A462">
        <v>39</v>
      </c>
      <c r="B462" s="1">
        <v>46054</v>
      </c>
      <c r="C462">
        <v>20</v>
      </c>
      <c r="D462">
        <v>14</v>
      </c>
      <c r="E462">
        <v>6</v>
      </c>
      <c r="F462">
        <v>6</v>
      </c>
      <c r="G462">
        <v>70</v>
      </c>
    </row>
    <row r="463" spans="1:7">
      <c r="A463">
        <v>39</v>
      </c>
      <c r="B463" s="1">
        <v>46082</v>
      </c>
      <c r="C463">
        <v>20</v>
      </c>
      <c r="D463">
        <v>10</v>
      </c>
      <c r="E463">
        <v>10</v>
      </c>
      <c r="F463">
        <v>3</v>
      </c>
      <c r="G463">
        <v>50</v>
      </c>
    </row>
    <row r="464" spans="1:7">
      <c r="A464">
        <v>39</v>
      </c>
      <c r="B464" s="1">
        <v>46113</v>
      </c>
      <c r="C464">
        <v>19</v>
      </c>
      <c r="D464">
        <v>11</v>
      </c>
      <c r="E464">
        <v>8</v>
      </c>
      <c r="F464">
        <v>2</v>
      </c>
      <c r="G464">
        <v>57.9</v>
      </c>
    </row>
    <row r="465" spans="1:7">
      <c r="A465">
        <v>39</v>
      </c>
      <c r="B465" s="1">
        <v>46143</v>
      </c>
      <c r="C465">
        <v>18</v>
      </c>
      <c r="D465">
        <v>12</v>
      </c>
      <c r="E465">
        <v>6</v>
      </c>
      <c r="F465">
        <v>5</v>
      </c>
      <c r="G465">
        <v>66.7</v>
      </c>
    </row>
    <row r="466" spans="1:7">
      <c r="A466">
        <v>39</v>
      </c>
      <c r="B466" s="1">
        <v>46174</v>
      </c>
      <c r="C466">
        <v>21</v>
      </c>
      <c r="D466">
        <v>15</v>
      </c>
      <c r="E466">
        <v>6</v>
      </c>
      <c r="F466">
        <v>4</v>
      </c>
      <c r="G466">
        <v>71.400000000000006</v>
      </c>
    </row>
    <row r="467" spans="1:7">
      <c r="A467">
        <v>39</v>
      </c>
      <c r="B467" s="1">
        <v>46204</v>
      </c>
      <c r="C467">
        <v>21</v>
      </c>
      <c r="D467">
        <v>15</v>
      </c>
      <c r="E467">
        <v>6</v>
      </c>
      <c r="F467">
        <v>1</v>
      </c>
      <c r="G467">
        <v>71.400000000000006</v>
      </c>
    </row>
    <row r="468" spans="1:7">
      <c r="A468">
        <v>39</v>
      </c>
      <c r="B468" s="1">
        <v>46235</v>
      </c>
      <c r="C468">
        <v>20</v>
      </c>
      <c r="D468">
        <v>12</v>
      </c>
      <c r="E468">
        <v>8</v>
      </c>
      <c r="F468">
        <v>4</v>
      </c>
      <c r="G468">
        <v>60</v>
      </c>
    </row>
    <row r="469" spans="1:7">
      <c r="A469">
        <v>39</v>
      </c>
      <c r="B469" s="1">
        <v>46266</v>
      </c>
      <c r="C469">
        <v>18</v>
      </c>
      <c r="D469">
        <v>11</v>
      </c>
      <c r="E469">
        <v>7</v>
      </c>
      <c r="F469">
        <v>1</v>
      </c>
      <c r="G469">
        <v>61.1</v>
      </c>
    </row>
    <row r="470" spans="1:7">
      <c r="A470">
        <v>40</v>
      </c>
      <c r="B470" s="1">
        <v>45931</v>
      </c>
      <c r="C470">
        <v>18</v>
      </c>
      <c r="D470">
        <v>10</v>
      </c>
      <c r="E470">
        <v>8</v>
      </c>
      <c r="F470">
        <v>3</v>
      </c>
      <c r="G470">
        <v>55.6</v>
      </c>
    </row>
    <row r="471" spans="1:7">
      <c r="A471">
        <v>40</v>
      </c>
      <c r="B471" s="1">
        <v>45962</v>
      </c>
      <c r="C471">
        <v>18</v>
      </c>
      <c r="D471">
        <v>10</v>
      </c>
      <c r="E471">
        <v>8</v>
      </c>
      <c r="F471">
        <v>1</v>
      </c>
      <c r="G471">
        <v>55.6</v>
      </c>
    </row>
    <row r="472" spans="1:7">
      <c r="A472">
        <v>40</v>
      </c>
      <c r="B472" s="1">
        <v>45992</v>
      </c>
      <c r="C472">
        <v>18</v>
      </c>
      <c r="D472">
        <v>10</v>
      </c>
      <c r="E472">
        <v>8</v>
      </c>
      <c r="F472">
        <v>2</v>
      </c>
      <c r="G472">
        <v>55.6</v>
      </c>
    </row>
    <row r="473" spans="1:7">
      <c r="A473">
        <v>40</v>
      </c>
      <c r="B473" s="1">
        <v>46023</v>
      </c>
      <c r="C473">
        <v>21</v>
      </c>
      <c r="D473">
        <v>10</v>
      </c>
      <c r="E473">
        <v>11</v>
      </c>
      <c r="F473">
        <v>2</v>
      </c>
      <c r="G473">
        <v>47.6</v>
      </c>
    </row>
    <row r="474" spans="1:7">
      <c r="A474">
        <v>40</v>
      </c>
      <c r="B474" s="1">
        <v>46054</v>
      </c>
      <c r="C474">
        <v>21</v>
      </c>
      <c r="D474">
        <v>10</v>
      </c>
      <c r="E474">
        <v>11</v>
      </c>
      <c r="F474">
        <v>6</v>
      </c>
      <c r="G474">
        <v>47.6</v>
      </c>
    </row>
    <row r="475" spans="1:7">
      <c r="A475">
        <v>40</v>
      </c>
      <c r="B475" s="1">
        <v>46082</v>
      </c>
      <c r="C475">
        <v>18</v>
      </c>
      <c r="D475">
        <v>10</v>
      </c>
      <c r="E475">
        <v>8</v>
      </c>
      <c r="F475">
        <v>2</v>
      </c>
      <c r="G475">
        <v>55.6</v>
      </c>
    </row>
    <row r="476" spans="1:7">
      <c r="A476">
        <v>40</v>
      </c>
      <c r="B476" s="1">
        <v>46113</v>
      </c>
      <c r="C476">
        <v>18</v>
      </c>
      <c r="D476">
        <v>10</v>
      </c>
      <c r="E476">
        <v>8</v>
      </c>
      <c r="F476">
        <v>0</v>
      </c>
      <c r="G476">
        <v>55.6</v>
      </c>
    </row>
    <row r="477" spans="1:7">
      <c r="A477">
        <v>40</v>
      </c>
      <c r="B477" s="1">
        <v>46143</v>
      </c>
      <c r="C477">
        <v>20</v>
      </c>
      <c r="D477">
        <v>15</v>
      </c>
      <c r="E477">
        <v>5</v>
      </c>
      <c r="F477">
        <v>6</v>
      </c>
      <c r="G477">
        <v>75</v>
      </c>
    </row>
    <row r="478" spans="1:7">
      <c r="A478">
        <v>40</v>
      </c>
      <c r="B478" s="1">
        <v>46174</v>
      </c>
      <c r="C478">
        <v>21</v>
      </c>
      <c r="D478">
        <v>10</v>
      </c>
      <c r="E478">
        <v>11</v>
      </c>
      <c r="F478">
        <v>1</v>
      </c>
      <c r="G478">
        <v>47.6</v>
      </c>
    </row>
    <row r="479" spans="1:7">
      <c r="A479">
        <v>40</v>
      </c>
      <c r="B479" s="1">
        <v>46204</v>
      </c>
      <c r="C479">
        <v>20</v>
      </c>
      <c r="D479">
        <v>10</v>
      </c>
      <c r="E479">
        <v>10</v>
      </c>
      <c r="F479">
        <v>6</v>
      </c>
      <c r="G479">
        <v>50</v>
      </c>
    </row>
    <row r="480" spans="1:7">
      <c r="A480">
        <v>40</v>
      </c>
      <c r="B480" s="1">
        <v>46235</v>
      </c>
      <c r="C480">
        <v>21</v>
      </c>
      <c r="D480">
        <v>11</v>
      </c>
      <c r="E480">
        <v>10</v>
      </c>
      <c r="F480">
        <v>6</v>
      </c>
      <c r="G480">
        <v>52.4</v>
      </c>
    </row>
    <row r="481" spans="1:7">
      <c r="A481">
        <v>40</v>
      </c>
      <c r="B481" s="1">
        <v>46266</v>
      </c>
      <c r="C481">
        <v>19</v>
      </c>
      <c r="D481">
        <v>11</v>
      </c>
      <c r="E481">
        <v>8</v>
      </c>
      <c r="F481">
        <v>3</v>
      </c>
      <c r="G481">
        <v>57.9</v>
      </c>
    </row>
    <row r="482" spans="1:7">
      <c r="A482">
        <v>41</v>
      </c>
      <c r="B482" s="1">
        <v>45931</v>
      </c>
      <c r="C482">
        <v>21</v>
      </c>
      <c r="D482">
        <v>17</v>
      </c>
      <c r="E482">
        <v>4</v>
      </c>
      <c r="F482">
        <v>1</v>
      </c>
      <c r="G482">
        <v>81</v>
      </c>
    </row>
    <row r="483" spans="1:7">
      <c r="A483">
        <v>41</v>
      </c>
      <c r="B483" s="1">
        <v>45962</v>
      </c>
      <c r="C483">
        <v>21</v>
      </c>
      <c r="D483">
        <v>11</v>
      </c>
      <c r="E483">
        <v>10</v>
      </c>
      <c r="F483">
        <v>5</v>
      </c>
      <c r="G483">
        <v>52.4</v>
      </c>
    </row>
    <row r="484" spans="1:7">
      <c r="A484">
        <v>41</v>
      </c>
      <c r="B484" s="1">
        <v>45992</v>
      </c>
      <c r="C484">
        <v>18</v>
      </c>
      <c r="D484">
        <v>18</v>
      </c>
      <c r="E484">
        <v>0</v>
      </c>
      <c r="F484">
        <v>3</v>
      </c>
      <c r="G484">
        <v>100</v>
      </c>
    </row>
    <row r="485" spans="1:7">
      <c r="A485">
        <v>41</v>
      </c>
      <c r="B485" s="1">
        <v>46023</v>
      </c>
      <c r="C485">
        <v>21</v>
      </c>
      <c r="D485">
        <v>18</v>
      </c>
      <c r="E485">
        <v>3</v>
      </c>
      <c r="F485">
        <v>5</v>
      </c>
      <c r="G485">
        <v>85.7</v>
      </c>
    </row>
    <row r="486" spans="1:7">
      <c r="A486">
        <v>41</v>
      </c>
      <c r="B486" s="1">
        <v>46054</v>
      </c>
      <c r="C486">
        <v>20</v>
      </c>
      <c r="D486">
        <v>15</v>
      </c>
      <c r="E486">
        <v>5</v>
      </c>
      <c r="F486">
        <v>5</v>
      </c>
      <c r="G486">
        <v>75</v>
      </c>
    </row>
    <row r="487" spans="1:7">
      <c r="A487">
        <v>41</v>
      </c>
      <c r="B487" s="1">
        <v>46082</v>
      </c>
      <c r="C487">
        <v>18</v>
      </c>
      <c r="D487">
        <v>15</v>
      </c>
      <c r="E487">
        <v>3</v>
      </c>
      <c r="F487">
        <v>5</v>
      </c>
      <c r="G487">
        <v>83.3</v>
      </c>
    </row>
    <row r="488" spans="1:7">
      <c r="A488">
        <v>41</v>
      </c>
      <c r="B488" s="1">
        <v>46113</v>
      </c>
      <c r="C488">
        <v>22</v>
      </c>
      <c r="D488">
        <v>20</v>
      </c>
      <c r="E488">
        <v>2</v>
      </c>
      <c r="F488">
        <v>5</v>
      </c>
      <c r="G488">
        <v>90.9</v>
      </c>
    </row>
    <row r="489" spans="1:7">
      <c r="A489">
        <v>41</v>
      </c>
      <c r="B489" s="1">
        <v>46143</v>
      </c>
      <c r="C489">
        <v>20</v>
      </c>
      <c r="D489">
        <v>17</v>
      </c>
      <c r="E489">
        <v>3</v>
      </c>
      <c r="F489">
        <v>1</v>
      </c>
      <c r="G489">
        <v>85</v>
      </c>
    </row>
    <row r="490" spans="1:7">
      <c r="A490">
        <v>41</v>
      </c>
      <c r="B490" s="1">
        <v>46174</v>
      </c>
      <c r="C490">
        <v>20</v>
      </c>
      <c r="D490">
        <v>13</v>
      </c>
      <c r="E490">
        <v>7</v>
      </c>
      <c r="F490">
        <v>1</v>
      </c>
      <c r="G490">
        <v>65</v>
      </c>
    </row>
    <row r="491" spans="1:7">
      <c r="A491">
        <v>41</v>
      </c>
      <c r="B491" s="1">
        <v>46204</v>
      </c>
      <c r="C491">
        <v>18</v>
      </c>
      <c r="D491">
        <v>17</v>
      </c>
      <c r="E491">
        <v>1</v>
      </c>
      <c r="F491">
        <v>1</v>
      </c>
      <c r="G491">
        <v>94.4</v>
      </c>
    </row>
    <row r="492" spans="1:7">
      <c r="A492">
        <v>41</v>
      </c>
      <c r="B492" s="1">
        <v>46235</v>
      </c>
      <c r="C492">
        <v>21</v>
      </c>
      <c r="D492">
        <v>18</v>
      </c>
      <c r="E492">
        <v>3</v>
      </c>
      <c r="F492">
        <v>2</v>
      </c>
      <c r="G492">
        <v>85.7</v>
      </c>
    </row>
    <row r="493" spans="1:7">
      <c r="A493">
        <v>41</v>
      </c>
      <c r="B493" s="1">
        <v>46266</v>
      </c>
      <c r="C493">
        <v>22</v>
      </c>
      <c r="D493">
        <v>17</v>
      </c>
      <c r="E493">
        <v>5</v>
      </c>
      <c r="F493">
        <v>0</v>
      </c>
      <c r="G493">
        <v>77.3</v>
      </c>
    </row>
    <row r="494" spans="1:7">
      <c r="A494">
        <v>42</v>
      </c>
      <c r="B494" s="1">
        <v>45931</v>
      </c>
      <c r="C494">
        <v>21</v>
      </c>
      <c r="D494">
        <v>18</v>
      </c>
      <c r="E494">
        <v>3</v>
      </c>
      <c r="F494">
        <v>0</v>
      </c>
      <c r="G494">
        <v>85.7</v>
      </c>
    </row>
    <row r="495" spans="1:7">
      <c r="A495">
        <v>42</v>
      </c>
      <c r="B495" s="1">
        <v>45962</v>
      </c>
      <c r="C495">
        <v>22</v>
      </c>
      <c r="D495">
        <v>20</v>
      </c>
      <c r="E495">
        <v>2</v>
      </c>
      <c r="F495">
        <v>5</v>
      </c>
      <c r="G495">
        <v>90.9</v>
      </c>
    </row>
    <row r="496" spans="1:7">
      <c r="A496">
        <v>42</v>
      </c>
      <c r="B496" s="1">
        <v>45992</v>
      </c>
      <c r="C496">
        <v>21</v>
      </c>
      <c r="D496">
        <v>19</v>
      </c>
      <c r="E496">
        <v>2</v>
      </c>
      <c r="F496">
        <v>0</v>
      </c>
      <c r="G496">
        <v>90.5</v>
      </c>
    </row>
    <row r="497" spans="1:7">
      <c r="A497">
        <v>42</v>
      </c>
      <c r="B497" s="1">
        <v>46023</v>
      </c>
      <c r="C497">
        <v>19</v>
      </c>
      <c r="D497">
        <v>17</v>
      </c>
      <c r="E497">
        <v>2</v>
      </c>
      <c r="F497">
        <v>1</v>
      </c>
      <c r="G497">
        <v>89.5</v>
      </c>
    </row>
    <row r="498" spans="1:7">
      <c r="A498">
        <v>42</v>
      </c>
      <c r="B498" s="1">
        <v>46054</v>
      </c>
      <c r="C498">
        <v>21</v>
      </c>
      <c r="D498">
        <v>16</v>
      </c>
      <c r="E498">
        <v>5</v>
      </c>
      <c r="F498">
        <v>6</v>
      </c>
      <c r="G498">
        <v>76.2</v>
      </c>
    </row>
    <row r="499" spans="1:7">
      <c r="A499">
        <v>42</v>
      </c>
      <c r="B499" s="1">
        <v>46082</v>
      </c>
      <c r="C499">
        <v>18</v>
      </c>
      <c r="D499">
        <v>14</v>
      </c>
      <c r="E499">
        <v>4</v>
      </c>
      <c r="F499">
        <v>0</v>
      </c>
      <c r="G499">
        <v>77.8</v>
      </c>
    </row>
    <row r="500" spans="1:7">
      <c r="A500">
        <v>42</v>
      </c>
      <c r="B500" s="1">
        <v>46113</v>
      </c>
      <c r="C500">
        <v>20</v>
      </c>
      <c r="D500">
        <v>19</v>
      </c>
      <c r="E500">
        <v>1</v>
      </c>
      <c r="F500">
        <v>0</v>
      </c>
      <c r="G500">
        <v>95</v>
      </c>
    </row>
    <row r="501" spans="1:7">
      <c r="A501">
        <v>42</v>
      </c>
      <c r="B501" s="1">
        <v>46143</v>
      </c>
      <c r="C501">
        <v>19</v>
      </c>
      <c r="D501">
        <v>19</v>
      </c>
      <c r="E501">
        <v>0</v>
      </c>
      <c r="F501">
        <v>3</v>
      </c>
      <c r="G501">
        <v>100</v>
      </c>
    </row>
    <row r="502" spans="1:7">
      <c r="A502">
        <v>42</v>
      </c>
      <c r="B502" s="1">
        <v>46174</v>
      </c>
      <c r="C502">
        <v>19</v>
      </c>
      <c r="D502">
        <v>17</v>
      </c>
      <c r="E502">
        <v>2</v>
      </c>
      <c r="F502">
        <v>5</v>
      </c>
      <c r="G502">
        <v>89.5</v>
      </c>
    </row>
    <row r="503" spans="1:7">
      <c r="A503">
        <v>42</v>
      </c>
      <c r="B503" s="1">
        <v>46204</v>
      </c>
      <c r="C503">
        <v>20</v>
      </c>
      <c r="D503">
        <v>15</v>
      </c>
      <c r="E503">
        <v>5</v>
      </c>
      <c r="F503">
        <v>6</v>
      </c>
      <c r="G503">
        <v>75</v>
      </c>
    </row>
    <row r="504" spans="1:7">
      <c r="A504">
        <v>42</v>
      </c>
      <c r="B504" s="1">
        <v>46235</v>
      </c>
      <c r="C504">
        <v>21</v>
      </c>
      <c r="D504">
        <v>18</v>
      </c>
      <c r="E504">
        <v>3</v>
      </c>
      <c r="F504">
        <v>3</v>
      </c>
      <c r="G504">
        <v>85.7</v>
      </c>
    </row>
    <row r="505" spans="1:7">
      <c r="A505">
        <v>42</v>
      </c>
      <c r="B505" s="1">
        <v>46266</v>
      </c>
      <c r="C505">
        <v>20</v>
      </c>
      <c r="D505">
        <v>18</v>
      </c>
      <c r="E505">
        <v>2</v>
      </c>
      <c r="F505">
        <v>5</v>
      </c>
      <c r="G505">
        <v>90</v>
      </c>
    </row>
    <row r="506" spans="1:7">
      <c r="A506">
        <v>43</v>
      </c>
      <c r="B506" s="1">
        <v>45931</v>
      </c>
      <c r="C506">
        <v>19</v>
      </c>
      <c r="D506">
        <v>18</v>
      </c>
      <c r="E506">
        <v>1</v>
      </c>
      <c r="F506">
        <v>3</v>
      </c>
      <c r="G506">
        <v>94.7</v>
      </c>
    </row>
    <row r="507" spans="1:7">
      <c r="A507">
        <v>43</v>
      </c>
      <c r="B507" s="1">
        <v>45962</v>
      </c>
      <c r="C507">
        <v>22</v>
      </c>
      <c r="D507">
        <v>20</v>
      </c>
      <c r="E507">
        <v>2</v>
      </c>
      <c r="F507">
        <v>2</v>
      </c>
      <c r="G507">
        <v>90.9</v>
      </c>
    </row>
    <row r="508" spans="1:7">
      <c r="A508">
        <v>43</v>
      </c>
      <c r="B508" s="1">
        <v>45992</v>
      </c>
      <c r="C508">
        <v>22</v>
      </c>
      <c r="D508">
        <v>21</v>
      </c>
      <c r="E508">
        <v>1</v>
      </c>
      <c r="F508">
        <v>1</v>
      </c>
      <c r="G508">
        <v>95.5</v>
      </c>
    </row>
    <row r="509" spans="1:7">
      <c r="A509">
        <v>43</v>
      </c>
      <c r="B509" s="1">
        <v>46023</v>
      </c>
      <c r="C509">
        <v>22</v>
      </c>
      <c r="D509">
        <v>22</v>
      </c>
      <c r="E509">
        <v>0</v>
      </c>
      <c r="F509">
        <v>2</v>
      </c>
      <c r="G509">
        <v>100</v>
      </c>
    </row>
    <row r="510" spans="1:7">
      <c r="A510">
        <v>43</v>
      </c>
      <c r="B510" s="1">
        <v>46054</v>
      </c>
      <c r="C510">
        <v>20</v>
      </c>
      <c r="D510">
        <v>19</v>
      </c>
      <c r="E510">
        <v>1</v>
      </c>
      <c r="F510">
        <v>4</v>
      </c>
      <c r="G510">
        <v>95</v>
      </c>
    </row>
    <row r="511" spans="1:7">
      <c r="A511">
        <v>43</v>
      </c>
      <c r="B511" s="1">
        <v>46082</v>
      </c>
      <c r="C511">
        <v>22</v>
      </c>
      <c r="D511">
        <v>22</v>
      </c>
      <c r="E511">
        <v>0</v>
      </c>
      <c r="F511">
        <v>1</v>
      </c>
      <c r="G511">
        <v>100</v>
      </c>
    </row>
    <row r="512" spans="1:7">
      <c r="A512">
        <v>43</v>
      </c>
      <c r="B512" s="1">
        <v>46113</v>
      </c>
      <c r="C512">
        <v>18</v>
      </c>
      <c r="D512">
        <v>18</v>
      </c>
      <c r="E512">
        <v>0</v>
      </c>
      <c r="F512">
        <v>2</v>
      </c>
      <c r="G512">
        <v>100</v>
      </c>
    </row>
    <row r="513" spans="1:7">
      <c r="A513">
        <v>43</v>
      </c>
      <c r="B513" s="1">
        <v>46143</v>
      </c>
      <c r="C513">
        <v>22</v>
      </c>
      <c r="D513">
        <v>21</v>
      </c>
      <c r="E513">
        <v>1</v>
      </c>
      <c r="F513">
        <v>2</v>
      </c>
      <c r="G513">
        <v>95.5</v>
      </c>
    </row>
    <row r="514" spans="1:7">
      <c r="A514">
        <v>43</v>
      </c>
      <c r="B514" s="1">
        <v>46174</v>
      </c>
      <c r="C514">
        <v>21</v>
      </c>
      <c r="D514">
        <v>17</v>
      </c>
      <c r="E514">
        <v>4</v>
      </c>
      <c r="F514">
        <v>3</v>
      </c>
      <c r="G514">
        <v>81</v>
      </c>
    </row>
    <row r="515" spans="1:7">
      <c r="A515">
        <v>43</v>
      </c>
      <c r="B515" s="1">
        <v>46204</v>
      </c>
      <c r="C515">
        <v>19</v>
      </c>
      <c r="D515">
        <v>18</v>
      </c>
      <c r="E515">
        <v>1</v>
      </c>
      <c r="F515">
        <v>0</v>
      </c>
      <c r="G515">
        <v>94.7</v>
      </c>
    </row>
    <row r="516" spans="1:7">
      <c r="A516">
        <v>43</v>
      </c>
      <c r="B516" s="1">
        <v>46235</v>
      </c>
      <c r="C516">
        <v>22</v>
      </c>
      <c r="D516">
        <v>19</v>
      </c>
      <c r="E516">
        <v>3</v>
      </c>
      <c r="F516">
        <v>1</v>
      </c>
      <c r="G516">
        <v>86.4</v>
      </c>
    </row>
    <row r="517" spans="1:7">
      <c r="A517">
        <v>43</v>
      </c>
      <c r="B517" s="1">
        <v>46266</v>
      </c>
      <c r="C517">
        <v>20</v>
      </c>
      <c r="D517">
        <v>20</v>
      </c>
      <c r="E517">
        <v>0</v>
      </c>
      <c r="F517">
        <v>0</v>
      </c>
      <c r="G517">
        <v>100</v>
      </c>
    </row>
    <row r="518" spans="1:7">
      <c r="A518">
        <v>44</v>
      </c>
      <c r="B518" s="1">
        <v>45931</v>
      </c>
      <c r="C518">
        <v>22</v>
      </c>
      <c r="D518">
        <v>20</v>
      </c>
      <c r="E518">
        <v>2</v>
      </c>
      <c r="F518">
        <v>5</v>
      </c>
      <c r="G518">
        <v>90.9</v>
      </c>
    </row>
    <row r="519" spans="1:7">
      <c r="A519">
        <v>44</v>
      </c>
      <c r="B519" s="1">
        <v>45962</v>
      </c>
      <c r="C519">
        <v>21</v>
      </c>
      <c r="D519">
        <v>20</v>
      </c>
      <c r="E519">
        <v>1</v>
      </c>
      <c r="F519">
        <v>4</v>
      </c>
      <c r="G519">
        <v>95.2</v>
      </c>
    </row>
    <row r="520" spans="1:7">
      <c r="A520">
        <v>44</v>
      </c>
      <c r="B520" s="1">
        <v>45992</v>
      </c>
      <c r="C520">
        <v>19</v>
      </c>
      <c r="D520">
        <v>18</v>
      </c>
      <c r="E520">
        <v>1</v>
      </c>
      <c r="F520">
        <v>2</v>
      </c>
      <c r="G520">
        <v>94.7</v>
      </c>
    </row>
    <row r="521" spans="1:7">
      <c r="A521">
        <v>44</v>
      </c>
      <c r="B521" s="1">
        <v>46023</v>
      </c>
      <c r="C521">
        <v>18</v>
      </c>
      <c r="D521">
        <v>17</v>
      </c>
      <c r="E521">
        <v>1</v>
      </c>
      <c r="F521">
        <v>0</v>
      </c>
      <c r="G521">
        <v>94.4</v>
      </c>
    </row>
    <row r="522" spans="1:7">
      <c r="A522">
        <v>44</v>
      </c>
      <c r="B522" s="1">
        <v>46054</v>
      </c>
      <c r="C522">
        <v>22</v>
      </c>
      <c r="D522">
        <v>20</v>
      </c>
      <c r="E522">
        <v>2</v>
      </c>
      <c r="F522">
        <v>1</v>
      </c>
      <c r="G522">
        <v>90.9</v>
      </c>
    </row>
    <row r="523" spans="1:7">
      <c r="A523">
        <v>44</v>
      </c>
      <c r="B523" s="1">
        <v>46082</v>
      </c>
      <c r="C523">
        <v>19</v>
      </c>
      <c r="D523">
        <v>18</v>
      </c>
      <c r="E523">
        <v>1</v>
      </c>
      <c r="F523">
        <v>0</v>
      </c>
      <c r="G523">
        <v>94.7</v>
      </c>
    </row>
    <row r="524" spans="1:7">
      <c r="A524">
        <v>44</v>
      </c>
      <c r="B524" s="1">
        <v>46113</v>
      </c>
      <c r="C524">
        <v>19</v>
      </c>
      <c r="D524">
        <v>16</v>
      </c>
      <c r="E524">
        <v>3</v>
      </c>
      <c r="F524">
        <v>0</v>
      </c>
      <c r="G524">
        <v>84.2</v>
      </c>
    </row>
    <row r="525" spans="1:7">
      <c r="A525">
        <v>44</v>
      </c>
      <c r="B525" s="1">
        <v>46143</v>
      </c>
      <c r="C525">
        <v>22</v>
      </c>
      <c r="D525">
        <v>19</v>
      </c>
      <c r="E525">
        <v>3</v>
      </c>
      <c r="F525">
        <v>5</v>
      </c>
      <c r="G525">
        <v>86.4</v>
      </c>
    </row>
    <row r="526" spans="1:7">
      <c r="A526">
        <v>44</v>
      </c>
      <c r="B526" s="1">
        <v>46174</v>
      </c>
      <c r="C526">
        <v>21</v>
      </c>
      <c r="D526">
        <v>20</v>
      </c>
      <c r="E526">
        <v>1</v>
      </c>
      <c r="F526">
        <v>4</v>
      </c>
      <c r="G526">
        <v>95.2</v>
      </c>
    </row>
    <row r="527" spans="1:7">
      <c r="A527">
        <v>44</v>
      </c>
      <c r="B527" s="1">
        <v>46204</v>
      </c>
      <c r="C527">
        <v>20</v>
      </c>
      <c r="D527">
        <v>20</v>
      </c>
      <c r="E527">
        <v>0</v>
      </c>
      <c r="F527">
        <v>0</v>
      </c>
      <c r="G527">
        <v>100</v>
      </c>
    </row>
    <row r="528" spans="1:7">
      <c r="A528">
        <v>44</v>
      </c>
      <c r="B528" s="1">
        <v>46235</v>
      </c>
      <c r="C528">
        <v>20</v>
      </c>
      <c r="D528">
        <v>18</v>
      </c>
      <c r="E528">
        <v>2</v>
      </c>
      <c r="F528">
        <v>0</v>
      </c>
      <c r="G528">
        <v>90</v>
      </c>
    </row>
    <row r="529" spans="1:7">
      <c r="A529">
        <v>44</v>
      </c>
      <c r="B529" s="1">
        <v>46266</v>
      </c>
      <c r="C529">
        <v>19</v>
      </c>
      <c r="D529">
        <v>14</v>
      </c>
      <c r="E529">
        <v>5</v>
      </c>
      <c r="F529">
        <v>5</v>
      </c>
      <c r="G529">
        <v>73.7</v>
      </c>
    </row>
    <row r="530" spans="1:7">
      <c r="A530">
        <v>45</v>
      </c>
      <c r="B530" s="1">
        <v>45931</v>
      </c>
      <c r="C530">
        <v>21</v>
      </c>
      <c r="D530">
        <v>10</v>
      </c>
      <c r="E530">
        <v>11</v>
      </c>
      <c r="F530">
        <v>3</v>
      </c>
      <c r="G530">
        <v>47.6</v>
      </c>
    </row>
    <row r="531" spans="1:7">
      <c r="A531">
        <v>45</v>
      </c>
      <c r="B531" s="1">
        <v>45962</v>
      </c>
      <c r="C531">
        <v>18</v>
      </c>
      <c r="D531">
        <v>11</v>
      </c>
      <c r="E531">
        <v>7</v>
      </c>
      <c r="F531">
        <v>2</v>
      </c>
      <c r="G531">
        <v>61.1</v>
      </c>
    </row>
    <row r="532" spans="1:7">
      <c r="A532">
        <v>45</v>
      </c>
      <c r="B532" s="1">
        <v>45992</v>
      </c>
      <c r="C532">
        <v>22</v>
      </c>
      <c r="D532">
        <v>13</v>
      </c>
      <c r="E532">
        <v>9</v>
      </c>
      <c r="F532">
        <v>6</v>
      </c>
      <c r="G532">
        <v>59.1</v>
      </c>
    </row>
    <row r="533" spans="1:7">
      <c r="A533">
        <v>45</v>
      </c>
      <c r="B533" s="1">
        <v>46023</v>
      </c>
      <c r="C533">
        <v>20</v>
      </c>
      <c r="D533">
        <v>16</v>
      </c>
      <c r="E533">
        <v>4</v>
      </c>
      <c r="F533">
        <v>6</v>
      </c>
      <c r="G533">
        <v>80</v>
      </c>
    </row>
    <row r="534" spans="1:7">
      <c r="A534">
        <v>45</v>
      </c>
      <c r="B534" s="1">
        <v>46054</v>
      </c>
      <c r="C534">
        <v>18</v>
      </c>
      <c r="D534">
        <v>10</v>
      </c>
      <c r="E534">
        <v>8</v>
      </c>
      <c r="F534">
        <v>0</v>
      </c>
      <c r="G534">
        <v>55.6</v>
      </c>
    </row>
    <row r="535" spans="1:7">
      <c r="A535">
        <v>45</v>
      </c>
      <c r="B535" s="1">
        <v>46082</v>
      </c>
      <c r="C535">
        <v>18</v>
      </c>
      <c r="D535">
        <v>11</v>
      </c>
      <c r="E535">
        <v>7</v>
      </c>
      <c r="F535">
        <v>6</v>
      </c>
      <c r="G535">
        <v>61.1</v>
      </c>
    </row>
    <row r="536" spans="1:7">
      <c r="A536">
        <v>45</v>
      </c>
      <c r="B536" s="1">
        <v>46113</v>
      </c>
      <c r="C536">
        <v>20</v>
      </c>
      <c r="D536">
        <v>10</v>
      </c>
      <c r="E536">
        <v>10</v>
      </c>
      <c r="F536">
        <v>4</v>
      </c>
      <c r="G536">
        <v>50</v>
      </c>
    </row>
    <row r="537" spans="1:7">
      <c r="A537">
        <v>45</v>
      </c>
      <c r="B537" s="1">
        <v>46143</v>
      </c>
      <c r="C537">
        <v>18</v>
      </c>
      <c r="D537">
        <v>10</v>
      </c>
      <c r="E537">
        <v>8</v>
      </c>
      <c r="F537">
        <v>0</v>
      </c>
      <c r="G537">
        <v>55.6</v>
      </c>
    </row>
    <row r="538" spans="1:7">
      <c r="A538">
        <v>45</v>
      </c>
      <c r="B538" s="1">
        <v>46174</v>
      </c>
      <c r="C538">
        <v>19</v>
      </c>
      <c r="D538">
        <v>12</v>
      </c>
      <c r="E538">
        <v>7</v>
      </c>
      <c r="F538">
        <v>4</v>
      </c>
      <c r="G538">
        <v>63.2</v>
      </c>
    </row>
    <row r="539" spans="1:7">
      <c r="A539">
        <v>45</v>
      </c>
      <c r="B539" s="1">
        <v>46204</v>
      </c>
      <c r="C539">
        <v>19</v>
      </c>
      <c r="D539">
        <v>11</v>
      </c>
      <c r="E539">
        <v>8</v>
      </c>
      <c r="F539">
        <v>4</v>
      </c>
      <c r="G539">
        <v>57.9</v>
      </c>
    </row>
    <row r="540" spans="1:7">
      <c r="A540">
        <v>45</v>
      </c>
      <c r="B540" s="1">
        <v>46235</v>
      </c>
      <c r="C540">
        <v>19</v>
      </c>
      <c r="D540">
        <v>13</v>
      </c>
      <c r="E540">
        <v>6</v>
      </c>
      <c r="F540">
        <v>5</v>
      </c>
      <c r="G540">
        <v>68.400000000000006</v>
      </c>
    </row>
    <row r="541" spans="1:7">
      <c r="A541">
        <v>45</v>
      </c>
      <c r="B541" s="1">
        <v>46266</v>
      </c>
      <c r="C541">
        <v>18</v>
      </c>
      <c r="D541">
        <v>10</v>
      </c>
      <c r="E541">
        <v>8</v>
      </c>
      <c r="F541">
        <v>6</v>
      </c>
      <c r="G541">
        <v>55.6</v>
      </c>
    </row>
    <row r="542" spans="1:7">
      <c r="A542">
        <v>46</v>
      </c>
      <c r="B542" s="1">
        <v>45931</v>
      </c>
      <c r="C542">
        <v>22</v>
      </c>
      <c r="D542">
        <v>22</v>
      </c>
      <c r="E542">
        <v>0</v>
      </c>
      <c r="F542">
        <v>3</v>
      </c>
      <c r="G542">
        <v>100</v>
      </c>
    </row>
    <row r="543" spans="1:7">
      <c r="A543">
        <v>46</v>
      </c>
      <c r="B543" s="1">
        <v>45962</v>
      </c>
      <c r="C543">
        <v>18</v>
      </c>
      <c r="D543">
        <v>15</v>
      </c>
      <c r="E543">
        <v>3</v>
      </c>
      <c r="F543">
        <v>1</v>
      </c>
      <c r="G543">
        <v>83.3</v>
      </c>
    </row>
    <row r="544" spans="1:7">
      <c r="A544">
        <v>46</v>
      </c>
      <c r="B544" s="1">
        <v>45992</v>
      </c>
      <c r="C544">
        <v>19</v>
      </c>
      <c r="D544">
        <v>19</v>
      </c>
      <c r="E544">
        <v>0</v>
      </c>
      <c r="F544">
        <v>1</v>
      </c>
      <c r="G544">
        <v>100</v>
      </c>
    </row>
    <row r="545" spans="1:7">
      <c r="A545">
        <v>46</v>
      </c>
      <c r="B545" s="1">
        <v>46023</v>
      </c>
      <c r="C545">
        <v>22</v>
      </c>
      <c r="D545">
        <v>21</v>
      </c>
      <c r="E545">
        <v>1</v>
      </c>
      <c r="F545">
        <v>4</v>
      </c>
      <c r="G545">
        <v>95.5</v>
      </c>
    </row>
    <row r="546" spans="1:7">
      <c r="A546">
        <v>46</v>
      </c>
      <c r="B546" s="1">
        <v>46054</v>
      </c>
      <c r="C546">
        <v>21</v>
      </c>
      <c r="D546">
        <v>16</v>
      </c>
      <c r="E546">
        <v>5</v>
      </c>
      <c r="F546">
        <v>4</v>
      </c>
      <c r="G546">
        <v>76.2</v>
      </c>
    </row>
    <row r="547" spans="1:7">
      <c r="A547">
        <v>46</v>
      </c>
      <c r="B547" s="1">
        <v>46082</v>
      </c>
      <c r="C547">
        <v>20</v>
      </c>
      <c r="D547">
        <v>20</v>
      </c>
      <c r="E547">
        <v>0</v>
      </c>
      <c r="F547">
        <v>2</v>
      </c>
      <c r="G547">
        <v>100</v>
      </c>
    </row>
    <row r="548" spans="1:7">
      <c r="A548">
        <v>46</v>
      </c>
      <c r="B548" s="1">
        <v>46113</v>
      </c>
      <c r="C548">
        <v>21</v>
      </c>
      <c r="D548">
        <v>19</v>
      </c>
      <c r="E548">
        <v>2</v>
      </c>
      <c r="F548">
        <v>5</v>
      </c>
      <c r="G548">
        <v>90.5</v>
      </c>
    </row>
    <row r="549" spans="1:7">
      <c r="A549">
        <v>46</v>
      </c>
      <c r="B549" s="1">
        <v>46143</v>
      </c>
      <c r="C549">
        <v>20</v>
      </c>
      <c r="D549">
        <v>20</v>
      </c>
      <c r="E549">
        <v>0</v>
      </c>
      <c r="F549">
        <v>1</v>
      </c>
      <c r="G549">
        <v>100</v>
      </c>
    </row>
    <row r="550" spans="1:7">
      <c r="A550">
        <v>46</v>
      </c>
      <c r="B550" s="1">
        <v>46174</v>
      </c>
      <c r="C550">
        <v>22</v>
      </c>
      <c r="D550">
        <v>22</v>
      </c>
      <c r="E550">
        <v>0</v>
      </c>
      <c r="F550">
        <v>2</v>
      </c>
      <c r="G550">
        <v>100</v>
      </c>
    </row>
    <row r="551" spans="1:7">
      <c r="A551">
        <v>46</v>
      </c>
      <c r="B551" s="1">
        <v>46204</v>
      </c>
      <c r="C551">
        <v>20</v>
      </c>
      <c r="D551">
        <v>19</v>
      </c>
      <c r="E551">
        <v>1</v>
      </c>
      <c r="F551">
        <v>3</v>
      </c>
      <c r="G551">
        <v>95</v>
      </c>
    </row>
    <row r="552" spans="1:7">
      <c r="A552">
        <v>46</v>
      </c>
      <c r="B552" s="1">
        <v>46235</v>
      </c>
      <c r="C552">
        <v>21</v>
      </c>
      <c r="D552">
        <v>19</v>
      </c>
      <c r="E552">
        <v>2</v>
      </c>
      <c r="F552">
        <v>0</v>
      </c>
      <c r="G552">
        <v>90.5</v>
      </c>
    </row>
    <row r="553" spans="1:7">
      <c r="A553">
        <v>46</v>
      </c>
      <c r="B553" s="1">
        <v>46266</v>
      </c>
      <c r="C553">
        <v>20</v>
      </c>
      <c r="D553">
        <v>19</v>
      </c>
      <c r="E553">
        <v>1</v>
      </c>
      <c r="F553">
        <v>4</v>
      </c>
      <c r="G553">
        <v>95</v>
      </c>
    </row>
    <row r="554" spans="1:7">
      <c r="A554">
        <v>47</v>
      </c>
      <c r="B554" s="1">
        <v>45931</v>
      </c>
      <c r="C554">
        <v>18</v>
      </c>
      <c r="D554">
        <v>18</v>
      </c>
      <c r="E554">
        <v>0</v>
      </c>
      <c r="F554">
        <v>2</v>
      </c>
      <c r="G554">
        <v>100</v>
      </c>
    </row>
    <row r="555" spans="1:7">
      <c r="A555">
        <v>47</v>
      </c>
      <c r="B555" s="1">
        <v>45962</v>
      </c>
      <c r="C555">
        <v>18</v>
      </c>
      <c r="D555">
        <v>18</v>
      </c>
      <c r="E555">
        <v>0</v>
      </c>
      <c r="F555">
        <v>2</v>
      </c>
      <c r="G555">
        <v>100</v>
      </c>
    </row>
    <row r="556" spans="1:7">
      <c r="A556">
        <v>47</v>
      </c>
      <c r="B556" s="1">
        <v>45992</v>
      </c>
      <c r="C556">
        <v>19</v>
      </c>
      <c r="D556">
        <v>19</v>
      </c>
      <c r="E556">
        <v>0</v>
      </c>
      <c r="F556">
        <v>2</v>
      </c>
      <c r="G556">
        <v>100</v>
      </c>
    </row>
    <row r="557" spans="1:7">
      <c r="A557">
        <v>47</v>
      </c>
      <c r="B557" s="1">
        <v>46023</v>
      </c>
      <c r="C557">
        <v>22</v>
      </c>
      <c r="D557">
        <v>20</v>
      </c>
      <c r="E557">
        <v>2</v>
      </c>
      <c r="F557">
        <v>4</v>
      </c>
      <c r="G557">
        <v>90.9</v>
      </c>
    </row>
    <row r="558" spans="1:7">
      <c r="A558">
        <v>47</v>
      </c>
      <c r="B558" s="1">
        <v>46054</v>
      </c>
      <c r="C558">
        <v>22</v>
      </c>
      <c r="D558">
        <v>22</v>
      </c>
      <c r="E558">
        <v>0</v>
      </c>
      <c r="F558">
        <v>0</v>
      </c>
      <c r="G558">
        <v>100</v>
      </c>
    </row>
    <row r="559" spans="1:7">
      <c r="A559">
        <v>47</v>
      </c>
      <c r="B559" s="1">
        <v>46082</v>
      </c>
      <c r="C559">
        <v>18</v>
      </c>
      <c r="D559">
        <v>18</v>
      </c>
      <c r="E559">
        <v>0</v>
      </c>
      <c r="F559">
        <v>3</v>
      </c>
      <c r="G559">
        <v>100</v>
      </c>
    </row>
    <row r="560" spans="1:7">
      <c r="A560">
        <v>47</v>
      </c>
      <c r="B560" s="1">
        <v>46113</v>
      </c>
      <c r="C560">
        <v>20</v>
      </c>
      <c r="D560">
        <v>19</v>
      </c>
      <c r="E560">
        <v>1</v>
      </c>
      <c r="F560">
        <v>4</v>
      </c>
      <c r="G560">
        <v>95</v>
      </c>
    </row>
    <row r="561" spans="1:7">
      <c r="A561">
        <v>47</v>
      </c>
      <c r="B561" s="1">
        <v>46143</v>
      </c>
      <c r="C561">
        <v>19</v>
      </c>
      <c r="D561">
        <v>18</v>
      </c>
      <c r="E561">
        <v>1</v>
      </c>
      <c r="F561">
        <v>1</v>
      </c>
      <c r="G561">
        <v>94.7</v>
      </c>
    </row>
    <row r="562" spans="1:7">
      <c r="A562">
        <v>47</v>
      </c>
      <c r="B562" s="1">
        <v>46174</v>
      </c>
      <c r="C562">
        <v>20</v>
      </c>
      <c r="D562">
        <v>20</v>
      </c>
      <c r="E562">
        <v>0</v>
      </c>
      <c r="F562">
        <v>3</v>
      </c>
      <c r="G562">
        <v>100</v>
      </c>
    </row>
    <row r="563" spans="1:7">
      <c r="A563">
        <v>47</v>
      </c>
      <c r="B563" s="1">
        <v>46204</v>
      </c>
      <c r="C563">
        <v>22</v>
      </c>
      <c r="D563">
        <v>22</v>
      </c>
      <c r="E563">
        <v>0</v>
      </c>
      <c r="F563">
        <v>1</v>
      </c>
      <c r="G563">
        <v>100</v>
      </c>
    </row>
    <row r="564" spans="1:7">
      <c r="A564">
        <v>47</v>
      </c>
      <c r="B564" s="1">
        <v>46235</v>
      </c>
      <c r="C564">
        <v>18</v>
      </c>
      <c r="D564">
        <v>18</v>
      </c>
      <c r="E564">
        <v>0</v>
      </c>
      <c r="F564">
        <v>1</v>
      </c>
      <c r="G564">
        <v>100</v>
      </c>
    </row>
    <row r="565" spans="1:7">
      <c r="A565">
        <v>47</v>
      </c>
      <c r="B565" s="1">
        <v>46266</v>
      </c>
      <c r="C565">
        <v>21</v>
      </c>
      <c r="D565">
        <v>21</v>
      </c>
      <c r="E565">
        <v>0</v>
      </c>
      <c r="F565">
        <v>0</v>
      </c>
      <c r="G565">
        <v>100</v>
      </c>
    </row>
    <row r="566" spans="1:7">
      <c r="A566">
        <v>48</v>
      </c>
      <c r="B566" s="1">
        <v>45931</v>
      </c>
      <c r="C566">
        <v>22</v>
      </c>
      <c r="D566">
        <v>22</v>
      </c>
      <c r="E566">
        <v>0</v>
      </c>
      <c r="F566">
        <v>3</v>
      </c>
      <c r="G566">
        <v>100</v>
      </c>
    </row>
    <row r="567" spans="1:7">
      <c r="A567">
        <v>48</v>
      </c>
      <c r="B567" s="1">
        <v>45962</v>
      </c>
      <c r="C567">
        <v>18</v>
      </c>
      <c r="D567">
        <v>18</v>
      </c>
      <c r="E567">
        <v>0</v>
      </c>
      <c r="F567">
        <v>0</v>
      </c>
      <c r="G567">
        <v>100</v>
      </c>
    </row>
    <row r="568" spans="1:7">
      <c r="A568">
        <v>48</v>
      </c>
      <c r="B568" s="1">
        <v>45992</v>
      </c>
      <c r="C568">
        <v>20</v>
      </c>
      <c r="D568">
        <v>20</v>
      </c>
      <c r="E568">
        <v>0</v>
      </c>
      <c r="F568">
        <v>3</v>
      </c>
      <c r="G568">
        <v>100</v>
      </c>
    </row>
    <row r="569" spans="1:7">
      <c r="A569">
        <v>48</v>
      </c>
      <c r="B569" s="1">
        <v>46023</v>
      </c>
      <c r="C569">
        <v>18</v>
      </c>
      <c r="D569">
        <v>15</v>
      </c>
      <c r="E569">
        <v>3</v>
      </c>
      <c r="F569">
        <v>6</v>
      </c>
      <c r="G569">
        <v>83.3</v>
      </c>
    </row>
    <row r="570" spans="1:7">
      <c r="A570">
        <v>48</v>
      </c>
      <c r="B570" s="1">
        <v>46054</v>
      </c>
      <c r="C570">
        <v>19</v>
      </c>
      <c r="D570">
        <v>19</v>
      </c>
      <c r="E570">
        <v>0</v>
      </c>
      <c r="F570">
        <v>0</v>
      </c>
      <c r="G570">
        <v>100</v>
      </c>
    </row>
    <row r="571" spans="1:7">
      <c r="A571">
        <v>48</v>
      </c>
      <c r="B571" s="1">
        <v>46082</v>
      </c>
      <c r="C571">
        <v>21</v>
      </c>
      <c r="D571">
        <v>21</v>
      </c>
      <c r="E571">
        <v>0</v>
      </c>
      <c r="F571">
        <v>0</v>
      </c>
      <c r="G571">
        <v>100</v>
      </c>
    </row>
    <row r="572" spans="1:7">
      <c r="A572">
        <v>48</v>
      </c>
      <c r="B572" s="1">
        <v>46113</v>
      </c>
      <c r="C572">
        <v>20</v>
      </c>
      <c r="D572">
        <v>20</v>
      </c>
      <c r="E572">
        <v>0</v>
      </c>
      <c r="F572">
        <v>1</v>
      </c>
      <c r="G572">
        <v>100</v>
      </c>
    </row>
    <row r="573" spans="1:7">
      <c r="A573">
        <v>48</v>
      </c>
      <c r="B573" s="1">
        <v>46143</v>
      </c>
      <c r="C573">
        <v>20</v>
      </c>
      <c r="D573">
        <v>20</v>
      </c>
      <c r="E573">
        <v>0</v>
      </c>
      <c r="F573">
        <v>1</v>
      </c>
      <c r="G573">
        <v>100</v>
      </c>
    </row>
    <row r="574" spans="1:7">
      <c r="A574">
        <v>48</v>
      </c>
      <c r="B574" s="1">
        <v>46174</v>
      </c>
      <c r="C574">
        <v>19</v>
      </c>
      <c r="D574">
        <v>16</v>
      </c>
      <c r="E574">
        <v>3</v>
      </c>
      <c r="F574">
        <v>3</v>
      </c>
      <c r="G574">
        <v>84.2</v>
      </c>
    </row>
    <row r="575" spans="1:7">
      <c r="A575">
        <v>48</v>
      </c>
      <c r="B575" s="1">
        <v>46204</v>
      </c>
      <c r="C575">
        <v>21</v>
      </c>
      <c r="D575">
        <v>20</v>
      </c>
      <c r="E575">
        <v>1</v>
      </c>
      <c r="F575">
        <v>4</v>
      </c>
      <c r="G575">
        <v>95.2</v>
      </c>
    </row>
    <row r="576" spans="1:7">
      <c r="A576">
        <v>48</v>
      </c>
      <c r="B576" s="1">
        <v>46235</v>
      </c>
      <c r="C576">
        <v>22</v>
      </c>
      <c r="D576">
        <v>22</v>
      </c>
      <c r="E576">
        <v>0</v>
      </c>
      <c r="F576">
        <v>2</v>
      </c>
      <c r="G576">
        <v>100</v>
      </c>
    </row>
    <row r="577" spans="1:7">
      <c r="A577">
        <v>48</v>
      </c>
      <c r="B577" s="1">
        <v>46266</v>
      </c>
      <c r="C577">
        <v>21</v>
      </c>
      <c r="D577">
        <v>21</v>
      </c>
      <c r="E577">
        <v>0</v>
      </c>
      <c r="F577">
        <v>1</v>
      </c>
      <c r="G577">
        <v>100</v>
      </c>
    </row>
    <row r="578" spans="1:7">
      <c r="A578">
        <v>49</v>
      </c>
      <c r="B578" s="1">
        <v>45931</v>
      </c>
      <c r="C578">
        <v>19</v>
      </c>
      <c r="D578">
        <v>19</v>
      </c>
      <c r="E578">
        <v>0</v>
      </c>
      <c r="F578">
        <v>0</v>
      </c>
      <c r="G578">
        <v>100</v>
      </c>
    </row>
    <row r="579" spans="1:7">
      <c r="A579">
        <v>49</v>
      </c>
      <c r="B579" s="1">
        <v>45962</v>
      </c>
      <c r="C579">
        <v>22</v>
      </c>
      <c r="D579">
        <v>21</v>
      </c>
      <c r="E579">
        <v>1</v>
      </c>
      <c r="F579">
        <v>3</v>
      </c>
      <c r="G579">
        <v>95.5</v>
      </c>
    </row>
    <row r="580" spans="1:7">
      <c r="A580">
        <v>49</v>
      </c>
      <c r="B580" s="1">
        <v>45992</v>
      </c>
      <c r="C580">
        <v>20</v>
      </c>
      <c r="D580">
        <v>18</v>
      </c>
      <c r="E580">
        <v>2</v>
      </c>
      <c r="F580">
        <v>5</v>
      </c>
      <c r="G580">
        <v>90</v>
      </c>
    </row>
    <row r="581" spans="1:7">
      <c r="A581">
        <v>49</v>
      </c>
      <c r="B581" s="1">
        <v>46023</v>
      </c>
      <c r="C581">
        <v>19</v>
      </c>
      <c r="D581">
        <v>18</v>
      </c>
      <c r="E581">
        <v>1</v>
      </c>
      <c r="F581">
        <v>1</v>
      </c>
      <c r="G581">
        <v>94.7</v>
      </c>
    </row>
    <row r="582" spans="1:7">
      <c r="A582">
        <v>49</v>
      </c>
      <c r="B582" s="1">
        <v>46054</v>
      </c>
      <c r="C582">
        <v>21</v>
      </c>
      <c r="D582">
        <v>21</v>
      </c>
      <c r="E582">
        <v>0</v>
      </c>
      <c r="F582">
        <v>1</v>
      </c>
      <c r="G582">
        <v>100</v>
      </c>
    </row>
    <row r="583" spans="1:7">
      <c r="A583">
        <v>49</v>
      </c>
      <c r="B583" s="1">
        <v>46082</v>
      </c>
      <c r="C583">
        <v>22</v>
      </c>
      <c r="D583">
        <v>22</v>
      </c>
      <c r="E583">
        <v>0</v>
      </c>
      <c r="F583">
        <v>1</v>
      </c>
      <c r="G583">
        <v>100</v>
      </c>
    </row>
    <row r="584" spans="1:7">
      <c r="A584">
        <v>49</v>
      </c>
      <c r="B584" s="1">
        <v>46113</v>
      </c>
      <c r="C584">
        <v>19</v>
      </c>
      <c r="D584">
        <v>16</v>
      </c>
      <c r="E584">
        <v>3</v>
      </c>
      <c r="F584">
        <v>2</v>
      </c>
      <c r="G584">
        <v>84.2</v>
      </c>
    </row>
    <row r="585" spans="1:7">
      <c r="A585">
        <v>49</v>
      </c>
      <c r="B585" s="1">
        <v>46143</v>
      </c>
      <c r="C585">
        <v>22</v>
      </c>
      <c r="D585">
        <v>21</v>
      </c>
      <c r="E585">
        <v>1</v>
      </c>
      <c r="F585">
        <v>0</v>
      </c>
      <c r="G585">
        <v>95.5</v>
      </c>
    </row>
    <row r="586" spans="1:7">
      <c r="A586">
        <v>49</v>
      </c>
      <c r="B586" s="1">
        <v>46174</v>
      </c>
      <c r="C586">
        <v>18</v>
      </c>
      <c r="D586">
        <v>18</v>
      </c>
      <c r="E586">
        <v>0</v>
      </c>
      <c r="F586">
        <v>2</v>
      </c>
      <c r="G586">
        <v>100</v>
      </c>
    </row>
    <row r="587" spans="1:7">
      <c r="A587">
        <v>49</v>
      </c>
      <c r="B587" s="1">
        <v>46204</v>
      </c>
      <c r="C587">
        <v>19</v>
      </c>
      <c r="D587">
        <v>19</v>
      </c>
      <c r="E587">
        <v>0</v>
      </c>
      <c r="F587">
        <v>2</v>
      </c>
      <c r="G587">
        <v>100</v>
      </c>
    </row>
    <row r="588" spans="1:7">
      <c r="A588">
        <v>49</v>
      </c>
      <c r="B588" s="1">
        <v>46235</v>
      </c>
      <c r="C588">
        <v>20</v>
      </c>
      <c r="D588">
        <v>20</v>
      </c>
      <c r="E588">
        <v>0</v>
      </c>
      <c r="F588">
        <v>2</v>
      </c>
      <c r="G588">
        <v>100</v>
      </c>
    </row>
    <row r="589" spans="1:7">
      <c r="A589">
        <v>49</v>
      </c>
      <c r="B589" s="1">
        <v>46266</v>
      </c>
      <c r="C589">
        <v>19</v>
      </c>
      <c r="D589">
        <v>19</v>
      </c>
      <c r="E589">
        <v>0</v>
      </c>
      <c r="F589">
        <v>2</v>
      </c>
      <c r="G589">
        <v>100</v>
      </c>
    </row>
    <row r="590" spans="1:7">
      <c r="A590">
        <v>50</v>
      </c>
      <c r="B590" s="1">
        <v>45931</v>
      </c>
      <c r="C590">
        <v>22</v>
      </c>
      <c r="D590">
        <v>13</v>
      </c>
      <c r="E590">
        <v>9</v>
      </c>
      <c r="F590">
        <v>4</v>
      </c>
      <c r="G590">
        <v>59.1</v>
      </c>
    </row>
    <row r="591" spans="1:7">
      <c r="A591">
        <v>50</v>
      </c>
      <c r="B591" s="1">
        <v>45962</v>
      </c>
      <c r="C591">
        <v>19</v>
      </c>
      <c r="D591">
        <v>15</v>
      </c>
      <c r="E591">
        <v>4</v>
      </c>
      <c r="F591">
        <v>3</v>
      </c>
      <c r="G591">
        <v>78.900000000000006</v>
      </c>
    </row>
    <row r="592" spans="1:7">
      <c r="A592">
        <v>50</v>
      </c>
      <c r="B592" s="1">
        <v>45992</v>
      </c>
      <c r="C592">
        <v>18</v>
      </c>
      <c r="D592">
        <v>10</v>
      </c>
      <c r="E592">
        <v>8</v>
      </c>
      <c r="F592">
        <v>5</v>
      </c>
      <c r="G592">
        <v>55.6</v>
      </c>
    </row>
    <row r="593" spans="1:7">
      <c r="A593">
        <v>50</v>
      </c>
      <c r="B593" s="1">
        <v>46023</v>
      </c>
      <c r="C593">
        <v>20</v>
      </c>
      <c r="D593">
        <v>14</v>
      </c>
      <c r="E593">
        <v>6</v>
      </c>
      <c r="F593">
        <v>1</v>
      </c>
      <c r="G593">
        <v>70</v>
      </c>
    </row>
    <row r="594" spans="1:7">
      <c r="A594">
        <v>50</v>
      </c>
      <c r="B594" s="1">
        <v>46054</v>
      </c>
      <c r="C594">
        <v>18</v>
      </c>
      <c r="D594">
        <v>10</v>
      </c>
      <c r="E594">
        <v>8</v>
      </c>
      <c r="F594">
        <v>4</v>
      </c>
      <c r="G594">
        <v>55.6</v>
      </c>
    </row>
    <row r="595" spans="1:7">
      <c r="A595">
        <v>50</v>
      </c>
      <c r="B595" s="1">
        <v>46082</v>
      </c>
      <c r="C595">
        <v>19</v>
      </c>
      <c r="D595">
        <v>11</v>
      </c>
      <c r="E595">
        <v>8</v>
      </c>
      <c r="F595">
        <v>6</v>
      </c>
      <c r="G595">
        <v>57.9</v>
      </c>
    </row>
    <row r="596" spans="1:7">
      <c r="A596">
        <v>50</v>
      </c>
      <c r="B596" s="1">
        <v>46113</v>
      </c>
      <c r="C596">
        <v>20</v>
      </c>
      <c r="D596">
        <v>10</v>
      </c>
      <c r="E596">
        <v>10</v>
      </c>
      <c r="F596">
        <v>0</v>
      </c>
      <c r="G596">
        <v>50</v>
      </c>
    </row>
    <row r="597" spans="1:7">
      <c r="A597">
        <v>50</v>
      </c>
      <c r="B597" s="1">
        <v>46143</v>
      </c>
      <c r="C597">
        <v>20</v>
      </c>
      <c r="D597">
        <v>13</v>
      </c>
      <c r="E597">
        <v>7</v>
      </c>
      <c r="F597">
        <v>3</v>
      </c>
      <c r="G597">
        <v>65</v>
      </c>
    </row>
    <row r="598" spans="1:7">
      <c r="A598">
        <v>50</v>
      </c>
      <c r="B598" s="1">
        <v>46174</v>
      </c>
      <c r="C598">
        <v>21</v>
      </c>
      <c r="D598">
        <v>13</v>
      </c>
      <c r="E598">
        <v>8</v>
      </c>
      <c r="F598">
        <v>4</v>
      </c>
      <c r="G598">
        <v>61.9</v>
      </c>
    </row>
    <row r="599" spans="1:7">
      <c r="A599">
        <v>50</v>
      </c>
      <c r="B599" s="1">
        <v>46204</v>
      </c>
      <c r="C599">
        <v>19</v>
      </c>
      <c r="D599">
        <v>12</v>
      </c>
      <c r="E599">
        <v>7</v>
      </c>
      <c r="F599">
        <v>1</v>
      </c>
      <c r="G599">
        <v>63.2</v>
      </c>
    </row>
    <row r="600" spans="1:7">
      <c r="A600">
        <v>50</v>
      </c>
      <c r="B600" s="1">
        <v>46235</v>
      </c>
      <c r="C600">
        <v>22</v>
      </c>
      <c r="D600">
        <v>16</v>
      </c>
      <c r="E600">
        <v>6</v>
      </c>
      <c r="F600">
        <v>3</v>
      </c>
      <c r="G600">
        <v>72.7</v>
      </c>
    </row>
    <row r="601" spans="1:7">
      <c r="A601">
        <v>50</v>
      </c>
      <c r="B601" s="1">
        <v>46266</v>
      </c>
      <c r="C601">
        <v>22</v>
      </c>
      <c r="D601">
        <v>15</v>
      </c>
      <c r="E601">
        <v>7</v>
      </c>
      <c r="F601">
        <v>5</v>
      </c>
      <c r="G601">
        <v>68.2</v>
      </c>
    </row>
    <row r="602" spans="1:7">
      <c r="A602">
        <v>51</v>
      </c>
      <c r="B602" s="1">
        <v>45931</v>
      </c>
      <c r="C602">
        <v>19</v>
      </c>
      <c r="D602">
        <v>12</v>
      </c>
      <c r="E602">
        <v>7</v>
      </c>
      <c r="F602">
        <v>3</v>
      </c>
      <c r="G602">
        <v>63.2</v>
      </c>
    </row>
    <row r="603" spans="1:7">
      <c r="A603">
        <v>51</v>
      </c>
      <c r="B603" s="1">
        <v>45962</v>
      </c>
      <c r="C603">
        <v>22</v>
      </c>
      <c r="D603">
        <v>16</v>
      </c>
      <c r="E603">
        <v>6</v>
      </c>
      <c r="F603">
        <v>5</v>
      </c>
      <c r="G603">
        <v>72.7</v>
      </c>
    </row>
    <row r="604" spans="1:7">
      <c r="A604">
        <v>51</v>
      </c>
      <c r="B604" s="1">
        <v>45992</v>
      </c>
      <c r="C604">
        <v>22</v>
      </c>
      <c r="D604">
        <v>13</v>
      </c>
      <c r="E604">
        <v>9</v>
      </c>
      <c r="F604">
        <v>2</v>
      </c>
      <c r="G604">
        <v>59.1</v>
      </c>
    </row>
    <row r="605" spans="1:7">
      <c r="A605">
        <v>51</v>
      </c>
      <c r="B605" s="1">
        <v>46023</v>
      </c>
      <c r="C605">
        <v>19</v>
      </c>
      <c r="D605">
        <v>10</v>
      </c>
      <c r="E605">
        <v>9</v>
      </c>
      <c r="F605">
        <v>6</v>
      </c>
      <c r="G605">
        <v>52.6</v>
      </c>
    </row>
    <row r="606" spans="1:7">
      <c r="A606">
        <v>51</v>
      </c>
      <c r="B606" s="1">
        <v>46054</v>
      </c>
      <c r="C606">
        <v>22</v>
      </c>
      <c r="D606">
        <v>14</v>
      </c>
      <c r="E606">
        <v>8</v>
      </c>
      <c r="F606">
        <v>0</v>
      </c>
      <c r="G606">
        <v>63.6</v>
      </c>
    </row>
    <row r="607" spans="1:7">
      <c r="A607">
        <v>51</v>
      </c>
      <c r="B607" s="1">
        <v>46082</v>
      </c>
      <c r="C607">
        <v>18</v>
      </c>
      <c r="D607">
        <v>10</v>
      </c>
      <c r="E607">
        <v>8</v>
      </c>
      <c r="F607">
        <v>3</v>
      </c>
      <c r="G607">
        <v>55.6</v>
      </c>
    </row>
    <row r="608" spans="1:7">
      <c r="A608">
        <v>51</v>
      </c>
      <c r="B608" s="1">
        <v>46113</v>
      </c>
      <c r="C608">
        <v>20</v>
      </c>
      <c r="D608">
        <v>14</v>
      </c>
      <c r="E608">
        <v>6</v>
      </c>
      <c r="F608">
        <v>2</v>
      </c>
      <c r="G608">
        <v>70</v>
      </c>
    </row>
    <row r="609" spans="1:7">
      <c r="A609">
        <v>51</v>
      </c>
      <c r="B609" s="1">
        <v>46143</v>
      </c>
      <c r="C609">
        <v>18</v>
      </c>
      <c r="D609">
        <v>13</v>
      </c>
      <c r="E609">
        <v>5</v>
      </c>
      <c r="F609">
        <v>0</v>
      </c>
      <c r="G609">
        <v>72.2</v>
      </c>
    </row>
    <row r="610" spans="1:7">
      <c r="A610">
        <v>51</v>
      </c>
      <c r="B610" s="1">
        <v>46174</v>
      </c>
      <c r="C610">
        <v>20</v>
      </c>
      <c r="D610">
        <v>10</v>
      </c>
      <c r="E610">
        <v>10</v>
      </c>
      <c r="F610">
        <v>1</v>
      </c>
      <c r="G610">
        <v>50</v>
      </c>
    </row>
    <row r="611" spans="1:7">
      <c r="A611">
        <v>51</v>
      </c>
      <c r="B611" s="1">
        <v>46204</v>
      </c>
      <c r="C611">
        <v>21</v>
      </c>
      <c r="D611">
        <v>15</v>
      </c>
      <c r="E611">
        <v>6</v>
      </c>
      <c r="F611">
        <v>4</v>
      </c>
      <c r="G611">
        <v>71.400000000000006</v>
      </c>
    </row>
    <row r="612" spans="1:7">
      <c r="A612">
        <v>51</v>
      </c>
      <c r="B612" s="1">
        <v>46235</v>
      </c>
      <c r="C612">
        <v>18</v>
      </c>
      <c r="D612">
        <v>10</v>
      </c>
      <c r="E612">
        <v>8</v>
      </c>
      <c r="F612">
        <v>4</v>
      </c>
      <c r="G612">
        <v>55.6</v>
      </c>
    </row>
    <row r="613" spans="1:7">
      <c r="A613">
        <v>51</v>
      </c>
      <c r="B613" s="1">
        <v>46266</v>
      </c>
      <c r="C613">
        <v>22</v>
      </c>
      <c r="D613">
        <v>15</v>
      </c>
      <c r="E613">
        <v>7</v>
      </c>
      <c r="F613">
        <v>0</v>
      </c>
      <c r="G613">
        <v>68.2</v>
      </c>
    </row>
    <row r="614" spans="1:7">
      <c r="A614">
        <v>52</v>
      </c>
      <c r="B614" s="1">
        <v>45931</v>
      </c>
      <c r="C614">
        <v>19</v>
      </c>
      <c r="D614">
        <v>11</v>
      </c>
      <c r="E614">
        <v>8</v>
      </c>
      <c r="F614">
        <v>4</v>
      </c>
      <c r="G614">
        <v>57.9</v>
      </c>
    </row>
    <row r="615" spans="1:7">
      <c r="A615">
        <v>52</v>
      </c>
      <c r="B615" s="1">
        <v>45962</v>
      </c>
      <c r="C615">
        <v>18</v>
      </c>
      <c r="D615">
        <v>10</v>
      </c>
      <c r="E615">
        <v>8</v>
      </c>
      <c r="F615">
        <v>0</v>
      </c>
      <c r="G615">
        <v>55.6</v>
      </c>
    </row>
    <row r="616" spans="1:7">
      <c r="A616">
        <v>52</v>
      </c>
      <c r="B616" s="1">
        <v>45992</v>
      </c>
      <c r="C616">
        <v>19</v>
      </c>
      <c r="D616">
        <v>12</v>
      </c>
      <c r="E616">
        <v>7</v>
      </c>
      <c r="F616">
        <v>3</v>
      </c>
      <c r="G616">
        <v>63.2</v>
      </c>
    </row>
    <row r="617" spans="1:7">
      <c r="A617">
        <v>52</v>
      </c>
      <c r="B617" s="1">
        <v>46023</v>
      </c>
      <c r="C617">
        <v>21</v>
      </c>
      <c r="D617">
        <v>16</v>
      </c>
      <c r="E617">
        <v>5</v>
      </c>
      <c r="F617">
        <v>5</v>
      </c>
      <c r="G617">
        <v>76.2</v>
      </c>
    </row>
    <row r="618" spans="1:7">
      <c r="A618">
        <v>52</v>
      </c>
      <c r="B618" s="1">
        <v>46054</v>
      </c>
      <c r="C618">
        <v>19</v>
      </c>
      <c r="D618">
        <v>10</v>
      </c>
      <c r="E618">
        <v>9</v>
      </c>
      <c r="F618">
        <v>2</v>
      </c>
      <c r="G618">
        <v>52.6</v>
      </c>
    </row>
    <row r="619" spans="1:7">
      <c r="A619">
        <v>52</v>
      </c>
      <c r="B619" s="1">
        <v>46082</v>
      </c>
      <c r="C619">
        <v>20</v>
      </c>
      <c r="D619">
        <v>14</v>
      </c>
      <c r="E619">
        <v>6</v>
      </c>
      <c r="F619">
        <v>1</v>
      </c>
      <c r="G619">
        <v>70</v>
      </c>
    </row>
    <row r="620" spans="1:7">
      <c r="A620">
        <v>52</v>
      </c>
      <c r="B620" s="1">
        <v>46113</v>
      </c>
      <c r="C620">
        <v>22</v>
      </c>
      <c r="D620">
        <v>16</v>
      </c>
      <c r="E620">
        <v>6</v>
      </c>
      <c r="F620">
        <v>2</v>
      </c>
      <c r="G620">
        <v>72.7</v>
      </c>
    </row>
    <row r="621" spans="1:7">
      <c r="A621">
        <v>52</v>
      </c>
      <c r="B621" s="1">
        <v>46143</v>
      </c>
      <c r="C621">
        <v>21</v>
      </c>
      <c r="D621">
        <v>14</v>
      </c>
      <c r="E621">
        <v>7</v>
      </c>
      <c r="F621">
        <v>6</v>
      </c>
      <c r="G621">
        <v>66.7</v>
      </c>
    </row>
    <row r="622" spans="1:7">
      <c r="A622">
        <v>52</v>
      </c>
      <c r="B622" s="1">
        <v>46174</v>
      </c>
      <c r="C622">
        <v>18</v>
      </c>
      <c r="D622">
        <v>10</v>
      </c>
      <c r="E622">
        <v>8</v>
      </c>
      <c r="F622">
        <v>1</v>
      </c>
      <c r="G622">
        <v>55.6</v>
      </c>
    </row>
    <row r="623" spans="1:7">
      <c r="A623">
        <v>52</v>
      </c>
      <c r="B623" s="1">
        <v>46204</v>
      </c>
      <c r="C623">
        <v>19</v>
      </c>
      <c r="D623">
        <v>15</v>
      </c>
      <c r="E623">
        <v>4</v>
      </c>
      <c r="F623">
        <v>2</v>
      </c>
      <c r="G623">
        <v>78.900000000000006</v>
      </c>
    </row>
    <row r="624" spans="1:7">
      <c r="A624">
        <v>52</v>
      </c>
      <c r="B624" s="1">
        <v>46235</v>
      </c>
      <c r="C624">
        <v>21</v>
      </c>
      <c r="D624">
        <v>16</v>
      </c>
      <c r="E624">
        <v>5</v>
      </c>
      <c r="F624">
        <v>3</v>
      </c>
      <c r="G624">
        <v>76.2</v>
      </c>
    </row>
    <row r="625" spans="1:7">
      <c r="A625">
        <v>52</v>
      </c>
      <c r="B625" s="1">
        <v>46266</v>
      </c>
      <c r="C625">
        <v>22</v>
      </c>
      <c r="D625">
        <v>17</v>
      </c>
      <c r="E625">
        <v>5</v>
      </c>
      <c r="F625">
        <v>5</v>
      </c>
      <c r="G625">
        <v>77.3</v>
      </c>
    </row>
    <row r="626" spans="1:7">
      <c r="A626">
        <v>53</v>
      </c>
      <c r="B626" s="1">
        <v>45931</v>
      </c>
      <c r="C626">
        <v>22</v>
      </c>
      <c r="D626">
        <v>11</v>
      </c>
      <c r="E626">
        <v>11</v>
      </c>
      <c r="F626">
        <v>3</v>
      </c>
      <c r="G626">
        <v>50</v>
      </c>
    </row>
    <row r="627" spans="1:7">
      <c r="A627">
        <v>53</v>
      </c>
      <c r="B627" s="1">
        <v>45962</v>
      </c>
      <c r="C627">
        <v>19</v>
      </c>
      <c r="D627">
        <v>12</v>
      </c>
      <c r="E627">
        <v>7</v>
      </c>
      <c r="F627">
        <v>4</v>
      </c>
      <c r="G627">
        <v>63.2</v>
      </c>
    </row>
    <row r="628" spans="1:7">
      <c r="A628">
        <v>53</v>
      </c>
      <c r="B628" s="1">
        <v>45992</v>
      </c>
      <c r="C628">
        <v>19</v>
      </c>
      <c r="D628">
        <v>12</v>
      </c>
      <c r="E628">
        <v>7</v>
      </c>
      <c r="F628">
        <v>4</v>
      </c>
      <c r="G628">
        <v>63.2</v>
      </c>
    </row>
    <row r="629" spans="1:7">
      <c r="A629">
        <v>53</v>
      </c>
      <c r="B629" s="1">
        <v>46023</v>
      </c>
      <c r="C629">
        <v>20</v>
      </c>
      <c r="D629">
        <v>11</v>
      </c>
      <c r="E629">
        <v>9</v>
      </c>
      <c r="F629">
        <v>3</v>
      </c>
      <c r="G629">
        <v>55</v>
      </c>
    </row>
    <row r="630" spans="1:7">
      <c r="A630">
        <v>53</v>
      </c>
      <c r="B630" s="1">
        <v>46054</v>
      </c>
      <c r="C630">
        <v>22</v>
      </c>
      <c r="D630">
        <v>11</v>
      </c>
      <c r="E630">
        <v>11</v>
      </c>
      <c r="F630">
        <v>4</v>
      </c>
      <c r="G630">
        <v>50</v>
      </c>
    </row>
    <row r="631" spans="1:7">
      <c r="A631">
        <v>53</v>
      </c>
      <c r="B631" s="1">
        <v>46082</v>
      </c>
      <c r="C631">
        <v>22</v>
      </c>
      <c r="D631">
        <v>11</v>
      </c>
      <c r="E631">
        <v>11</v>
      </c>
      <c r="F631">
        <v>5</v>
      </c>
      <c r="G631">
        <v>50</v>
      </c>
    </row>
    <row r="632" spans="1:7">
      <c r="A632">
        <v>53</v>
      </c>
      <c r="B632" s="1">
        <v>46113</v>
      </c>
      <c r="C632">
        <v>19</v>
      </c>
      <c r="D632">
        <v>10</v>
      </c>
      <c r="E632">
        <v>9</v>
      </c>
      <c r="F632">
        <v>5</v>
      </c>
      <c r="G632">
        <v>52.6</v>
      </c>
    </row>
    <row r="633" spans="1:7">
      <c r="A633">
        <v>53</v>
      </c>
      <c r="B633" s="1">
        <v>46143</v>
      </c>
      <c r="C633">
        <v>22</v>
      </c>
      <c r="D633">
        <v>15</v>
      </c>
      <c r="E633">
        <v>7</v>
      </c>
      <c r="F633">
        <v>1</v>
      </c>
      <c r="G633">
        <v>68.2</v>
      </c>
    </row>
    <row r="634" spans="1:7">
      <c r="A634">
        <v>53</v>
      </c>
      <c r="B634" s="1">
        <v>46174</v>
      </c>
      <c r="C634">
        <v>21</v>
      </c>
      <c r="D634">
        <v>10</v>
      </c>
      <c r="E634">
        <v>11</v>
      </c>
      <c r="F634">
        <v>1</v>
      </c>
      <c r="G634">
        <v>47.6</v>
      </c>
    </row>
    <row r="635" spans="1:7">
      <c r="A635">
        <v>53</v>
      </c>
      <c r="B635" s="1">
        <v>46204</v>
      </c>
      <c r="C635">
        <v>22</v>
      </c>
      <c r="D635">
        <v>13</v>
      </c>
      <c r="E635">
        <v>9</v>
      </c>
      <c r="F635">
        <v>1</v>
      </c>
      <c r="G635">
        <v>59.1</v>
      </c>
    </row>
    <row r="636" spans="1:7">
      <c r="A636">
        <v>53</v>
      </c>
      <c r="B636" s="1">
        <v>46235</v>
      </c>
      <c r="C636">
        <v>20</v>
      </c>
      <c r="D636">
        <v>10</v>
      </c>
      <c r="E636">
        <v>10</v>
      </c>
      <c r="F636">
        <v>5</v>
      </c>
      <c r="G636">
        <v>50</v>
      </c>
    </row>
    <row r="637" spans="1:7">
      <c r="A637">
        <v>53</v>
      </c>
      <c r="B637" s="1">
        <v>46266</v>
      </c>
      <c r="C637">
        <v>18</v>
      </c>
      <c r="D637">
        <v>10</v>
      </c>
      <c r="E637">
        <v>8</v>
      </c>
      <c r="F637">
        <v>1</v>
      </c>
      <c r="G637">
        <v>55.6</v>
      </c>
    </row>
    <row r="638" spans="1:7">
      <c r="A638">
        <v>54</v>
      </c>
      <c r="B638" s="1">
        <v>45931</v>
      </c>
      <c r="C638">
        <v>20</v>
      </c>
      <c r="D638">
        <v>19</v>
      </c>
      <c r="E638">
        <v>1</v>
      </c>
      <c r="F638">
        <v>0</v>
      </c>
      <c r="G638">
        <v>95</v>
      </c>
    </row>
    <row r="639" spans="1:7">
      <c r="A639">
        <v>54</v>
      </c>
      <c r="B639" s="1">
        <v>45962</v>
      </c>
      <c r="C639">
        <v>20</v>
      </c>
      <c r="D639">
        <v>20</v>
      </c>
      <c r="E639">
        <v>0</v>
      </c>
      <c r="F639">
        <v>3</v>
      </c>
      <c r="G639">
        <v>100</v>
      </c>
    </row>
    <row r="640" spans="1:7">
      <c r="A640">
        <v>54</v>
      </c>
      <c r="B640" s="1">
        <v>45992</v>
      </c>
      <c r="C640">
        <v>21</v>
      </c>
      <c r="D640">
        <v>21</v>
      </c>
      <c r="E640">
        <v>0</v>
      </c>
      <c r="F640">
        <v>2</v>
      </c>
      <c r="G640">
        <v>100</v>
      </c>
    </row>
    <row r="641" spans="1:7">
      <c r="A641">
        <v>54</v>
      </c>
      <c r="B641" s="1">
        <v>46023</v>
      </c>
      <c r="C641">
        <v>19</v>
      </c>
      <c r="D641">
        <v>16</v>
      </c>
      <c r="E641">
        <v>3</v>
      </c>
      <c r="F641">
        <v>6</v>
      </c>
      <c r="G641">
        <v>84.2</v>
      </c>
    </row>
    <row r="642" spans="1:7">
      <c r="A642">
        <v>54</v>
      </c>
      <c r="B642" s="1">
        <v>46054</v>
      </c>
      <c r="C642">
        <v>19</v>
      </c>
      <c r="D642">
        <v>18</v>
      </c>
      <c r="E642">
        <v>1</v>
      </c>
      <c r="F642">
        <v>4</v>
      </c>
      <c r="G642">
        <v>94.7</v>
      </c>
    </row>
    <row r="643" spans="1:7">
      <c r="A643">
        <v>54</v>
      </c>
      <c r="B643" s="1">
        <v>46082</v>
      </c>
      <c r="C643">
        <v>22</v>
      </c>
      <c r="D643">
        <v>21</v>
      </c>
      <c r="E643">
        <v>1</v>
      </c>
      <c r="F643">
        <v>2</v>
      </c>
      <c r="G643">
        <v>95.5</v>
      </c>
    </row>
    <row r="644" spans="1:7">
      <c r="A644">
        <v>54</v>
      </c>
      <c r="B644" s="1">
        <v>46113</v>
      </c>
      <c r="C644">
        <v>22</v>
      </c>
      <c r="D644">
        <v>22</v>
      </c>
      <c r="E644">
        <v>0</v>
      </c>
      <c r="F644">
        <v>1</v>
      </c>
      <c r="G644">
        <v>100</v>
      </c>
    </row>
    <row r="645" spans="1:7">
      <c r="A645">
        <v>54</v>
      </c>
      <c r="B645" s="1">
        <v>46143</v>
      </c>
      <c r="C645">
        <v>19</v>
      </c>
      <c r="D645">
        <v>19</v>
      </c>
      <c r="E645">
        <v>0</v>
      </c>
      <c r="F645">
        <v>0</v>
      </c>
      <c r="G645">
        <v>100</v>
      </c>
    </row>
    <row r="646" spans="1:7">
      <c r="A646">
        <v>54</v>
      </c>
      <c r="B646" s="1">
        <v>46174</v>
      </c>
      <c r="C646">
        <v>20</v>
      </c>
      <c r="D646">
        <v>17</v>
      </c>
      <c r="E646">
        <v>3</v>
      </c>
      <c r="F646">
        <v>1</v>
      </c>
      <c r="G646">
        <v>85</v>
      </c>
    </row>
    <row r="647" spans="1:7">
      <c r="A647">
        <v>54</v>
      </c>
      <c r="B647" s="1">
        <v>46204</v>
      </c>
      <c r="C647">
        <v>22</v>
      </c>
      <c r="D647">
        <v>20</v>
      </c>
      <c r="E647">
        <v>2</v>
      </c>
      <c r="F647">
        <v>4</v>
      </c>
      <c r="G647">
        <v>90.9</v>
      </c>
    </row>
    <row r="648" spans="1:7">
      <c r="A648">
        <v>54</v>
      </c>
      <c r="B648" s="1">
        <v>46235</v>
      </c>
      <c r="C648">
        <v>21</v>
      </c>
      <c r="D648">
        <v>21</v>
      </c>
      <c r="E648">
        <v>0</v>
      </c>
      <c r="F648">
        <v>3</v>
      </c>
      <c r="G648">
        <v>100</v>
      </c>
    </row>
    <row r="649" spans="1:7">
      <c r="A649">
        <v>54</v>
      </c>
      <c r="B649" s="1">
        <v>46266</v>
      </c>
      <c r="C649">
        <v>21</v>
      </c>
      <c r="D649">
        <v>21</v>
      </c>
      <c r="E649">
        <v>0</v>
      </c>
      <c r="F649">
        <v>3</v>
      </c>
      <c r="G649">
        <v>100</v>
      </c>
    </row>
    <row r="650" spans="1:7">
      <c r="A650">
        <v>55</v>
      </c>
      <c r="B650" s="1">
        <v>45931</v>
      </c>
      <c r="C650">
        <v>19</v>
      </c>
      <c r="D650">
        <v>16</v>
      </c>
      <c r="E650">
        <v>3</v>
      </c>
      <c r="F650">
        <v>3</v>
      </c>
      <c r="G650">
        <v>84.2</v>
      </c>
    </row>
    <row r="651" spans="1:7">
      <c r="A651">
        <v>55</v>
      </c>
      <c r="B651" s="1">
        <v>45962</v>
      </c>
      <c r="C651">
        <v>18</v>
      </c>
      <c r="D651">
        <v>14</v>
      </c>
      <c r="E651">
        <v>4</v>
      </c>
      <c r="F651">
        <v>2</v>
      </c>
      <c r="G651">
        <v>77.8</v>
      </c>
    </row>
    <row r="652" spans="1:7">
      <c r="A652">
        <v>55</v>
      </c>
      <c r="B652" s="1">
        <v>45992</v>
      </c>
      <c r="C652">
        <v>21</v>
      </c>
      <c r="D652">
        <v>18</v>
      </c>
      <c r="E652">
        <v>3</v>
      </c>
      <c r="F652">
        <v>1</v>
      </c>
      <c r="G652">
        <v>85.7</v>
      </c>
    </row>
    <row r="653" spans="1:7">
      <c r="A653">
        <v>55</v>
      </c>
      <c r="B653" s="1">
        <v>46023</v>
      </c>
      <c r="C653">
        <v>19</v>
      </c>
      <c r="D653">
        <v>13</v>
      </c>
      <c r="E653">
        <v>6</v>
      </c>
      <c r="F653">
        <v>0</v>
      </c>
      <c r="G653">
        <v>68.400000000000006</v>
      </c>
    </row>
    <row r="654" spans="1:7">
      <c r="A654">
        <v>55</v>
      </c>
      <c r="B654" s="1">
        <v>46054</v>
      </c>
      <c r="C654">
        <v>19</v>
      </c>
      <c r="D654">
        <v>11</v>
      </c>
      <c r="E654">
        <v>8</v>
      </c>
      <c r="F654">
        <v>6</v>
      </c>
      <c r="G654">
        <v>57.9</v>
      </c>
    </row>
    <row r="655" spans="1:7">
      <c r="A655">
        <v>55</v>
      </c>
      <c r="B655" s="1">
        <v>46082</v>
      </c>
      <c r="C655">
        <v>22</v>
      </c>
      <c r="D655">
        <v>22</v>
      </c>
      <c r="E655">
        <v>0</v>
      </c>
      <c r="F655">
        <v>3</v>
      </c>
      <c r="G655">
        <v>100</v>
      </c>
    </row>
    <row r="656" spans="1:7">
      <c r="A656">
        <v>55</v>
      </c>
      <c r="B656" s="1">
        <v>46113</v>
      </c>
      <c r="C656">
        <v>20</v>
      </c>
      <c r="D656">
        <v>14</v>
      </c>
      <c r="E656">
        <v>6</v>
      </c>
      <c r="F656">
        <v>3</v>
      </c>
      <c r="G656">
        <v>70</v>
      </c>
    </row>
    <row r="657" spans="1:7">
      <c r="A657">
        <v>55</v>
      </c>
      <c r="B657" s="1">
        <v>46143</v>
      </c>
      <c r="C657">
        <v>21</v>
      </c>
      <c r="D657">
        <v>21</v>
      </c>
      <c r="E657">
        <v>0</v>
      </c>
      <c r="F657">
        <v>0</v>
      </c>
      <c r="G657">
        <v>100</v>
      </c>
    </row>
    <row r="658" spans="1:7">
      <c r="A658">
        <v>55</v>
      </c>
      <c r="B658" s="1">
        <v>46174</v>
      </c>
      <c r="C658">
        <v>22</v>
      </c>
      <c r="D658">
        <v>19</v>
      </c>
      <c r="E658">
        <v>3</v>
      </c>
      <c r="F658">
        <v>2</v>
      </c>
      <c r="G658">
        <v>86.4</v>
      </c>
    </row>
    <row r="659" spans="1:7">
      <c r="A659">
        <v>55</v>
      </c>
      <c r="B659" s="1">
        <v>46204</v>
      </c>
      <c r="C659">
        <v>21</v>
      </c>
      <c r="D659">
        <v>20</v>
      </c>
      <c r="E659">
        <v>1</v>
      </c>
      <c r="F659">
        <v>4</v>
      </c>
      <c r="G659">
        <v>95.2</v>
      </c>
    </row>
    <row r="660" spans="1:7">
      <c r="A660">
        <v>55</v>
      </c>
      <c r="B660" s="1">
        <v>46235</v>
      </c>
      <c r="C660">
        <v>22</v>
      </c>
      <c r="D660">
        <v>21</v>
      </c>
      <c r="E660">
        <v>1</v>
      </c>
      <c r="F660">
        <v>0</v>
      </c>
      <c r="G660">
        <v>95.5</v>
      </c>
    </row>
    <row r="661" spans="1:7">
      <c r="A661">
        <v>55</v>
      </c>
      <c r="B661" s="1">
        <v>46266</v>
      </c>
      <c r="C661">
        <v>22</v>
      </c>
      <c r="D661">
        <v>21</v>
      </c>
      <c r="E661">
        <v>1</v>
      </c>
      <c r="F661">
        <v>0</v>
      </c>
      <c r="G661">
        <v>95.5</v>
      </c>
    </row>
    <row r="662" spans="1:7">
      <c r="A662">
        <v>56</v>
      </c>
      <c r="B662" s="1">
        <v>45931</v>
      </c>
      <c r="C662">
        <v>21</v>
      </c>
      <c r="D662">
        <v>17</v>
      </c>
      <c r="E662">
        <v>4</v>
      </c>
      <c r="F662">
        <v>1</v>
      </c>
      <c r="G662">
        <v>81</v>
      </c>
    </row>
    <row r="663" spans="1:7">
      <c r="A663">
        <v>56</v>
      </c>
      <c r="B663" s="1">
        <v>45962</v>
      </c>
      <c r="C663">
        <v>22</v>
      </c>
      <c r="D663">
        <v>13</v>
      </c>
      <c r="E663">
        <v>9</v>
      </c>
      <c r="F663">
        <v>4</v>
      </c>
      <c r="G663">
        <v>59.1</v>
      </c>
    </row>
    <row r="664" spans="1:7">
      <c r="A664">
        <v>56</v>
      </c>
      <c r="B664" s="1">
        <v>45992</v>
      </c>
      <c r="C664">
        <v>21</v>
      </c>
      <c r="D664">
        <v>12</v>
      </c>
      <c r="E664">
        <v>9</v>
      </c>
      <c r="F664">
        <v>3</v>
      </c>
      <c r="G664">
        <v>57.1</v>
      </c>
    </row>
    <row r="665" spans="1:7">
      <c r="A665">
        <v>56</v>
      </c>
      <c r="B665" s="1">
        <v>46023</v>
      </c>
      <c r="C665">
        <v>22</v>
      </c>
      <c r="D665">
        <v>14</v>
      </c>
      <c r="E665">
        <v>8</v>
      </c>
      <c r="F665">
        <v>6</v>
      </c>
      <c r="G665">
        <v>63.6</v>
      </c>
    </row>
    <row r="666" spans="1:7">
      <c r="A666">
        <v>56</v>
      </c>
      <c r="B666" s="1">
        <v>46054</v>
      </c>
      <c r="C666">
        <v>18</v>
      </c>
      <c r="D666">
        <v>10</v>
      </c>
      <c r="E666">
        <v>8</v>
      </c>
      <c r="F666">
        <v>2</v>
      </c>
      <c r="G666">
        <v>55.6</v>
      </c>
    </row>
    <row r="667" spans="1:7">
      <c r="A667">
        <v>56</v>
      </c>
      <c r="B667" s="1">
        <v>46082</v>
      </c>
      <c r="C667">
        <v>20</v>
      </c>
      <c r="D667">
        <v>10</v>
      </c>
      <c r="E667">
        <v>10</v>
      </c>
      <c r="F667">
        <v>3</v>
      </c>
      <c r="G667">
        <v>50</v>
      </c>
    </row>
    <row r="668" spans="1:7">
      <c r="A668">
        <v>56</v>
      </c>
      <c r="B668" s="1">
        <v>46113</v>
      </c>
      <c r="C668">
        <v>19</v>
      </c>
      <c r="D668">
        <v>13</v>
      </c>
      <c r="E668">
        <v>6</v>
      </c>
      <c r="F668">
        <v>0</v>
      </c>
      <c r="G668">
        <v>68.400000000000006</v>
      </c>
    </row>
    <row r="669" spans="1:7">
      <c r="A669">
        <v>56</v>
      </c>
      <c r="B669" s="1">
        <v>46143</v>
      </c>
      <c r="C669">
        <v>22</v>
      </c>
      <c r="D669">
        <v>12</v>
      </c>
      <c r="E669">
        <v>10</v>
      </c>
      <c r="F669">
        <v>1</v>
      </c>
      <c r="G669">
        <v>54.5</v>
      </c>
    </row>
    <row r="670" spans="1:7">
      <c r="A670">
        <v>56</v>
      </c>
      <c r="B670" s="1">
        <v>46174</v>
      </c>
      <c r="C670">
        <v>21</v>
      </c>
      <c r="D670">
        <v>12</v>
      </c>
      <c r="E670">
        <v>9</v>
      </c>
      <c r="F670">
        <v>5</v>
      </c>
      <c r="G670">
        <v>57.1</v>
      </c>
    </row>
    <row r="671" spans="1:7">
      <c r="A671">
        <v>56</v>
      </c>
      <c r="B671" s="1">
        <v>46204</v>
      </c>
      <c r="C671">
        <v>22</v>
      </c>
      <c r="D671">
        <v>16</v>
      </c>
      <c r="E671">
        <v>6</v>
      </c>
      <c r="F671">
        <v>0</v>
      </c>
      <c r="G671">
        <v>72.7</v>
      </c>
    </row>
    <row r="672" spans="1:7">
      <c r="A672">
        <v>56</v>
      </c>
      <c r="B672" s="1">
        <v>46235</v>
      </c>
      <c r="C672">
        <v>19</v>
      </c>
      <c r="D672">
        <v>10</v>
      </c>
      <c r="E672">
        <v>9</v>
      </c>
      <c r="F672">
        <v>5</v>
      </c>
      <c r="G672">
        <v>52.6</v>
      </c>
    </row>
    <row r="673" spans="1:7">
      <c r="A673">
        <v>56</v>
      </c>
      <c r="B673" s="1">
        <v>46266</v>
      </c>
      <c r="C673">
        <v>22</v>
      </c>
      <c r="D673">
        <v>18</v>
      </c>
      <c r="E673">
        <v>4</v>
      </c>
      <c r="F673">
        <v>1</v>
      </c>
      <c r="G673">
        <v>81.8</v>
      </c>
    </row>
    <row r="674" spans="1:7">
      <c r="A674">
        <v>57</v>
      </c>
      <c r="B674" s="1">
        <v>45931</v>
      </c>
      <c r="C674">
        <v>21</v>
      </c>
      <c r="D674">
        <v>18</v>
      </c>
      <c r="E674">
        <v>3</v>
      </c>
      <c r="F674">
        <v>1</v>
      </c>
      <c r="G674">
        <v>85.7</v>
      </c>
    </row>
    <row r="675" spans="1:7">
      <c r="A675">
        <v>57</v>
      </c>
      <c r="B675" s="1">
        <v>45962</v>
      </c>
      <c r="C675">
        <v>21</v>
      </c>
      <c r="D675">
        <v>15</v>
      </c>
      <c r="E675">
        <v>6</v>
      </c>
      <c r="F675">
        <v>4</v>
      </c>
      <c r="G675">
        <v>71.400000000000006</v>
      </c>
    </row>
    <row r="676" spans="1:7">
      <c r="A676">
        <v>57</v>
      </c>
      <c r="B676" s="1">
        <v>45992</v>
      </c>
      <c r="C676">
        <v>19</v>
      </c>
      <c r="D676">
        <v>14</v>
      </c>
      <c r="E676">
        <v>5</v>
      </c>
      <c r="F676">
        <v>2</v>
      </c>
      <c r="G676">
        <v>73.7</v>
      </c>
    </row>
    <row r="677" spans="1:7">
      <c r="A677">
        <v>57</v>
      </c>
      <c r="B677" s="1">
        <v>46023</v>
      </c>
      <c r="C677">
        <v>19</v>
      </c>
      <c r="D677">
        <v>15</v>
      </c>
      <c r="E677">
        <v>4</v>
      </c>
      <c r="F677">
        <v>5</v>
      </c>
      <c r="G677">
        <v>78.900000000000006</v>
      </c>
    </row>
    <row r="678" spans="1:7">
      <c r="A678">
        <v>57</v>
      </c>
      <c r="B678" s="1">
        <v>46054</v>
      </c>
      <c r="C678">
        <v>18</v>
      </c>
      <c r="D678">
        <v>11</v>
      </c>
      <c r="E678">
        <v>7</v>
      </c>
      <c r="F678">
        <v>5</v>
      </c>
      <c r="G678">
        <v>61.1</v>
      </c>
    </row>
    <row r="679" spans="1:7">
      <c r="A679">
        <v>57</v>
      </c>
      <c r="B679" s="1">
        <v>46082</v>
      </c>
      <c r="C679">
        <v>20</v>
      </c>
      <c r="D679">
        <v>14</v>
      </c>
      <c r="E679">
        <v>6</v>
      </c>
      <c r="F679">
        <v>0</v>
      </c>
      <c r="G679">
        <v>70</v>
      </c>
    </row>
    <row r="680" spans="1:7">
      <c r="A680">
        <v>57</v>
      </c>
      <c r="B680" s="1">
        <v>46113</v>
      </c>
      <c r="C680">
        <v>22</v>
      </c>
      <c r="D680">
        <v>18</v>
      </c>
      <c r="E680">
        <v>4</v>
      </c>
      <c r="F680">
        <v>4</v>
      </c>
      <c r="G680">
        <v>81.8</v>
      </c>
    </row>
    <row r="681" spans="1:7">
      <c r="A681">
        <v>57</v>
      </c>
      <c r="B681" s="1">
        <v>46143</v>
      </c>
      <c r="C681">
        <v>22</v>
      </c>
      <c r="D681">
        <v>20</v>
      </c>
      <c r="E681">
        <v>2</v>
      </c>
      <c r="F681">
        <v>1</v>
      </c>
      <c r="G681">
        <v>90.9</v>
      </c>
    </row>
    <row r="682" spans="1:7">
      <c r="A682">
        <v>57</v>
      </c>
      <c r="B682" s="1">
        <v>46174</v>
      </c>
      <c r="C682">
        <v>21</v>
      </c>
      <c r="D682">
        <v>17</v>
      </c>
      <c r="E682">
        <v>4</v>
      </c>
      <c r="F682">
        <v>1</v>
      </c>
      <c r="G682">
        <v>81</v>
      </c>
    </row>
    <row r="683" spans="1:7">
      <c r="A683">
        <v>57</v>
      </c>
      <c r="B683" s="1">
        <v>46204</v>
      </c>
      <c r="C683">
        <v>20</v>
      </c>
      <c r="D683">
        <v>15</v>
      </c>
      <c r="E683">
        <v>5</v>
      </c>
      <c r="F683">
        <v>4</v>
      </c>
      <c r="G683">
        <v>75</v>
      </c>
    </row>
    <row r="684" spans="1:7">
      <c r="A684">
        <v>57</v>
      </c>
      <c r="B684" s="1">
        <v>46235</v>
      </c>
      <c r="C684">
        <v>19</v>
      </c>
      <c r="D684">
        <v>14</v>
      </c>
      <c r="E684">
        <v>5</v>
      </c>
      <c r="F684">
        <v>6</v>
      </c>
      <c r="G684">
        <v>73.7</v>
      </c>
    </row>
    <row r="685" spans="1:7">
      <c r="A685">
        <v>57</v>
      </c>
      <c r="B685" s="1">
        <v>46266</v>
      </c>
      <c r="C685">
        <v>18</v>
      </c>
      <c r="D685">
        <v>12</v>
      </c>
      <c r="E685">
        <v>6</v>
      </c>
      <c r="F685">
        <v>3</v>
      </c>
      <c r="G685">
        <v>66.7</v>
      </c>
    </row>
    <row r="686" spans="1:7">
      <c r="A686">
        <v>58</v>
      </c>
      <c r="B686" s="1">
        <v>45931</v>
      </c>
      <c r="C686">
        <v>20</v>
      </c>
      <c r="D686">
        <v>20</v>
      </c>
      <c r="E686">
        <v>0</v>
      </c>
      <c r="F686">
        <v>3</v>
      </c>
      <c r="G686">
        <v>100</v>
      </c>
    </row>
    <row r="687" spans="1:7">
      <c r="A687">
        <v>58</v>
      </c>
      <c r="B687" s="1">
        <v>45962</v>
      </c>
      <c r="C687">
        <v>20</v>
      </c>
      <c r="D687">
        <v>16</v>
      </c>
      <c r="E687">
        <v>4</v>
      </c>
      <c r="F687">
        <v>5</v>
      </c>
      <c r="G687">
        <v>80</v>
      </c>
    </row>
    <row r="688" spans="1:7">
      <c r="A688">
        <v>58</v>
      </c>
      <c r="B688" s="1">
        <v>45992</v>
      </c>
      <c r="C688">
        <v>19</v>
      </c>
      <c r="D688">
        <v>18</v>
      </c>
      <c r="E688">
        <v>1</v>
      </c>
      <c r="F688">
        <v>1</v>
      </c>
      <c r="G688">
        <v>94.7</v>
      </c>
    </row>
    <row r="689" spans="1:7">
      <c r="A689">
        <v>58</v>
      </c>
      <c r="B689" s="1">
        <v>46023</v>
      </c>
      <c r="C689">
        <v>18</v>
      </c>
      <c r="D689">
        <v>17</v>
      </c>
      <c r="E689">
        <v>1</v>
      </c>
      <c r="F689">
        <v>4</v>
      </c>
      <c r="G689">
        <v>94.4</v>
      </c>
    </row>
    <row r="690" spans="1:7">
      <c r="A690">
        <v>58</v>
      </c>
      <c r="B690" s="1">
        <v>46054</v>
      </c>
      <c r="C690">
        <v>20</v>
      </c>
      <c r="D690">
        <v>17</v>
      </c>
      <c r="E690">
        <v>3</v>
      </c>
      <c r="F690">
        <v>3</v>
      </c>
      <c r="G690">
        <v>85</v>
      </c>
    </row>
    <row r="691" spans="1:7">
      <c r="A691">
        <v>58</v>
      </c>
      <c r="B691" s="1">
        <v>46082</v>
      </c>
      <c r="C691">
        <v>22</v>
      </c>
      <c r="D691">
        <v>21</v>
      </c>
      <c r="E691">
        <v>1</v>
      </c>
      <c r="F691">
        <v>0</v>
      </c>
      <c r="G691">
        <v>95.5</v>
      </c>
    </row>
    <row r="692" spans="1:7">
      <c r="A692">
        <v>58</v>
      </c>
      <c r="B692" s="1">
        <v>46113</v>
      </c>
      <c r="C692">
        <v>22</v>
      </c>
      <c r="D692">
        <v>20</v>
      </c>
      <c r="E692">
        <v>2</v>
      </c>
      <c r="F692">
        <v>4</v>
      </c>
      <c r="G692">
        <v>90.9</v>
      </c>
    </row>
    <row r="693" spans="1:7">
      <c r="A693">
        <v>58</v>
      </c>
      <c r="B693" s="1">
        <v>46143</v>
      </c>
      <c r="C693">
        <v>21</v>
      </c>
      <c r="D693">
        <v>21</v>
      </c>
      <c r="E693">
        <v>0</v>
      </c>
      <c r="F693">
        <v>3</v>
      </c>
      <c r="G693">
        <v>100</v>
      </c>
    </row>
    <row r="694" spans="1:7">
      <c r="A694">
        <v>58</v>
      </c>
      <c r="B694" s="1">
        <v>46174</v>
      </c>
      <c r="C694">
        <v>21</v>
      </c>
      <c r="D694">
        <v>21</v>
      </c>
      <c r="E694">
        <v>0</v>
      </c>
      <c r="F694">
        <v>0</v>
      </c>
      <c r="G694">
        <v>100</v>
      </c>
    </row>
    <row r="695" spans="1:7">
      <c r="A695">
        <v>58</v>
      </c>
      <c r="B695" s="1">
        <v>46204</v>
      </c>
      <c r="C695">
        <v>19</v>
      </c>
      <c r="D695">
        <v>17</v>
      </c>
      <c r="E695">
        <v>2</v>
      </c>
      <c r="F695">
        <v>4</v>
      </c>
      <c r="G695">
        <v>89.5</v>
      </c>
    </row>
    <row r="696" spans="1:7">
      <c r="A696">
        <v>58</v>
      </c>
      <c r="B696" s="1">
        <v>46235</v>
      </c>
      <c r="C696">
        <v>20</v>
      </c>
      <c r="D696">
        <v>20</v>
      </c>
      <c r="E696">
        <v>0</v>
      </c>
      <c r="F696">
        <v>1</v>
      </c>
      <c r="G696">
        <v>100</v>
      </c>
    </row>
    <row r="697" spans="1:7">
      <c r="A697">
        <v>58</v>
      </c>
      <c r="B697" s="1">
        <v>46266</v>
      </c>
      <c r="C697">
        <v>18</v>
      </c>
      <c r="D697">
        <v>18</v>
      </c>
      <c r="E697">
        <v>0</v>
      </c>
      <c r="F697">
        <v>1</v>
      </c>
      <c r="G697">
        <v>100</v>
      </c>
    </row>
    <row r="698" spans="1:7">
      <c r="A698">
        <v>59</v>
      </c>
      <c r="B698" s="1">
        <v>45931</v>
      </c>
      <c r="C698">
        <v>19</v>
      </c>
      <c r="D698">
        <v>15</v>
      </c>
      <c r="E698">
        <v>4</v>
      </c>
      <c r="F698">
        <v>1</v>
      </c>
      <c r="G698">
        <v>78.900000000000006</v>
      </c>
    </row>
    <row r="699" spans="1:7">
      <c r="A699">
        <v>59</v>
      </c>
      <c r="B699" s="1">
        <v>45962</v>
      </c>
      <c r="C699">
        <v>18</v>
      </c>
      <c r="D699">
        <v>15</v>
      </c>
      <c r="E699">
        <v>3</v>
      </c>
      <c r="F699">
        <v>5</v>
      </c>
      <c r="G699">
        <v>83.3</v>
      </c>
    </row>
    <row r="700" spans="1:7">
      <c r="A700">
        <v>59</v>
      </c>
      <c r="B700" s="1">
        <v>45992</v>
      </c>
      <c r="C700">
        <v>22</v>
      </c>
      <c r="D700">
        <v>19</v>
      </c>
      <c r="E700">
        <v>3</v>
      </c>
      <c r="F700">
        <v>0</v>
      </c>
      <c r="G700">
        <v>86.4</v>
      </c>
    </row>
    <row r="701" spans="1:7">
      <c r="A701">
        <v>59</v>
      </c>
      <c r="B701" s="1">
        <v>46023</v>
      </c>
      <c r="C701">
        <v>18</v>
      </c>
      <c r="D701">
        <v>17</v>
      </c>
      <c r="E701">
        <v>1</v>
      </c>
      <c r="F701">
        <v>0</v>
      </c>
      <c r="G701">
        <v>94.4</v>
      </c>
    </row>
    <row r="702" spans="1:7">
      <c r="A702">
        <v>59</v>
      </c>
      <c r="B702" s="1">
        <v>46054</v>
      </c>
      <c r="C702">
        <v>21</v>
      </c>
      <c r="D702">
        <v>18</v>
      </c>
      <c r="E702">
        <v>3</v>
      </c>
      <c r="F702">
        <v>2</v>
      </c>
      <c r="G702">
        <v>85.7</v>
      </c>
    </row>
    <row r="703" spans="1:7">
      <c r="A703">
        <v>59</v>
      </c>
      <c r="B703" s="1">
        <v>46082</v>
      </c>
      <c r="C703">
        <v>22</v>
      </c>
      <c r="D703">
        <v>20</v>
      </c>
      <c r="E703">
        <v>2</v>
      </c>
      <c r="F703">
        <v>5</v>
      </c>
      <c r="G703">
        <v>90.9</v>
      </c>
    </row>
    <row r="704" spans="1:7">
      <c r="A704">
        <v>59</v>
      </c>
      <c r="B704" s="1">
        <v>46113</v>
      </c>
      <c r="C704">
        <v>22</v>
      </c>
      <c r="D704">
        <v>22</v>
      </c>
      <c r="E704">
        <v>0</v>
      </c>
      <c r="F704">
        <v>3</v>
      </c>
      <c r="G704">
        <v>100</v>
      </c>
    </row>
    <row r="705" spans="1:7">
      <c r="A705">
        <v>59</v>
      </c>
      <c r="B705" s="1">
        <v>46143</v>
      </c>
      <c r="C705">
        <v>22</v>
      </c>
      <c r="D705">
        <v>21</v>
      </c>
      <c r="E705">
        <v>1</v>
      </c>
      <c r="F705">
        <v>2</v>
      </c>
      <c r="G705">
        <v>95.5</v>
      </c>
    </row>
    <row r="706" spans="1:7">
      <c r="A706">
        <v>59</v>
      </c>
      <c r="B706" s="1">
        <v>46174</v>
      </c>
      <c r="C706">
        <v>18</v>
      </c>
      <c r="D706">
        <v>14</v>
      </c>
      <c r="E706">
        <v>4</v>
      </c>
      <c r="F706">
        <v>2</v>
      </c>
      <c r="G706">
        <v>77.8</v>
      </c>
    </row>
    <row r="707" spans="1:7">
      <c r="A707">
        <v>59</v>
      </c>
      <c r="B707" s="1">
        <v>46204</v>
      </c>
      <c r="C707">
        <v>21</v>
      </c>
      <c r="D707">
        <v>18</v>
      </c>
      <c r="E707">
        <v>3</v>
      </c>
      <c r="F707">
        <v>6</v>
      </c>
      <c r="G707">
        <v>85.7</v>
      </c>
    </row>
    <row r="708" spans="1:7">
      <c r="A708">
        <v>59</v>
      </c>
      <c r="B708" s="1">
        <v>46235</v>
      </c>
      <c r="C708">
        <v>18</v>
      </c>
      <c r="D708">
        <v>15</v>
      </c>
      <c r="E708">
        <v>3</v>
      </c>
      <c r="F708">
        <v>0</v>
      </c>
      <c r="G708">
        <v>83.3</v>
      </c>
    </row>
    <row r="709" spans="1:7">
      <c r="A709">
        <v>59</v>
      </c>
      <c r="B709" s="1">
        <v>46266</v>
      </c>
      <c r="C709">
        <v>20</v>
      </c>
      <c r="D709">
        <v>20</v>
      </c>
      <c r="E709">
        <v>0</v>
      </c>
      <c r="F709">
        <v>3</v>
      </c>
      <c r="G709">
        <v>100</v>
      </c>
    </row>
    <row r="710" spans="1:7">
      <c r="A710">
        <v>60</v>
      </c>
      <c r="B710" s="1">
        <v>45931</v>
      </c>
      <c r="C710">
        <v>19</v>
      </c>
      <c r="D710">
        <v>10</v>
      </c>
      <c r="E710">
        <v>9</v>
      </c>
      <c r="F710">
        <v>2</v>
      </c>
      <c r="G710">
        <v>52.6</v>
      </c>
    </row>
    <row r="711" spans="1:7">
      <c r="A711">
        <v>60</v>
      </c>
      <c r="B711" s="1">
        <v>45962</v>
      </c>
      <c r="C711">
        <v>22</v>
      </c>
      <c r="D711">
        <v>10</v>
      </c>
      <c r="E711">
        <v>12</v>
      </c>
      <c r="F711">
        <v>3</v>
      </c>
      <c r="G711">
        <v>45.5</v>
      </c>
    </row>
    <row r="712" spans="1:7">
      <c r="A712">
        <v>60</v>
      </c>
      <c r="B712" s="1">
        <v>45992</v>
      </c>
      <c r="C712">
        <v>22</v>
      </c>
      <c r="D712">
        <v>13</v>
      </c>
      <c r="E712">
        <v>9</v>
      </c>
      <c r="F712">
        <v>0</v>
      </c>
      <c r="G712">
        <v>59.1</v>
      </c>
    </row>
    <row r="713" spans="1:7">
      <c r="A713">
        <v>60</v>
      </c>
      <c r="B713" s="1">
        <v>46023</v>
      </c>
      <c r="C713">
        <v>18</v>
      </c>
      <c r="D713">
        <v>10</v>
      </c>
      <c r="E713">
        <v>8</v>
      </c>
      <c r="F713">
        <v>4</v>
      </c>
      <c r="G713">
        <v>55.6</v>
      </c>
    </row>
    <row r="714" spans="1:7">
      <c r="A714">
        <v>60</v>
      </c>
      <c r="B714" s="1">
        <v>46054</v>
      </c>
      <c r="C714">
        <v>22</v>
      </c>
      <c r="D714">
        <v>11</v>
      </c>
      <c r="E714">
        <v>11</v>
      </c>
      <c r="F714">
        <v>5</v>
      </c>
      <c r="G714">
        <v>50</v>
      </c>
    </row>
    <row r="715" spans="1:7">
      <c r="A715">
        <v>60</v>
      </c>
      <c r="B715" s="1">
        <v>46082</v>
      </c>
      <c r="C715">
        <v>22</v>
      </c>
      <c r="D715">
        <v>13</v>
      </c>
      <c r="E715">
        <v>9</v>
      </c>
      <c r="F715">
        <v>6</v>
      </c>
      <c r="G715">
        <v>59.1</v>
      </c>
    </row>
    <row r="716" spans="1:7">
      <c r="A716">
        <v>60</v>
      </c>
      <c r="B716" s="1">
        <v>46113</v>
      </c>
      <c r="C716">
        <v>20</v>
      </c>
      <c r="D716">
        <v>14</v>
      </c>
      <c r="E716">
        <v>6</v>
      </c>
      <c r="F716">
        <v>2</v>
      </c>
      <c r="G716">
        <v>70</v>
      </c>
    </row>
    <row r="717" spans="1:7">
      <c r="A717">
        <v>60</v>
      </c>
      <c r="B717" s="1">
        <v>46143</v>
      </c>
      <c r="C717">
        <v>22</v>
      </c>
      <c r="D717">
        <v>11</v>
      </c>
      <c r="E717">
        <v>11</v>
      </c>
      <c r="F717">
        <v>4</v>
      </c>
      <c r="G717">
        <v>50</v>
      </c>
    </row>
    <row r="718" spans="1:7">
      <c r="A718">
        <v>60</v>
      </c>
      <c r="B718" s="1">
        <v>46174</v>
      </c>
      <c r="C718">
        <v>22</v>
      </c>
      <c r="D718">
        <v>14</v>
      </c>
      <c r="E718">
        <v>8</v>
      </c>
      <c r="F718">
        <v>4</v>
      </c>
      <c r="G718">
        <v>63.6</v>
      </c>
    </row>
    <row r="719" spans="1:7">
      <c r="A719">
        <v>60</v>
      </c>
      <c r="B719" s="1">
        <v>46204</v>
      </c>
      <c r="C719">
        <v>21</v>
      </c>
      <c r="D719">
        <v>11</v>
      </c>
      <c r="E719">
        <v>10</v>
      </c>
      <c r="F719">
        <v>4</v>
      </c>
      <c r="G719">
        <v>52.4</v>
      </c>
    </row>
    <row r="720" spans="1:7">
      <c r="A720">
        <v>60</v>
      </c>
      <c r="B720" s="1">
        <v>46235</v>
      </c>
      <c r="C720">
        <v>21</v>
      </c>
      <c r="D720">
        <v>13</v>
      </c>
      <c r="E720">
        <v>8</v>
      </c>
      <c r="F720">
        <v>4</v>
      </c>
      <c r="G720">
        <v>61.9</v>
      </c>
    </row>
    <row r="721" spans="1:7">
      <c r="A721">
        <v>60</v>
      </c>
      <c r="B721" s="1">
        <v>46266</v>
      </c>
      <c r="C721">
        <v>19</v>
      </c>
      <c r="D721">
        <v>10</v>
      </c>
      <c r="E721">
        <v>9</v>
      </c>
      <c r="F721">
        <v>5</v>
      </c>
      <c r="G721">
        <v>52.6</v>
      </c>
    </row>
    <row r="722" spans="1:7">
      <c r="A722">
        <v>61</v>
      </c>
      <c r="B722" s="1">
        <v>45931</v>
      </c>
      <c r="C722">
        <v>20</v>
      </c>
      <c r="D722">
        <v>20</v>
      </c>
      <c r="E722">
        <v>0</v>
      </c>
      <c r="F722">
        <v>0</v>
      </c>
      <c r="G722">
        <v>100</v>
      </c>
    </row>
    <row r="723" spans="1:7">
      <c r="A723">
        <v>61</v>
      </c>
      <c r="B723" s="1">
        <v>45962</v>
      </c>
      <c r="C723">
        <v>21</v>
      </c>
      <c r="D723">
        <v>21</v>
      </c>
      <c r="E723">
        <v>0</v>
      </c>
      <c r="F723">
        <v>0</v>
      </c>
      <c r="G723">
        <v>100</v>
      </c>
    </row>
    <row r="724" spans="1:7">
      <c r="A724">
        <v>61</v>
      </c>
      <c r="B724" s="1">
        <v>45992</v>
      </c>
      <c r="C724">
        <v>19</v>
      </c>
      <c r="D724">
        <v>16</v>
      </c>
      <c r="E724">
        <v>3</v>
      </c>
      <c r="F724">
        <v>3</v>
      </c>
      <c r="G724">
        <v>84.2</v>
      </c>
    </row>
    <row r="725" spans="1:7">
      <c r="A725">
        <v>61</v>
      </c>
      <c r="B725" s="1">
        <v>46023</v>
      </c>
      <c r="C725">
        <v>18</v>
      </c>
      <c r="D725">
        <v>18</v>
      </c>
      <c r="E725">
        <v>0</v>
      </c>
      <c r="F725">
        <v>2</v>
      </c>
      <c r="G725">
        <v>100</v>
      </c>
    </row>
    <row r="726" spans="1:7">
      <c r="A726">
        <v>61</v>
      </c>
      <c r="B726" s="1">
        <v>46054</v>
      </c>
      <c r="C726">
        <v>20</v>
      </c>
      <c r="D726">
        <v>20</v>
      </c>
      <c r="E726">
        <v>0</v>
      </c>
      <c r="F726">
        <v>0</v>
      </c>
      <c r="G726">
        <v>100</v>
      </c>
    </row>
    <row r="727" spans="1:7">
      <c r="A727">
        <v>61</v>
      </c>
      <c r="B727" s="1">
        <v>46082</v>
      </c>
      <c r="C727">
        <v>19</v>
      </c>
      <c r="D727">
        <v>19</v>
      </c>
      <c r="E727">
        <v>0</v>
      </c>
      <c r="F727">
        <v>2</v>
      </c>
      <c r="G727">
        <v>100</v>
      </c>
    </row>
    <row r="728" spans="1:7">
      <c r="A728">
        <v>61</v>
      </c>
      <c r="B728" s="1">
        <v>46113</v>
      </c>
      <c r="C728">
        <v>20</v>
      </c>
      <c r="D728">
        <v>19</v>
      </c>
      <c r="E728">
        <v>1</v>
      </c>
      <c r="F728">
        <v>4</v>
      </c>
      <c r="G728">
        <v>95</v>
      </c>
    </row>
    <row r="729" spans="1:7">
      <c r="A729">
        <v>61</v>
      </c>
      <c r="B729" s="1">
        <v>46143</v>
      </c>
      <c r="C729">
        <v>22</v>
      </c>
      <c r="D729">
        <v>22</v>
      </c>
      <c r="E729">
        <v>0</v>
      </c>
      <c r="F729">
        <v>2</v>
      </c>
      <c r="G729">
        <v>100</v>
      </c>
    </row>
    <row r="730" spans="1:7">
      <c r="A730">
        <v>61</v>
      </c>
      <c r="B730" s="1">
        <v>46174</v>
      </c>
      <c r="C730">
        <v>18</v>
      </c>
      <c r="D730">
        <v>16</v>
      </c>
      <c r="E730">
        <v>2</v>
      </c>
      <c r="F730">
        <v>3</v>
      </c>
      <c r="G730">
        <v>88.9</v>
      </c>
    </row>
    <row r="731" spans="1:7">
      <c r="A731">
        <v>61</v>
      </c>
      <c r="B731" s="1">
        <v>46204</v>
      </c>
      <c r="C731">
        <v>22</v>
      </c>
      <c r="D731">
        <v>21</v>
      </c>
      <c r="E731">
        <v>1</v>
      </c>
      <c r="F731">
        <v>4</v>
      </c>
      <c r="G731">
        <v>95.5</v>
      </c>
    </row>
    <row r="732" spans="1:7">
      <c r="A732">
        <v>61</v>
      </c>
      <c r="B732" s="1">
        <v>46235</v>
      </c>
      <c r="C732">
        <v>18</v>
      </c>
      <c r="D732">
        <v>17</v>
      </c>
      <c r="E732">
        <v>1</v>
      </c>
      <c r="F732">
        <v>2</v>
      </c>
      <c r="G732">
        <v>94.4</v>
      </c>
    </row>
    <row r="733" spans="1:7">
      <c r="A733">
        <v>61</v>
      </c>
      <c r="B733" s="1">
        <v>46266</v>
      </c>
      <c r="C733">
        <v>21</v>
      </c>
      <c r="D733">
        <v>21</v>
      </c>
      <c r="E733">
        <v>0</v>
      </c>
      <c r="F733">
        <v>3</v>
      </c>
      <c r="G733">
        <v>100</v>
      </c>
    </row>
    <row r="734" spans="1:7">
      <c r="A734">
        <v>62</v>
      </c>
      <c r="B734" s="1">
        <v>45931</v>
      </c>
      <c r="C734">
        <v>18</v>
      </c>
      <c r="D734">
        <v>13</v>
      </c>
      <c r="E734">
        <v>5</v>
      </c>
      <c r="F734">
        <v>5</v>
      </c>
      <c r="G734">
        <v>72.2</v>
      </c>
    </row>
    <row r="735" spans="1:7">
      <c r="A735">
        <v>62</v>
      </c>
      <c r="B735" s="1">
        <v>45962</v>
      </c>
      <c r="C735">
        <v>21</v>
      </c>
      <c r="D735">
        <v>17</v>
      </c>
      <c r="E735">
        <v>4</v>
      </c>
      <c r="F735">
        <v>6</v>
      </c>
      <c r="G735">
        <v>81</v>
      </c>
    </row>
    <row r="736" spans="1:7">
      <c r="A736">
        <v>62</v>
      </c>
      <c r="B736" s="1">
        <v>45992</v>
      </c>
      <c r="C736">
        <v>22</v>
      </c>
      <c r="D736">
        <v>14</v>
      </c>
      <c r="E736">
        <v>8</v>
      </c>
      <c r="F736">
        <v>6</v>
      </c>
      <c r="G736">
        <v>63.6</v>
      </c>
    </row>
    <row r="737" spans="1:7">
      <c r="A737">
        <v>62</v>
      </c>
      <c r="B737" s="1">
        <v>46023</v>
      </c>
      <c r="C737">
        <v>21</v>
      </c>
      <c r="D737">
        <v>16</v>
      </c>
      <c r="E737">
        <v>5</v>
      </c>
      <c r="F737">
        <v>5</v>
      </c>
      <c r="G737">
        <v>76.2</v>
      </c>
    </row>
    <row r="738" spans="1:7">
      <c r="A738">
        <v>62</v>
      </c>
      <c r="B738" s="1">
        <v>46054</v>
      </c>
      <c r="C738">
        <v>18</v>
      </c>
      <c r="D738">
        <v>11</v>
      </c>
      <c r="E738">
        <v>7</v>
      </c>
      <c r="F738">
        <v>5</v>
      </c>
      <c r="G738">
        <v>61.1</v>
      </c>
    </row>
    <row r="739" spans="1:7">
      <c r="A739">
        <v>62</v>
      </c>
      <c r="B739" s="1">
        <v>46082</v>
      </c>
      <c r="C739">
        <v>20</v>
      </c>
      <c r="D739">
        <v>15</v>
      </c>
      <c r="E739">
        <v>5</v>
      </c>
      <c r="F739">
        <v>4</v>
      </c>
      <c r="G739">
        <v>75</v>
      </c>
    </row>
    <row r="740" spans="1:7">
      <c r="A740">
        <v>62</v>
      </c>
      <c r="B740" s="1">
        <v>46113</v>
      </c>
      <c r="C740">
        <v>22</v>
      </c>
      <c r="D740">
        <v>13</v>
      </c>
      <c r="E740">
        <v>9</v>
      </c>
      <c r="F740">
        <v>2</v>
      </c>
      <c r="G740">
        <v>59.1</v>
      </c>
    </row>
    <row r="741" spans="1:7">
      <c r="A741">
        <v>62</v>
      </c>
      <c r="B741" s="1">
        <v>46143</v>
      </c>
      <c r="C741">
        <v>20</v>
      </c>
      <c r="D741">
        <v>13</v>
      </c>
      <c r="E741">
        <v>7</v>
      </c>
      <c r="F741">
        <v>0</v>
      </c>
      <c r="G741">
        <v>65</v>
      </c>
    </row>
    <row r="742" spans="1:7">
      <c r="A742">
        <v>62</v>
      </c>
      <c r="B742" s="1">
        <v>46174</v>
      </c>
      <c r="C742">
        <v>19</v>
      </c>
      <c r="D742">
        <v>13</v>
      </c>
      <c r="E742">
        <v>6</v>
      </c>
      <c r="F742">
        <v>3</v>
      </c>
      <c r="G742">
        <v>68.400000000000006</v>
      </c>
    </row>
    <row r="743" spans="1:7">
      <c r="A743">
        <v>62</v>
      </c>
      <c r="B743" s="1">
        <v>46204</v>
      </c>
      <c r="C743">
        <v>22</v>
      </c>
      <c r="D743">
        <v>15</v>
      </c>
      <c r="E743">
        <v>7</v>
      </c>
      <c r="F743">
        <v>6</v>
      </c>
      <c r="G743">
        <v>68.2</v>
      </c>
    </row>
    <row r="744" spans="1:7">
      <c r="A744">
        <v>62</v>
      </c>
      <c r="B744" s="1">
        <v>46235</v>
      </c>
      <c r="C744">
        <v>19</v>
      </c>
      <c r="D744">
        <v>14</v>
      </c>
      <c r="E744">
        <v>5</v>
      </c>
      <c r="F744">
        <v>4</v>
      </c>
      <c r="G744">
        <v>73.7</v>
      </c>
    </row>
    <row r="745" spans="1:7">
      <c r="A745">
        <v>62</v>
      </c>
      <c r="B745" s="1">
        <v>46266</v>
      </c>
      <c r="C745">
        <v>18</v>
      </c>
      <c r="D745">
        <v>13</v>
      </c>
      <c r="E745">
        <v>5</v>
      </c>
      <c r="F745">
        <v>6</v>
      </c>
      <c r="G745">
        <v>72.2</v>
      </c>
    </row>
    <row r="746" spans="1:7">
      <c r="A746">
        <v>63</v>
      </c>
      <c r="B746" s="1">
        <v>45931</v>
      </c>
      <c r="C746">
        <v>20</v>
      </c>
      <c r="D746">
        <v>13</v>
      </c>
      <c r="E746">
        <v>7</v>
      </c>
      <c r="F746">
        <v>0</v>
      </c>
      <c r="G746">
        <v>65</v>
      </c>
    </row>
    <row r="747" spans="1:7">
      <c r="A747">
        <v>63</v>
      </c>
      <c r="B747" s="1">
        <v>45962</v>
      </c>
      <c r="C747">
        <v>20</v>
      </c>
      <c r="D747">
        <v>15</v>
      </c>
      <c r="E747">
        <v>5</v>
      </c>
      <c r="F747">
        <v>3</v>
      </c>
      <c r="G747">
        <v>75</v>
      </c>
    </row>
    <row r="748" spans="1:7">
      <c r="A748">
        <v>63</v>
      </c>
      <c r="B748" s="1">
        <v>45992</v>
      </c>
      <c r="C748">
        <v>18</v>
      </c>
      <c r="D748">
        <v>12</v>
      </c>
      <c r="E748">
        <v>6</v>
      </c>
      <c r="F748">
        <v>3</v>
      </c>
      <c r="G748">
        <v>66.7</v>
      </c>
    </row>
    <row r="749" spans="1:7">
      <c r="A749">
        <v>63</v>
      </c>
      <c r="B749" s="1">
        <v>46023</v>
      </c>
      <c r="C749">
        <v>20</v>
      </c>
      <c r="D749">
        <v>13</v>
      </c>
      <c r="E749">
        <v>7</v>
      </c>
      <c r="F749">
        <v>1</v>
      </c>
      <c r="G749">
        <v>65</v>
      </c>
    </row>
    <row r="750" spans="1:7">
      <c r="A750">
        <v>63</v>
      </c>
      <c r="B750" s="1">
        <v>46054</v>
      </c>
      <c r="C750">
        <v>22</v>
      </c>
      <c r="D750">
        <v>15</v>
      </c>
      <c r="E750">
        <v>7</v>
      </c>
      <c r="F750">
        <v>6</v>
      </c>
      <c r="G750">
        <v>68.2</v>
      </c>
    </row>
    <row r="751" spans="1:7">
      <c r="A751">
        <v>63</v>
      </c>
      <c r="B751" s="1">
        <v>46082</v>
      </c>
      <c r="C751">
        <v>18</v>
      </c>
      <c r="D751">
        <v>10</v>
      </c>
      <c r="E751">
        <v>8</v>
      </c>
      <c r="F751">
        <v>6</v>
      </c>
      <c r="G751">
        <v>55.6</v>
      </c>
    </row>
    <row r="752" spans="1:7">
      <c r="A752">
        <v>63</v>
      </c>
      <c r="B752" s="1">
        <v>46113</v>
      </c>
      <c r="C752">
        <v>19</v>
      </c>
      <c r="D752">
        <v>10</v>
      </c>
      <c r="E752">
        <v>9</v>
      </c>
      <c r="F752">
        <v>0</v>
      </c>
      <c r="G752">
        <v>52.6</v>
      </c>
    </row>
    <row r="753" spans="1:7">
      <c r="A753">
        <v>63</v>
      </c>
      <c r="B753" s="1">
        <v>46143</v>
      </c>
      <c r="C753">
        <v>21</v>
      </c>
      <c r="D753">
        <v>15</v>
      </c>
      <c r="E753">
        <v>6</v>
      </c>
      <c r="F753">
        <v>4</v>
      </c>
      <c r="G753">
        <v>71.400000000000006</v>
      </c>
    </row>
    <row r="754" spans="1:7">
      <c r="A754">
        <v>63</v>
      </c>
      <c r="B754" s="1">
        <v>46174</v>
      </c>
      <c r="C754">
        <v>19</v>
      </c>
      <c r="D754">
        <v>10</v>
      </c>
      <c r="E754">
        <v>9</v>
      </c>
      <c r="F754">
        <v>5</v>
      </c>
      <c r="G754">
        <v>52.6</v>
      </c>
    </row>
    <row r="755" spans="1:7">
      <c r="A755">
        <v>63</v>
      </c>
      <c r="B755" s="1">
        <v>46204</v>
      </c>
      <c r="C755">
        <v>22</v>
      </c>
      <c r="D755">
        <v>11</v>
      </c>
      <c r="E755">
        <v>11</v>
      </c>
      <c r="F755">
        <v>2</v>
      </c>
      <c r="G755">
        <v>50</v>
      </c>
    </row>
    <row r="756" spans="1:7">
      <c r="A756">
        <v>63</v>
      </c>
      <c r="B756" s="1">
        <v>46235</v>
      </c>
      <c r="C756">
        <v>20</v>
      </c>
      <c r="D756">
        <v>10</v>
      </c>
      <c r="E756">
        <v>10</v>
      </c>
      <c r="F756">
        <v>6</v>
      </c>
      <c r="G756">
        <v>50</v>
      </c>
    </row>
    <row r="757" spans="1:7">
      <c r="A757">
        <v>63</v>
      </c>
      <c r="B757" s="1">
        <v>46266</v>
      </c>
      <c r="C757">
        <v>22</v>
      </c>
      <c r="D757">
        <v>12</v>
      </c>
      <c r="E757">
        <v>10</v>
      </c>
      <c r="F757">
        <v>5</v>
      </c>
      <c r="G757">
        <v>54.5</v>
      </c>
    </row>
    <row r="758" spans="1:7">
      <c r="A758">
        <v>64</v>
      </c>
      <c r="B758" s="1">
        <v>45931</v>
      </c>
      <c r="C758">
        <v>19</v>
      </c>
      <c r="D758">
        <v>19</v>
      </c>
      <c r="E758">
        <v>0</v>
      </c>
      <c r="F758">
        <v>3</v>
      </c>
      <c r="G758">
        <v>100</v>
      </c>
    </row>
    <row r="759" spans="1:7">
      <c r="A759">
        <v>64</v>
      </c>
      <c r="B759" s="1">
        <v>45962</v>
      </c>
      <c r="C759">
        <v>22</v>
      </c>
      <c r="D759">
        <v>21</v>
      </c>
      <c r="E759">
        <v>1</v>
      </c>
      <c r="F759">
        <v>0</v>
      </c>
      <c r="G759">
        <v>95.5</v>
      </c>
    </row>
    <row r="760" spans="1:7">
      <c r="A760">
        <v>64</v>
      </c>
      <c r="B760" s="1">
        <v>45992</v>
      </c>
      <c r="C760">
        <v>18</v>
      </c>
      <c r="D760">
        <v>18</v>
      </c>
      <c r="E760">
        <v>0</v>
      </c>
      <c r="F760">
        <v>0</v>
      </c>
      <c r="G760">
        <v>100</v>
      </c>
    </row>
    <row r="761" spans="1:7">
      <c r="A761">
        <v>64</v>
      </c>
      <c r="B761" s="1">
        <v>46023</v>
      </c>
      <c r="C761">
        <v>20</v>
      </c>
      <c r="D761">
        <v>19</v>
      </c>
      <c r="E761">
        <v>1</v>
      </c>
      <c r="F761">
        <v>3</v>
      </c>
      <c r="G761">
        <v>95</v>
      </c>
    </row>
    <row r="762" spans="1:7">
      <c r="A762">
        <v>64</v>
      </c>
      <c r="B762" s="1">
        <v>46054</v>
      </c>
      <c r="C762">
        <v>18</v>
      </c>
      <c r="D762">
        <v>15</v>
      </c>
      <c r="E762">
        <v>3</v>
      </c>
      <c r="F762">
        <v>5</v>
      </c>
      <c r="G762">
        <v>83.3</v>
      </c>
    </row>
    <row r="763" spans="1:7">
      <c r="A763">
        <v>64</v>
      </c>
      <c r="B763" s="1">
        <v>46082</v>
      </c>
      <c r="C763">
        <v>20</v>
      </c>
      <c r="D763">
        <v>18</v>
      </c>
      <c r="E763">
        <v>2</v>
      </c>
      <c r="F763">
        <v>0</v>
      </c>
      <c r="G763">
        <v>90</v>
      </c>
    </row>
    <row r="764" spans="1:7">
      <c r="A764">
        <v>64</v>
      </c>
      <c r="B764" s="1">
        <v>46113</v>
      </c>
      <c r="C764">
        <v>22</v>
      </c>
      <c r="D764">
        <v>22</v>
      </c>
      <c r="E764">
        <v>0</v>
      </c>
      <c r="F764">
        <v>1</v>
      </c>
      <c r="G764">
        <v>100</v>
      </c>
    </row>
    <row r="765" spans="1:7">
      <c r="A765">
        <v>64</v>
      </c>
      <c r="B765" s="1">
        <v>46143</v>
      </c>
      <c r="C765">
        <v>20</v>
      </c>
      <c r="D765">
        <v>20</v>
      </c>
      <c r="E765">
        <v>0</v>
      </c>
      <c r="F765">
        <v>1</v>
      </c>
      <c r="G765">
        <v>100</v>
      </c>
    </row>
    <row r="766" spans="1:7">
      <c r="A766">
        <v>64</v>
      </c>
      <c r="B766" s="1">
        <v>46174</v>
      </c>
      <c r="C766">
        <v>19</v>
      </c>
      <c r="D766">
        <v>19</v>
      </c>
      <c r="E766">
        <v>0</v>
      </c>
      <c r="F766">
        <v>3</v>
      </c>
      <c r="G766">
        <v>100</v>
      </c>
    </row>
    <row r="767" spans="1:7">
      <c r="A767">
        <v>64</v>
      </c>
      <c r="B767" s="1">
        <v>46204</v>
      </c>
      <c r="C767">
        <v>18</v>
      </c>
      <c r="D767">
        <v>15</v>
      </c>
      <c r="E767">
        <v>3</v>
      </c>
      <c r="F767">
        <v>2</v>
      </c>
      <c r="G767">
        <v>83.3</v>
      </c>
    </row>
    <row r="768" spans="1:7">
      <c r="A768">
        <v>64</v>
      </c>
      <c r="B768" s="1">
        <v>46235</v>
      </c>
      <c r="C768">
        <v>19</v>
      </c>
      <c r="D768">
        <v>18</v>
      </c>
      <c r="E768">
        <v>1</v>
      </c>
      <c r="F768">
        <v>4</v>
      </c>
      <c r="G768">
        <v>94.7</v>
      </c>
    </row>
    <row r="769" spans="1:7">
      <c r="A769">
        <v>64</v>
      </c>
      <c r="B769" s="1">
        <v>46266</v>
      </c>
      <c r="C769">
        <v>22</v>
      </c>
      <c r="D769">
        <v>21</v>
      </c>
      <c r="E769">
        <v>1</v>
      </c>
      <c r="F769">
        <v>4</v>
      </c>
      <c r="G769">
        <v>95.5</v>
      </c>
    </row>
    <row r="770" spans="1:7">
      <c r="A770">
        <v>65</v>
      </c>
      <c r="B770" s="1">
        <v>45931</v>
      </c>
      <c r="C770">
        <v>18</v>
      </c>
      <c r="D770">
        <v>10</v>
      </c>
      <c r="E770">
        <v>8</v>
      </c>
      <c r="F770">
        <v>2</v>
      </c>
      <c r="G770">
        <v>55.6</v>
      </c>
    </row>
    <row r="771" spans="1:7">
      <c r="A771">
        <v>65</v>
      </c>
      <c r="B771" s="1">
        <v>45962</v>
      </c>
      <c r="C771">
        <v>20</v>
      </c>
      <c r="D771">
        <v>11</v>
      </c>
      <c r="E771">
        <v>9</v>
      </c>
      <c r="F771">
        <v>1</v>
      </c>
      <c r="G771">
        <v>55</v>
      </c>
    </row>
    <row r="772" spans="1:7">
      <c r="A772">
        <v>65</v>
      </c>
      <c r="B772" s="1">
        <v>45992</v>
      </c>
      <c r="C772">
        <v>20</v>
      </c>
      <c r="D772">
        <v>14</v>
      </c>
      <c r="E772">
        <v>6</v>
      </c>
      <c r="F772">
        <v>2</v>
      </c>
      <c r="G772">
        <v>70</v>
      </c>
    </row>
    <row r="773" spans="1:7">
      <c r="A773">
        <v>65</v>
      </c>
      <c r="B773" s="1">
        <v>46023</v>
      </c>
      <c r="C773">
        <v>22</v>
      </c>
      <c r="D773">
        <v>15</v>
      </c>
      <c r="E773">
        <v>7</v>
      </c>
      <c r="F773">
        <v>2</v>
      </c>
      <c r="G773">
        <v>68.2</v>
      </c>
    </row>
    <row r="774" spans="1:7">
      <c r="A774">
        <v>65</v>
      </c>
      <c r="B774" s="1">
        <v>46054</v>
      </c>
      <c r="C774">
        <v>22</v>
      </c>
      <c r="D774">
        <v>15</v>
      </c>
      <c r="E774">
        <v>7</v>
      </c>
      <c r="F774">
        <v>3</v>
      </c>
      <c r="G774">
        <v>68.2</v>
      </c>
    </row>
    <row r="775" spans="1:7">
      <c r="A775">
        <v>65</v>
      </c>
      <c r="B775" s="1">
        <v>46082</v>
      </c>
      <c r="C775">
        <v>18</v>
      </c>
      <c r="D775">
        <v>10</v>
      </c>
      <c r="E775">
        <v>8</v>
      </c>
      <c r="F775">
        <v>0</v>
      </c>
      <c r="G775">
        <v>55.6</v>
      </c>
    </row>
    <row r="776" spans="1:7">
      <c r="A776">
        <v>65</v>
      </c>
      <c r="B776" s="1">
        <v>46113</v>
      </c>
      <c r="C776">
        <v>21</v>
      </c>
      <c r="D776">
        <v>12</v>
      </c>
      <c r="E776">
        <v>9</v>
      </c>
      <c r="F776">
        <v>1</v>
      </c>
      <c r="G776">
        <v>57.1</v>
      </c>
    </row>
    <row r="777" spans="1:7">
      <c r="A777">
        <v>65</v>
      </c>
      <c r="B777" s="1">
        <v>46143</v>
      </c>
      <c r="C777">
        <v>22</v>
      </c>
      <c r="D777">
        <v>14</v>
      </c>
      <c r="E777">
        <v>8</v>
      </c>
      <c r="F777">
        <v>4</v>
      </c>
      <c r="G777">
        <v>63.6</v>
      </c>
    </row>
    <row r="778" spans="1:7">
      <c r="A778">
        <v>65</v>
      </c>
      <c r="B778" s="1">
        <v>46174</v>
      </c>
      <c r="C778">
        <v>21</v>
      </c>
      <c r="D778">
        <v>15</v>
      </c>
      <c r="E778">
        <v>6</v>
      </c>
      <c r="F778">
        <v>6</v>
      </c>
      <c r="G778">
        <v>71.400000000000006</v>
      </c>
    </row>
    <row r="779" spans="1:7">
      <c r="A779">
        <v>65</v>
      </c>
      <c r="B779" s="1">
        <v>46204</v>
      </c>
      <c r="C779">
        <v>19</v>
      </c>
      <c r="D779">
        <v>13</v>
      </c>
      <c r="E779">
        <v>6</v>
      </c>
      <c r="F779">
        <v>5</v>
      </c>
      <c r="G779">
        <v>68.400000000000006</v>
      </c>
    </row>
    <row r="780" spans="1:7">
      <c r="A780">
        <v>65</v>
      </c>
      <c r="B780" s="1">
        <v>46235</v>
      </c>
      <c r="C780">
        <v>22</v>
      </c>
      <c r="D780">
        <v>11</v>
      </c>
      <c r="E780">
        <v>11</v>
      </c>
      <c r="F780">
        <v>6</v>
      </c>
      <c r="G780">
        <v>50</v>
      </c>
    </row>
    <row r="781" spans="1:7">
      <c r="A781">
        <v>65</v>
      </c>
      <c r="B781" s="1">
        <v>46266</v>
      </c>
      <c r="C781">
        <v>21</v>
      </c>
      <c r="D781">
        <v>11</v>
      </c>
      <c r="E781">
        <v>10</v>
      </c>
      <c r="F781">
        <v>4</v>
      </c>
      <c r="G781">
        <v>52.4</v>
      </c>
    </row>
    <row r="782" spans="1:7">
      <c r="A782">
        <v>66</v>
      </c>
      <c r="B782" s="1">
        <v>45931</v>
      </c>
      <c r="C782">
        <v>19</v>
      </c>
      <c r="D782">
        <v>10</v>
      </c>
      <c r="E782">
        <v>9</v>
      </c>
      <c r="F782">
        <v>5</v>
      </c>
      <c r="G782">
        <v>52.6</v>
      </c>
    </row>
    <row r="783" spans="1:7">
      <c r="A783">
        <v>66</v>
      </c>
      <c r="B783" s="1">
        <v>45962</v>
      </c>
      <c r="C783">
        <v>21</v>
      </c>
      <c r="D783">
        <v>12</v>
      </c>
      <c r="E783">
        <v>9</v>
      </c>
      <c r="F783">
        <v>0</v>
      </c>
      <c r="G783">
        <v>57.1</v>
      </c>
    </row>
    <row r="784" spans="1:7">
      <c r="A784">
        <v>66</v>
      </c>
      <c r="B784" s="1">
        <v>45992</v>
      </c>
      <c r="C784">
        <v>21</v>
      </c>
      <c r="D784">
        <v>15</v>
      </c>
      <c r="E784">
        <v>6</v>
      </c>
      <c r="F784">
        <v>6</v>
      </c>
      <c r="G784">
        <v>71.400000000000006</v>
      </c>
    </row>
    <row r="785" spans="1:7">
      <c r="A785">
        <v>66</v>
      </c>
      <c r="B785" s="1">
        <v>46023</v>
      </c>
      <c r="C785">
        <v>21</v>
      </c>
      <c r="D785">
        <v>11</v>
      </c>
      <c r="E785">
        <v>10</v>
      </c>
      <c r="F785">
        <v>3</v>
      </c>
      <c r="G785">
        <v>52.4</v>
      </c>
    </row>
    <row r="786" spans="1:7">
      <c r="A786">
        <v>66</v>
      </c>
      <c r="B786" s="1">
        <v>46054</v>
      </c>
      <c r="C786">
        <v>19</v>
      </c>
      <c r="D786">
        <v>11</v>
      </c>
      <c r="E786">
        <v>8</v>
      </c>
      <c r="F786">
        <v>4</v>
      </c>
      <c r="G786">
        <v>57.9</v>
      </c>
    </row>
    <row r="787" spans="1:7">
      <c r="A787">
        <v>66</v>
      </c>
      <c r="B787" s="1">
        <v>46082</v>
      </c>
      <c r="C787">
        <v>20</v>
      </c>
      <c r="D787">
        <v>13</v>
      </c>
      <c r="E787">
        <v>7</v>
      </c>
      <c r="F787">
        <v>2</v>
      </c>
      <c r="G787">
        <v>65</v>
      </c>
    </row>
    <row r="788" spans="1:7">
      <c r="A788">
        <v>66</v>
      </c>
      <c r="B788" s="1">
        <v>46113</v>
      </c>
      <c r="C788">
        <v>21</v>
      </c>
      <c r="D788">
        <v>12</v>
      </c>
      <c r="E788">
        <v>9</v>
      </c>
      <c r="F788">
        <v>2</v>
      </c>
      <c r="G788">
        <v>57.1</v>
      </c>
    </row>
    <row r="789" spans="1:7">
      <c r="A789">
        <v>66</v>
      </c>
      <c r="B789" s="1">
        <v>46143</v>
      </c>
      <c r="C789">
        <v>20</v>
      </c>
      <c r="D789">
        <v>10</v>
      </c>
      <c r="E789">
        <v>10</v>
      </c>
      <c r="F789">
        <v>3</v>
      </c>
      <c r="G789">
        <v>50</v>
      </c>
    </row>
    <row r="790" spans="1:7">
      <c r="A790">
        <v>66</v>
      </c>
      <c r="B790" s="1">
        <v>46174</v>
      </c>
      <c r="C790">
        <v>21</v>
      </c>
      <c r="D790">
        <v>12</v>
      </c>
      <c r="E790">
        <v>9</v>
      </c>
      <c r="F790">
        <v>2</v>
      </c>
      <c r="G790">
        <v>57.1</v>
      </c>
    </row>
    <row r="791" spans="1:7">
      <c r="A791">
        <v>66</v>
      </c>
      <c r="B791" s="1">
        <v>46204</v>
      </c>
      <c r="C791">
        <v>21</v>
      </c>
      <c r="D791">
        <v>13</v>
      </c>
      <c r="E791">
        <v>8</v>
      </c>
      <c r="F791">
        <v>3</v>
      </c>
      <c r="G791">
        <v>61.9</v>
      </c>
    </row>
    <row r="792" spans="1:7">
      <c r="A792">
        <v>66</v>
      </c>
      <c r="B792" s="1">
        <v>46235</v>
      </c>
      <c r="C792">
        <v>19</v>
      </c>
      <c r="D792">
        <v>12</v>
      </c>
      <c r="E792">
        <v>7</v>
      </c>
      <c r="F792">
        <v>4</v>
      </c>
      <c r="G792">
        <v>63.2</v>
      </c>
    </row>
    <row r="793" spans="1:7">
      <c r="A793">
        <v>66</v>
      </c>
      <c r="B793" s="1">
        <v>46266</v>
      </c>
      <c r="C793">
        <v>19</v>
      </c>
      <c r="D793">
        <v>10</v>
      </c>
      <c r="E793">
        <v>9</v>
      </c>
      <c r="F793">
        <v>4</v>
      </c>
      <c r="G793">
        <v>52.6</v>
      </c>
    </row>
    <row r="794" spans="1:7">
      <c r="A794">
        <v>67</v>
      </c>
      <c r="B794" s="1">
        <v>45931</v>
      </c>
      <c r="C794">
        <v>18</v>
      </c>
      <c r="D794">
        <v>12</v>
      </c>
      <c r="E794">
        <v>6</v>
      </c>
      <c r="F794">
        <v>0</v>
      </c>
      <c r="G794">
        <v>66.7</v>
      </c>
    </row>
    <row r="795" spans="1:7">
      <c r="A795">
        <v>67</v>
      </c>
      <c r="B795" s="1">
        <v>45962</v>
      </c>
      <c r="C795">
        <v>20</v>
      </c>
      <c r="D795">
        <v>10</v>
      </c>
      <c r="E795">
        <v>10</v>
      </c>
      <c r="F795">
        <v>4</v>
      </c>
      <c r="G795">
        <v>50</v>
      </c>
    </row>
    <row r="796" spans="1:7">
      <c r="A796">
        <v>67</v>
      </c>
      <c r="B796" s="1">
        <v>45992</v>
      </c>
      <c r="C796">
        <v>18</v>
      </c>
      <c r="D796">
        <v>10</v>
      </c>
      <c r="E796">
        <v>8</v>
      </c>
      <c r="F796">
        <v>3</v>
      </c>
      <c r="G796">
        <v>55.6</v>
      </c>
    </row>
    <row r="797" spans="1:7">
      <c r="A797">
        <v>67</v>
      </c>
      <c r="B797" s="1">
        <v>46023</v>
      </c>
      <c r="C797">
        <v>22</v>
      </c>
      <c r="D797">
        <v>16</v>
      </c>
      <c r="E797">
        <v>6</v>
      </c>
      <c r="F797">
        <v>3</v>
      </c>
      <c r="G797">
        <v>72.7</v>
      </c>
    </row>
    <row r="798" spans="1:7">
      <c r="A798">
        <v>67</v>
      </c>
      <c r="B798" s="1">
        <v>46054</v>
      </c>
      <c r="C798">
        <v>19</v>
      </c>
      <c r="D798">
        <v>12</v>
      </c>
      <c r="E798">
        <v>7</v>
      </c>
      <c r="F798">
        <v>3</v>
      </c>
      <c r="G798">
        <v>63.2</v>
      </c>
    </row>
    <row r="799" spans="1:7">
      <c r="A799">
        <v>67</v>
      </c>
      <c r="B799" s="1">
        <v>46082</v>
      </c>
      <c r="C799">
        <v>21</v>
      </c>
      <c r="D799">
        <v>14</v>
      </c>
      <c r="E799">
        <v>7</v>
      </c>
      <c r="F799">
        <v>0</v>
      </c>
      <c r="G799">
        <v>66.7</v>
      </c>
    </row>
    <row r="800" spans="1:7">
      <c r="A800">
        <v>67</v>
      </c>
      <c r="B800" s="1">
        <v>46113</v>
      </c>
      <c r="C800">
        <v>20</v>
      </c>
      <c r="D800">
        <v>11</v>
      </c>
      <c r="E800">
        <v>9</v>
      </c>
      <c r="F800">
        <v>3</v>
      </c>
      <c r="G800">
        <v>55</v>
      </c>
    </row>
    <row r="801" spans="1:7">
      <c r="A801">
        <v>67</v>
      </c>
      <c r="B801" s="1">
        <v>46143</v>
      </c>
      <c r="C801">
        <v>21</v>
      </c>
      <c r="D801">
        <v>10</v>
      </c>
      <c r="E801">
        <v>11</v>
      </c>
      <c r="F801">
        <v>4</v>
      </c>
      <c r="G801">
        <v>47.6</v>
      </c>
    </row>
    <row r="802" spans="1:7">
      <c r="A802">
        <v>67</v>
      </c>
      <c r="B802" s="1">
        <v>46174</v>
      </c>
      <c r="C802">
        <v>20</v>
      </c>
      <c r="D802">
        <v>13</v>
      </c>
      <c r="E802">
        <v>7</v>
      </c>
      <c r="F802">
        <v>5</v>
      </c>
      <c r="G802">
        <v>65</v>
      </c>
    </row>
    <row r="803" spans="1:7">
      <c r="A803">
        <v>67</v>
      </c>
      <c r="B803" s="1">
        <v>46204</v>
      </c>
      <c r="C803">
        <v>18</v>
      </c>
      <c r="D803">
        <v>10</v>
      </c>
      <c r="E803">
        <v>8</v>
      </c>
      <c r="F803">
        <v>5</v>
      </c>
      <c r="G803">
        <v>55.6</v>
      </c>
    </row>
    <row r="804" spans="1:7">
      <c r="A804">
        <v>67</v>
      </c>
      <c r="B804" s="1">
        <v>46235</v>
      </c>
      <c r="C804">
        <v>22</v>
      </c>
      <c r="D804">
        <v>13</v>
      </c>
      <c r="E804">
        <v>9</v>
      </c>
      <c r="F804">
        <v>4</v>
      </c>
      <c r="G804">
        <v>59.1</v>
      </c>
    </row>
    <row r="805" spans="1:7">
      <c r="A805">
        <v>67</v>
      </c>
      <c r="B805" s="1">
        <v>46266</v>
      </c>
      <c r="C805">
        <v>21</v>
      </c>
      <c r="D805">
        <v>13</v>
      </c>
      <c r="E805">
        <v>8</v>
      </c>
      <c r="F805">
        <v>2</v>
      </c>
      <c r="G805">
        <v>61.9</v>
      </c>
    </row>
    <row r="806" spans="1:7">
      <c r="A806">
        <v>68</v>
      </c>
      <c r="B806" s="1">
        <v>45931</v>
      </c>
      <c r="C806">
        <v>22</v>
      </c>
      <c r="D806">
        <v>18</v>
      </c>
      <c r="E806">
        <v>4</v>
      </c>
      <c r="F806">
        <v>2</v>
      </c>
      <c r="G806">
        <v>81.8</v>
      </c>
    </row>
    <row r="807" spans="1:7">
      <c r="A807">
        <v>68</v>
      </c>
      <c r="B807" s="1">
        <v>45962</v>
      </c>
      <c r="C807">
        <v>21</v>
      </c>
      <c r="D807">
        <v>17</v>
      </c>
      <c r="E807">
        <v>4</v>
      </c>
      <c r="F807">
        <v>0</v>
      </c>
      <c r="G807">
        <v>81</v>
      </c>
    </row>
    <row r="808" spans="1:7">
      <c r="A808">
        <v>68</v>
      </c>
      <c r="B808" s="1">
        <v>45992</v>
      </c>
      <c r="C808">
        <v>22</v>
      </c>
      <c r="D808">
        <v>16</v>
      </c>
      <c r="E808">
        <v>6</v>
      </c>
      <c r="F808">
        <v>6</v>
      </c>
      <c r="G808">
        <v>72.7</v>
      </c>
    </row>
    <row r="809" spans="1:7">
      <c r="A809">
        <v>68</v>
      </c>
      <c r="B809" s="1">
        <v>46023</v>
      </c>
      <c r="C809">
        <v>21</v>
      </c>
      <c r="D809">
        <v>16</v>
      </c>
      <c r="E809">
        <v>5</v>
      </c>
      <c r="F809">
        <v>2</v>
      </c>
      <c r="G809">
        <v>76.2</v>
      </c>
    </row>
    <row r="810" spans="1:7">
      <c r="A810">
        <v>68</v>
      </c>
      <c r="B810" s="1">
        <v>46054</v>
      </c>
      <c r="C810">
        <v>21</v>
      </c>
      <c r="D810">
        <v>19</v>
      </c>
      <c r="E810">
        <v>2</v>
      </c>
      <c r="F810">
        <v>1</v>
      </c>
      <c r="G810">
        <v>90.5</v>
      </c>
    </row>
    <row r="811" spans="1:7">
      <c r="A811">
        <v>68</v>
      </c>
      <c r="B811" s="1">
        <v>46082</v>
      </c>
      <c r="C811">
        <v>19</v>
      </c>
      <c r="D811">
        <v>17</v>
      </c>
      <c r="E811">
        <v>2</v>
      </c>
      <c r="F811">
        <v>4</v>
      </c>
      <c r="G811">
        <v>89.5</v>
      </c>
    </row>
    <row r="812" spans="1:7">
      <c r="A812">
        <v>68</v>
      </c>
      <c r="B812" s="1">
        <v>46113</v>
      </c>
      <c r="C812">
        <v>18</v>
      </c>
      <c r="D812">
        <v>15</v>
      </c>
      <c r="E812">
        <v>3</v>
      </c>
      <c r="F812">
        <v>3</v>
      </c>
      <c r="G812">
        <v>83.3</v>
      </c>
    </row>
    <row r="813" spans="1:7">
      <c r="A813">
        <v>68</v>
      </c>
      <c r="B813" s="1">
        <v>46143</v>
      </c>
      <c r="C813">
        <v>22</v>
      </c>
      <c r="D813">
        <v>22</v>
      </c>
      <c r="E813">
        <v>0</v>
      </c>
      <c r="F813">
        <v>2</v>
      </c>
      <c r="G813">
        <v>100</v>
      </c>
    </row>
    <row r="814" spans="1:7">
      <c r="A814">
        <v>68</v>
      </c>
      <c r="B814" s="1">
        <v>46174</v>
      </c>
      <c r="C814">
        <v>21</v>
      </c>
      <c r="D814">
        <v>20</v>
      </c>
      <c r="E814">
        <v>1</v>
      </c>
      <c r="F814">
        <v>1</v>
      </c>
      <c r="G814">
        <v>95.2</v>
      </c>
    </row>
    <row r="815" spans="1:7">
      <c r="A815">
        <v>68</v>
      </c>
      <c r="B815" s="1">
        <v>46204</v>
      </c>
      <c r="C815">
        <v>20</v>
      </c>
      <c r="D815">
        <v>19</v>
      </c>
      <c r="E815">
        <v>1</v>
      </c>
      <c r="F815">
        <v>2</v>
      </c>
      <c r="G815">
        <v>95</v>
      </c>
    </row>
    <row r="816" spans="1:7">
      <c r="A816">
        <v>68</v>
      </c>
      <c r="B816" s="1">
        <v>46235</v>
      </c>
      <c r="C816">
        <v>22</v>
      </c>
      <c r="D816">
        <v>18</v>
      </c>
      <c r="E816">
        <v>4</v>
      </c>
      <c r="F816">
        <v>3</v>
      </c>
      <c r="G816">
        <v>81.8</v>
      </c>
    </row>
    <row r="817" spans="1:7">
      <c r="A817">
        <v>68</v>
      </c>
      <c r="B817" s="1">
        <v>46266</v>
      </c>
      <c r="C817">
        <v>20</v>
      </c>
      <c r="D817">
        <v>20</v>
      </c>
      <c r="E817">
        <v>0</v>
      </c>
      <c r="F817">
        <v>0</v>
      </c>
      <c r="G817">
        <v>100</v>
      </c>
    </row>
    <row r="818" spans="1:7">
      <c r="A818">
        <v>69</v>
      </c>
      <c r="B818" s="1">
        <v>45931</v>
      </c>
      <c r="C818">
        <v>22</v>
      </c>
      <c r="D818">
        <v>11</v>
      </c>
      <c r="E818">
        <v>11</v>
      </c>
      <c r="F818">
        <v>3</v>
      </c>
      <c r="G818">
        <v>50</v>
      </c>
    </row>
    <row r="819" spans="1:7">
      <c r="A819">
        <v>69</v>
      </c>
      <c r="B819" s="1">
        <v>45962</v>
      </c>
      <c r="C819">
        <v>19</v>
      </c>
      <c r="D819">
        <v>13</v>
      </c>
      <c r="E819">
        <v>6</v>
      </c>
      <c r="F819">
        <v>6</v>
      </c>
      <c r="G819">
        <v>68.400000000000006</v>
      </c>
    </row>
    <row r="820" spans="1:7">
      <c r="A820">
        <v>69</v>
      </c>
      <c r="B820" s="1">
        <v>45992</v>
      </c>
      <c r="C820">
        <v>20</v>
      </c>
      <c r="D820">
        <v>11</v>
      </c>
      <c r="E820">
        <v>9</v>
      </c>
      <c r="F820">
        <v>0</v>
      </c>
      <c r="G820">
        <v>55</v>
      </c>
    </row>
    <row r="821" spans="1:7">
      <c r="A821">
        <v>69</v>
      </c>
      <c r="B821" s="1">
        <v>46023</v>
      </c>
      <c r="C821">
        <v>18</v>
      </c>
      <c r="D821">
        <v>11</v>
      </c>
      <c r="E821">
        <v>7</v>
      </c>
      <c r="F821">
        <v>5</v>
      </c>
      <c r="G821">
        <v>61.1</v>
      </c>
    </row>
    <row r="822" spans="1:7">
      <c r="A822">
        <v>69</v>
      </c>
      <c r="B822" s="1">
        <v>46054</v>
      </c>
      <c r="C822">
        <v>22</v>
      </c>
      <c r="D822">
        <v>16</v>
      </c>
      <c r="E822">
        <v>6</v>
      </c>
      <c r="F822">
        <v>6</v>
      </c>
      <c r="G822">
        <v>72.7</v>
      </c>
    </row>
    <row r="823" spans="1:7">
      <c r="A823">
        <v>69</v>
      </c>
      <c r="B823" s="1">
        <v>46082</v>
      </c>
      <c r="C823">
        <v>20</v>
      </c>
      <c r="D823">
        <v>16</v>
      </c>
      <c r="E823">
        <v>4</v>
      </c>
      <c r="F823">
        <v>6</v>
      </c>
      <c r="G823">
        <v>80</v>
      </c>
    </row>
    <row r="824" spans="1:7">
      <c r="A824">
        <v>69</v>
      </c>
      <c r="B824" s="1">
        <v>46113</v>
      </c>
      <c r="C824">
        <v>18</v>
      </c>
      <c r="D824">
        <v>12</v>
      </c>
      <c r="E824">
        <v>6</v>
      </c>
      <c r="F824">
        <v>3</v>
      </c>
      <c r="G824">
        <v>66.7</v>
      </c>
    </row>
    <row r="825" spans="1:7">
      <c r="A825">
        <v>69</v>
      </c>
      <c r="B825" s="1">
        <v>46143</v>
      </c>
      <c r="C825">
        <v>20</v>
      </c>
      <c r="D825">
        <v>11</v>
      </c>
      <c r="E825">
        <v>9</v>
      </c>
      <c r="F825">
        <v>5</v>
      </c>
      <c r="G825">
        <v>55</v>
      </c>
    </row>
    <row r="826" spans="1:7">
      <c r="A826">
        <v>69</v>
      </c>
      <c r="B826" s="1">
        <v>46174</v>
      </c>
      <c r="C826">
        <v>21</v>
      </c>
      <c r="D826">
        <v>17</v>
      </c>
      <c r="E826">
        <v>4</v>
      </c>
      <c r="F826">
        <v>1</v>
      </c>
      <c r="G826">
        <v>81</v>
      </c>
    </row>
    <row r="827" spans="1:7">
      <c r="A827">
        <v>69</v>
      </c>
      <c r="B827" s="1">
        <v>46204</v>
      </c>
      <c r="C827">
        <v>19</v>
      </c>
      <c r="D827">
        <v>12</v>
      </c>
      <c r="E827">
        <v>7</v>
      </c>
      <c r="F827">
        <v>3</v>
      </c>
      <c r="G827">
        <v>63.2</v>
      </c>
    </row>
    <row r="828" spans="1:7">
      <c r="A828">
        <v>69</v>
      </c>
      <c r="B828" s="1">
        <v>46235</v>
      </c>
      <c r="C828">
        <v>19</v>
      </c>
      <c r="D828">
        <v>13</v>
      </c>
      <c r="E828">
        <v>6</v>
      </c>
      <c r="F828">
        <v>2</v>
      </c>
      <c r="G828">
        <v>68.400000000000006</v>
      </c>
    </row>
    <row r="829" spans="1:7">
      <c r="A829">
        <v>69</v>
      </c>
      <c r="B829" s="1">
        <v>46266</v>
      </c>
      <c r="C829">
        <v>21</v>
      </c>
      <c r="D829">
        <v>14</v>
      </c>
      <c r="E829">
        <v>7</v>
      </c>
      <c r="F829">
        <v>1</v>
      </c>
      <c r="G829">
        <v>66.7</v>
      </c>
    </row>
    <row r="830" spans="1:7">
      <c r="A830">
        <v>70</v>
      </c>
      <c r="B830" s="1">
        <v>45931</v>
      </c>
      <c r="C830">
        <v>20</v>
      </c>
      <c r="D830">
        <v>17</v>
      </c>
      <c r="E830">
        <v>3</v>
      </c>
      <c r="F830">
        <v>1</v>
      </c>
      <c r="G830">
        <v>85</v>
      </c>
    </row>
    <row r="831" spans="1:7">
      <c r="A831">
        <v>70</v>
      </c>
      <c r="B831" s="1">
        <v>45962</v>
      </c>
      <c r="C831">
        <v>18</v>
      </c>
      <c r="D831">
        <v>18</v>
      </c>
      <c r="E831">
        <v>0</v>
      </c>
      <c r="F831">
        <v>0</v>
      </c>
      <c r="G831">
        <v>100</v>
      </c>
    </row>
    <row r="832" spans="1:7">
      <c r="A832">
        <v>70</v>
      </c>
      <c r="B832" s="1">
        <v>45992</v>
      </c>
      <c r="C832">
        <v>18</v>
      </c>
      <c r="D832">
        <v>16</v>
      </c>
      <c r="E832">
        <v>2</v>
      </c>
      <c r="F832">
        <v>5</v>
      </c>
      <c r="G832">
        <v>88.9</v>
      </c>
    </row>
    <row r="833" spans="1:7">
      <c r="A833">
        <v>70</v>
      </c>
      <c r="B833" s="1">
        <v>46023</v>
      </c>
      <c r="C833">
        <v>21</v>
      </c>
      <c r="D833">
        <v>18</v>
      </c>
      <c r="E833">
        <v>3</v>
      </c>
      <c r="F833">
        <v>1</v>
      </c>
      <c r="G833">
        <v>85.7</v>
      </c>
    </row>
    <row r="834" spans="1:7">
      <c r="A834">
        <v>70</v>
      </c>
      <c r="B834" s="1">
        <v>46054</v>
      </c>
      <c r="C834">
        <v>18</v>
      </c>
      <c r="D834">
        <v>16</v>
      </c>
      <c r="E834">
        <v>2</v>
      </c>
      <c r="F834">
        <v>3</v>
      </c>
      <c r="G834">
        <v>88.9</v>
      </c>
    </row>
    <row r="835" spans="1:7">
      <c r="A835">
        <v>70</v>
      </c>
      <c r="B835" s="1">
        <v>46082</v>
      </c>
      <c r="C835">
        <v>22</v>
      </c>
      <c r="D835">
        <v>19</v>
      </c>
      <c r="E835">
        <v>3</v>
      </c>
      <c r="F835">
        <v>3</v>
      </c>
      <c r="G835">
        <v>86.4</v>
      </c>
    </row>
    <row r="836" spans="1:7">
      <c r="A836">
        <v>70</v>
      </c>
      <c r="B836" s="1">
        <v>46113</v>
      </c>
      <c r="C836">
        <v>22</v>
      </c>
      <c r="D836">
        <v>21</v>
      </c>
      <c r="E836">
        <v>1</v>
      </c>
      <c r="F836">
        <v>4</v>
      </c>
      <c r="G836">
        <v>95.5</v>
      </c>
    </row>
    <row r="837" spans="1:7">
      <c r="A837">
        <v>70</v>
      </c>
      <c r="B837" s="1">
        <v>46143</v>
      </c>
      <c r="C837">
        <v>21</v>
      </c>
      <c r="D837">
        <v>19</v>
      </c>
      <c r="E837">
        <v>2</v>
      </c>
      <c r="F837">
        <v>3</v>
      </c>
      <c r="G837">
        <v>90.5</v>
      </c>
    </row>
    <row r="838" spans="1:7">
      <c r="A838">
        <v>70</v>
      </c>
      <c r="B838" s="1">
        <v>46174</v>
      </c>
      <c r="C838">
        <v>20</v>
      </c>
      <c r="D838">
        <v>20</v>
      </c>
      <c r="E838">
        <v>0</v>
      </c>
      <c r="F838">
        <v>0</v>
      </c>
      <c r="G838">
        <v>100</v>
      </c>
    </row>
    <row r="839" spans="1:7">
      <c r="A839">
        <v>70</v>
      </c>
      <c r="B839" s="1">
        <v>46204</v>
      </c>
      <c r="C839">
        <v>22</v>
      </c>
      <c r="D839">
        <v>20</v>
      </c>
      <c r="E839">
        <v>2</v>
      </c>
      <c r="F839">
        <v>3</v>
      </c>
      <c r="G839">
        <v>90.9</v>
      </c>
    </row>
    <row r="840" spans="1:7">
      <c r="A840">
        <v>70</v>
      </c>
      <c r="B840" s="1">
        <v>46235</v>
      </c>
      <c r="C840">
        <v>19</v>
      </c>
      <c r="D840">
        <v>19</v>
      </c>
      <c r="E840">
        <v>0</v>
      </c>
      <c r="F840">
        <v>2</v>
      </c>
      <c r="G840">
        <v>100</v>
      </c>
    </row>
    <row r="841" spans="1:7">
      <c r="A841">
        <v>70</v>
      </c>
      <c r="B841" s="1">
        <v>46266</v>
      </c>
      <c r="C841">
        <v>18</v>
      </c>
      <c r="D841">
        <v>18</v>
      </c>
      <c r="E841">
        <v>0</v>
      </c>
      <c r="F841">
        <v>0</v>
      </c>
      <c r="G841">
        <v>100</v>
      </c>
    </row>
    <row r="842" spans="1:7">
      <c r="A842">
        <v>71</v>
      </c>
      <c r="B842" s="1">
        <v>45931</v>
      </c>
      <c r="C842">
        <v>22</v>
      </c>
      <c r="D842">
        <v>22</v>
      </c>
      <c r="E842">
        <v>0</v>
      </c>
      <c r="F842">
        <v>3</v>
      </c>
      <c r="G842">
        <v>100</v>
      </c>
    </row>
    <row r="843" spans="1:7">
      <c r="A843">
        <v>71</v>
      </c>
      <c r="B843" s="1">
        <v>45962</v>
      </c>
      <c r="C843">
        <v>18</v>
      </c>
      <c r="D843">
        <v>18</v>
      </c>
      <c r="E843">
        <v>0</v>
      </c>
      <c r="F843">
        <v>1</v>
      </c>
      <c r="G843">
        <v>100</v>
      </c>
    </row>
    <row r="844" spans="1:7">
      <c r="A844">
        <v>71</v>
      </c>
      <c r="B844" s="1">
        <v>45992</v>
      </c>
      <c r="C844">
        <v>22</v>
      </c>
      <c r="D844">
        <v>16</v>
      </c>
      <c r="E844">
        <v>6</v>
      </c>
      <c r="F844">
        <v>6</v>
      </c>
      <c r="G844">
        <v>72.7</v>
      </c>
    </row>
    <row r="845" spans="1:7">
      <c r="A845">
        <v>71</v>
      </c>
      <c r="B845" s="1">
        <v>46023</v>
      </c>
      <c r="C845">
        <v>20</v>
      </c>
      <c r="D845">
        <v>20</v>
      </c>
      <c r="E845">
        <v>0</v>
      </c>
      <c r="F845">
        <v>3</v>
      </c>
      <c r="G845">
        <v>100</v>
      </c>
    </row>
    <row r="846" spans="1:7">
      <c r="A846">
        <v>71</v>
      </c>
      <c r="B846" s="1">
        <v>46054</v>
      </c>
      <c r="C846">
        <v>22</v>
      </c>
      <c r="D846">
        <v>18</v>
      </c>
      <c r="E846">
        <v>4</v>
      </c>
      <c r="F846">
        <v>0</v>
      </c>
      <c r="G846">
        <v>81.8</v>
      </c>
    </row>
    <row r="847" spans="1:7">
      <c r="A847">
        <v>71</v>
      </c>
      <c r="B847" s="1">
        <v>46082</v>
      </c>
      <c r="C847">
        <v>19</v>
      </c>
      <c r="D847">
        <v>17</v>
      </c>
      <c r="E847">
        <v>2</v>
      </c>
      <c r="F847">
        <v>3</v>
      </c>
      <c r="G847">
        <v>89.5</v>
      </c>
    </row>
    <row r="848" spans="1:7">
      <c r="A848">
        <v>71</v>
      </c>
      <c r="B848" s="1">
        <v>46113</v>
      </c>
      <c r="C848">
        <v>18</v>
      </c>
      <c r="D848">
        <v>18</v>
      </c>
      <c r="E848">
        <v>0</v>
      </c>
      <c r="F848">
        <v>2</v>
      </c>
      <c r="G848">
        <v>100</v>
      </c>
    </row>
    <row r="849" spans="1:7">
      <c r="A849">
        <v>71</v>
      </c>
      <c r="B849" s="1">
        <v>46143</v>
      </c>
      <c r="C849">
        <v>22</v>
      </c>
      <c r="D849">
        <v>22</v>
      </c>
      <c r="E849">
        <v>0</v>
      </c>
      <c r="F849">
        <v>0</v>
      </c>
      <c r="G849">
        <v>100</v>
      </c>
    </row>
    <row r="850" spans="1:7">
      <c r="A850">
        <v>71</v>
      </c>
      <c r="B850" s="1">
        <v>46174</v>
      </c>
      <c r="C850">
        <v>20</v>
      </c>
      <c r="D850">
        <v>20</v>
      </c>
      <c r="E850">
        <v>0</v>
      </c>
      <c r="F850">
        <v>3</v>
      </c>
      <c r="G850">
        <v>100</v>
      </c>
    </row>
    <row r="851" spans="1:7">
      <c r="A851">
        <v>71</v>
      </c>
      <c r="B851" s="1">
        <v>46204</v>
      </c>
      <c r="C851">
        <v>22</v>
      </c>
      <c r="D851">
        <v>22</v>
      </c>
      <c r="E851">
        <v>0</v>
      </c>
      <c r="F851">
        <v>3</v>
      </c>
      <c r="G851">
        <v>100</v>
      </c>
    </row>
    <row r="852" spans="1:7">
      <c r="A852">
        <v>71</v>
      </c>
      <c r="B852" s="1">
        <v>46235</v>
      </c>
      <c r="C852">
        <v>22</v>
      </c>
      <c r="D852">
        <v>22</v>
      </c>
      <c r="E852">
        <v>0</v>
      </c>
      <c r="F852">
        <v>2</v>
      </c>
      <c r="G852">
        <v>100</v>
      </c>
    </row>
    <row r="853" spans="1:7">
      <c r="A853">
        <v>71</v>
      </c>
      <c r="B853" s="1">
        <v>46266</v>
      </c>
      <c r="C853">
        <v>20</v>
      </c>
      <c r="D853">
        <v>20</v>
      </c>
      <c r="E853">
        <v>0</v>
      </c>
      <c r="F853">
        <v>1</v>
      </c>
      <c r="G853">
        <v>100</v>
      </c>
    </row>
    <row r="854" spans="1:7">
      <c r="A854">
        <v>72</v>
      </c>
      <c r="B854" s="1">
        <v>45931</v>
      </c>
      <c r="C854">
        <v>18</v>
      </c>
      <c r="D854">
        <v>11</v>
      </c>
      <c r="E854">
        <v>7</v>
      </c>
      <c r="F854">
        <v>2</v>
      </c>
      <c r="G854">
        <v>61.1</v>
      </c>
    </row>
    <row r="855" spans="1:7">
      <c r="A855">
        <v>72</v>
      </c>
      <c r="B855" s="1">
        <v>45962</v>
      </c>
      <c r="C855">
        <v>22</v>
      </c>
      <c r="D855">
        <v>16</v>
      </c>
      <c r="E855">
        <v>6</v>
      </c>
      <c r="F855">
        <v>2</v>
      </c>
      <c r="G855">
        <v>72.7</v>
      </c>
    </row>
    <row r="856" spans="1:7">
      <c r="A856">
        <v>72</v>
      </c>
      <c r="B856" s="1">
        <v>45992</v>
      </c>
      <c r="C856">
        <v>18</v>
      </c>
      <c r="D856">
        <v>12</v>
      </c>
      <c r="E856">
        <v>6</v>
      </c>
      <c r="F856">
        <v>4</v>
      </c>
      <c r="G856">
        <v>66.7</v>
      </c>
    </row>
    <row r="857" spans="1:7">
      <c r="A857">
        <v>72</v>
      </c>
      <c r="B857" s="1">
        <v>46023</v>
      </c>
      <c r="C857">
        <v>18</v>
      </c>
      <c r="D857">
        <v>12</v>
      </c>
      <c r="E857">
        <v>6</v>
      </c>
      <c r="F857">
        <v>5</v>
      </c>
      <c r="G857">
        <v>66.7</v>
      </c>
    </row>
    <row r="858" spans="1:7">
      <c r="A858">
        <v>72</v>
      </c>
      <c r="B858" s="1">
        <v>46054</v>
      </c>
      <c r="C858">
        <v>20</v>
      </c>
      <c r="D858">
        <v>11</v>
      </c>
      <c r="E858">
        <v>9</v>
      </c>
      <c r="F858">
        <v>2</v>
      </c>
      <c r="G858">
        <v>55</v>
      </c>
    </row>
    <row r="859" spans="1:7">
      <c r="A859">
        <v>72</v>
      </c>
      <c r="B859" s="1">
        <v>46082</v>
      </c>
      <c r="C859">
        <v>21</v>
      </c>
      <c r="D859">
        <v>15</v>
      </c>
      <c r="E859">
        <v>6</v>
      </c>
      <c r="F859">
        <v>0</v>
      </c>
      <c r="G859">
        <v>71.400000000000006</v>
      </c>
    </row>
    <row r="860" spans="1:7">
      <c r="A860">
        <v>72</v>
      </c>
      <c r="B860" s="1">
        <v>46113</v>
      </c>
      <c r="C860">
        <v>19</v>
      </c>
      <c r="D860">
        <v>15</v>
      </c>
      <c r="E860">
        <v>4</v>
      </c>
      <c r="F860">
        <v>2</v>
      </c>
      <c r="G860">
        <v>78.900000000000006</v>
      </c>
    </row>
    <row r="861" spans="1:7">
      <c r="A861">
        <v>72</v>
      </c>
      <c r="B861" s="1">
        <v>46143</v>
      </c>
      <c r="C861">
        <v>20</v>
      </c>
      <c r="D861">
        <v>12</v>
      </c>
      <c r="E861">
        <v>8</v>
      </c>
      <c r="F861">
        <v>1</v>
      </c>
      <c r="G861">
        <v>60</v>
      </c>
    </row>
    <row r="862" spans="1:7">
      <c r="A862">
        <v>72</v>
      </c>
      <c r="B862" s="1">
        <v>46174</v>
      </c>
      <c r="C862">
        <v>22</v>
      </c>
      <c r="D862">
        <v>14</v>
      </c>
      <c r="E862">
        <v>8</v>
      </c>
      <c r="F862">
        <v>0</v>
      </c>
      <c r="G862">
        <v>63.6</v>
      </c>
    </row>
    <row r="863" spans="1:7">
      <c r="A863">
        <v>72</v>
      </c>
      <c r="B863" s="1">
        <v>46204</v>
      </c>
      <c r="C863">
        <v>18</v>
      </c>
      <c r="D863">
        <v>10</v>
      </c>
      <c r="E863">
        <v>8</v>
      </c>
      <c r="F863">
        <v>4</v>
      </c>
      <c r="G863">
        <v>55.6</v>
      </c>
    </row>
    <row r="864" spans="1:7">
      <c r="A864">
        <v>72</v>
      </c>
      <c r="B864" s="1">
        <v>46235</v>
      </c>
      <c r="C864">
        <v>19</v>
      </c>
      <c r="D864">
        <v>10</v>
      </c>
      <c r="E864">
        <v>9</v>
      </c>
      <c r="F864">
        <v>5</v>
      </c>
      <c r="G864">
        <v>52.6</v>
      </c>
    </row>
    <row r="865" spans="1:7">
      <c r="A865">
        <v>72</v>
      </c>
      <c r="B865" s="1">
        <v>46266</v>
      </c>
      <c r="C865">
        <v>21</v>
      </c>
      <c r="D865">
        <v>14</v>
      </c>
      <c r="E865">
        <v>7</v>
      </c>
      <c r="F865">
        <v>2</v>
      </c>
      <c r="G865">
        <v>66.7</v>
      </c>
    </row>
    <row r="866" spans="1:7">
      <c r="A866">
        <v>73</v>
      </c>
      <c r="B866" s="1">
        <v>45931</v>
      </c>
      <c r="C866">
        <v>19</v>
      </c>
      <c r="D866">
        <v>19</v>
      </c>
      <c r="E866">
        <v>0</v>
      </c>
      <c r="F866">
        <v>3</v>
      </c>
      <c r="G866">
        <v>100</v>
      </c>
    </row>
    <row r="867" spans="1:7">
      <c r="A867">
        <v>73</v>
      </c>
      <c r="B867" s="1">
        <v>45962</v>
      </c>
      <c r="C867">
        <v>19</v>
      </c>
      <c r="D867">
        <v>15</v>
      </c>
      <c r="E867">
        <v>4</v>
      </c>
      <c r="F867">
        <v>6</v>
      </c>
      <c r="G867">
        <v>78.900000000000006</v>
      </c>
    </row>
    <row r="868" spans="1:7">
      <c r="A868">
        <v>73</v>
      </c>
      <c r="B868" s="1">
        <v>45992</v>
      </c>
      <c r="C868">
        <v>22</v>
      </c>
      <c r="D868">
        <v>20</v>
      </c>
      <c r="E868">
        <v>2</v>
      </c>
      <c r="F868">
        <v>0</v>
      </c>
      <c r="G868">
        <v>90.9</v>
      </c>
    </row>
    <row r="869" spans="1:7">
      <c r="A869">
        <v>73</v>
      </c>
      <c r="B869" s="1">
        <v>46023</v>
      </c>
      <c r="C869">
        <v>19</v>
      </c>
      <c r="D869">
        <v>19</v>
      </c>
      <c r="E869">
        <v>0</v>
      </c>
      <c r="F869">
        <v>1</v>
      </c>
      <c r="G869">
        <v>100</v>
      </c>
    </row>
    <row r="870" spans="1:7">
      <c r="A870">
        <v>73</v>
      </c>
      <c r="B870" s="1">
        <v>46054</v>
      </c>
      <c r="C870">
        <v>21</v>
      </c>
      <c r="D870">
        <v>20</v>
      </c>
      <c r="E870">
        <v>1</v>
      </c>
      <c r="F870">
        <v>3</v>
      </c>
      <c r="G870">
        <v>95.2</v>
      </c>
    </row>
    <row r="871" spans="1:7">
      <c r="A871">
        <v>73</v>
      </c>
      <c r="B871" s="1">
        <v>46082</v>
      </c>
      <c r="C871">
        <v>19</v>
      </c>
      <c r="D871">
        <v>19</v>
      </c>
      <c r="E871">
        <v>0</v>
      </c>
      <c r="F871">
        <v>3</v>
      </c>
      <c r="G871">
        <v>100</v>
      </c>
    </row>
    <row r="872" spans="1:7">
      <c r="A872">
        <v>73</v>
      </c>
      <c r="B872" s="1">
        <v>46113</v>
      </c>
      <c r="C872">
        <v>19</v>
      </c>
      <c r="D872">
        <v>18</v>
      </c>
      <c r="E872">
        <v>1</v>
      </c>
      <c r="F872">
        <v>2</v>
      </c>
      <c r="G872">
        <v>94.7</v>
      </c>
    </row>
    <row r="873" spans="1:7">
      <c r="A873">
        <v>73</v>
      </c>
      <c r="B873" s="1">
        <v>46143</v>
      </c>
      <c r="C873">
        <v>18</v>
      </c>
      <c r="D873">
        <v>14</v>
      </c>
      <c r="E873">
        <v>4</v>
      </c>
      <c r="F873">
        <v>5</v>
      </c>
      <c r="G873">
        <v>77.8</v>
      </c>
    </row>
    <row r="874" spans="1:7">
      <c r="A874">
        <v>73</v>
      </c>
      <c r="B874" s="1">
        <v>46174</v>
      </c>
      <c r="C874">
        <v>20</v>
      </c>
      <c r="D874">
        <v>19</v>
      </c>
      <c r="E874">
        <v>1</v>
      </c>
      <c r="F874">
        <v>1</v>
      </c>
      <c r="G874">
        <v>95</v>
      </c>
    </row>
    <row r="875" spans="1:7">
      <c r="A875">
        <v>73</v>
      </c>
      <c r="B875" s="1">
        <v>46204</v>
      </c>
      <c r="C875">
        <v>21</v>
      </c>
      <c r="D875">
        <v>21</v>
      </c>
      <c r="E875">
        <v>0</v>
      </c>
      <c r="F875">
        <v>3</v>
      </c>
      <c r="G875">
        <v>100</v>
      </c>
    </row>
    <row r="876" spans="1:7">
      <c r="A876">
        <v>73</v>
      </c>
      <c r="B876" s="1">
        <v>46235</v>
      </c>
      <c r="C876">
        <v>21</v>
      </c>
      <c r="D876">
        <v>21</v>
      </c>
      <c r="E876">
        <v>0</v>
      </c>
      <c r="F876">
        <v>1</v>
      </c>
      <c r="G876">
        <v>100</v>
      </c>
    </row>
    <row r="877" spans="1:7">
      <c r="A877">
        <v>73</v>
      </c>
      <c r="B877" s="1">
        <v>46266</v>
      </c>
      <c r="C877">
        <v>21</v>
      </c>
      <c r="D877">
        <v>17</v>
      </c>
      <c r="E877">
        <v>4</v>
      </c>
      <c r="F877">
        <v>5</v>
      </c>
      <c r="G877">
        <v>81</v>
      </c>
    </row>
    <row r="878" spans="1:7">
      <c r="A878">
        <v>74</v>
      </c>
      <c r="B878" s="1">
        <v>45931</v>
      </c>
      <c r="C878">
        <v>21</v>
      </c>
      <c r="D878">
        <v>20</v>
      </c>
      <c r="E878">
        <v>1</v>
      </c>
      <c r="F878">
        <v>3</v>
      </c>
      <c r="G878">
        <v>95.2</v>
      </c>
    </row>
    <row r="879" spans="1:7">
      <c r="A879">
        <v>74</v>
      </c>
      <c r="B879" s="1">
        <v>45962</v>
      </c>
      <c r="C879">
        <v>18</v>
      </c>
      <c r="D879">
        <v>16</v>
      </c>
      <c r="E879">
        <v>2</v>
      </c>
      <c r="F879">
        <v>2</v>
      </c>
      <c r="G879">
        <v>88.9</v>
      </c>
    </row>
    <row r="880" spans="1:7">
      <c r="A880">
        <v>74</v>
      </c>
      <c r="B880" s="1">
        <v>45992</v>
      </c>
      <c r="C880">
        <v>21</v>
      </c>
      <c r="D880">
        <v>20</v>
      </c>
      <c r="E880">
        <v>1</v>
      </c>
      <c r="F880">
        <v>4</v>
      </c>
      <c r="G880">
        <v>95.2</v>
      </c>
    </row>
    <row r="881" spans="1:7">
      <c r="A881">
        <v>74</v>
      </c>
      <c r="B881" s="1">
        <v>46023</v>
      </c>
      <c r="C881">
        <v>18</v>
      </c>
      <c r="D881">
        <v>15</v>
      </c>
      <c r="E881">
        <v>3</v>
      </c>
      <c r="F881">
        <v>0</v>
      </c>
      <c r="G881">
        <v>83.3</v>
      </c>
    </row>
    <row r="882" spans="1:7">
      <c r="A882">
        <v>74</v>
      </c>
      <c r="B882" s="1">
        <v>46054</v>
      </c>
      <c r="C882">
        <v>22</v>
      </c>
      <c r="D882">
        <v>22</v>
      </c>
      <c r="E882">
        <v>0</v>
      </c>
      <c r="F882">
        <v>3</v>
      </c>
      <c r="G882">
        <v>100</v>
      </c>
    </row>
    <row r="883" spans="1:7">
      <c r="A883">
        <v>74</v>
      </c>
      <c r="B883" s="1">
        <v>46082</v>
      </c>
      <c r="C883">
        <v>22</v>
      </c>
      <c r="D883">
        <v>22</v>
      </c>
      <c r="E883">
        <v>0</v>
      </c>
      <c r="F883">
        <v>2</v>
      </c>
      <c r="G883">
        <v>100</v>
      </c>
    </row>
    <row r="884" spans="1:7">
      <c r="A884">
        <v>74</v>
      </c>
      <c r="B884" s="1">
        <v>46113</v>
      </c>
      <c r="C884">
        <v>20</v>
      </c>
      <c r="D884">
        <v>19</v>
      </c>
      <c r="E884">
        <v>1</v>
      </c>
      <c r="F884">
        <v>2</v>
      </c>
      <c r="G884">
        <v>95</v>
      </c>
    </row>
    <row r="885" spans="1:7">
      <c r="A885">
        <v>74</v>
      </c>
      <c r="B885" s="1">
        <v>46143</v>
      </c>
      <c r="C885">
        <v>22</v>
      </c>
      <c r="D885">
        <v>17</v>
      </c>
      <c r="E885">
        <v>5</v>
      </c>
      <c r="F885">
        <v>3</v>
      </c>
      <c r="G885">
        <v>77.3</v>
      </c>
    </row>
    <row r="886" spans="1:7">
      <c r="A886">
        <v>74</v>
      </c>
      <c r="B886" s="1">
        <v>46174</v>
      </c>
      <c r="C886">
        <v>21</v>
      </c>
      <c r="D886">
        <v>19</v>
      </c>
      <c r="E886">
        <v>2</v>
      </c>
      <c r="F886">
        <v>5</v>
      </c>
      <c r="G886">
        <v>90.5</v>
      </c>
    </row>
    <row r="887" spans="1:7">
      <c r="A887">
        <v>74</v>
      </c>
      <c r="B887" s="1">
        <v>46204</v>
      </c>
      <c r="C887">
        <v>22</v>
      </c>
      <c r="D887">
        <v>22</v>
      </c>
      <c r="E887">
        <v>0</v>
      </c>
      <c r="F887">
        <v>1</v>
      </c>
      <c r="G887">
        <v>100</v>
      </c>
    </row>
    <row r="888" spans="1:7">
      <c r="A888">
        <v>74</v>
      </c>
      <c r="B888" s="1">
        <v>46235</v>
      </c>
      <c r="C888">
        <v>22</v>
      </c>
      <c r="D888">
        <v>22</v>
      </c>
      <c r="E888">
        <v>0</v>
      </c>
      <c r="F888">
        <v>1</v>
      </c>
      <c r="G888">
        <v>100</v>
      </c>
    </row>
    <row r="889" spans="1:7">
      <c r="A889">
        <v>74</v>
      </c>
      <c r="B889" s="1">
        <v>46266</v>
      </c>
      <c r="C889">
        <v>20</v>
      </c>
      <c r="D889">
        <v>15</v>
      </c>
      <c r="E889">
        <v>5</v>
      </c>
      <c r="F889">
        <v>4</v>
      </c>
      <c r="G889">
        <v>75</v>
      </c>
    </row>
    <row r="890" spans="1:7">
      <c r="A890">
        <v>75</v>
      </c>
      <c r="B890" s="1">
        <v>45931</v>
      </c>
      <c r="C890">
        <v>18</v>
      </c>
      <c r="D890">
        <v>13</v>
      </c>
      <c r="E890">
        <v>5</v>
      </c>
      <c r="F890">
        <v>0</v>
      </c>
      <c r="G890">
        <v>72.2</v>
      </c>
    </row>
    <row r="891" spans="1:7">
      <c r="A891">
        <v>75</v>
      </c>
      <c r="B891" s="1">
        <v>45962</v>
      </c>
      <c r="C891">
        <v>21</v>
      </c>
      <c r="D891">
        <v>18</v>
      </c>
      <c r="E891">
        <v>3</v>
      </c>
      <c r="F891">
        <v>0</v>
      </c>
      <c r="G891">
        <v>85.7</v>
      </c>
    </row>
    <row r="892" spans="1:7">
      <c r="A892">
        <v>75</v>
      </c>
      <c r="B892" s="1">
        <v>45992</v>
      </c>
      <c r="C892">
        <v>22</v>
      </c>
      <c r="D892">
        <v>14</v>
      </c>
      <c r="E892">
        <v>8</v>
      </c>
      <c r="F892">
        <v>1</v>
      </c>
      <c r="G892">
        <v>63.6</v>
      </c>
    </row>
    <row r="893" spans="1:7">
      <c r="A893">
        <v>75</v>
      </c>
      <c r="B893" s="1">
        <v>46023</v>
      </c>
      <c r="C893">
        <v>20</v>
      </c>
      <c r="D893">
        <v>12</v>
      </c>
      <c r="E893">
        <v>8</v>
      </c>
      <c r="F893">
        <v>2</v>
      </c>
      <c r="G893">
        <v>60</v>
      </c>
    </row>
    <row r="894" spans="1:7">
      <c r="A894">
        <v>75</v>
      </c>
      <c r="B894" s="1">
        <v>46054</v>
      </c>
      <c r="C894">
        <v>19</v>
      </c>
      <c r="D894">
        <v>10</v>
      </c>
      <c r="E894">
        <v>9</v>
      </c>
      <c r="F894">
        <v>0</v>
      </c>
      <c r="G894">
        <v>52.6</v>
      </c>
    </row>
    <row r="895" spans="1:7">
      <c r="A895">
        <v>75</v>
      </c>
      <c r="B895" s="1">
        <v>46082</v>
      </c>
      <c r="C895">
        <v>22</v>
      </c>
      <c r="D895">
        <v>15</v>
      </c>
      <c r="E895">
        <v>7</v>
      </c>
      <c r="F895">
        <v>5</v>
      </c>
      <c r="G895">
        <v>68.2</v>
      </c>
    </row>
    <row r="896" spans="1:7">
      <c r="A896">
        <v>75</v>
      </c>
      <c r="B896" s="1">
        <v>46113</v>
      </c>
      <c r="C896">
        <v>19</v>
      </c>
      <c r="D896">
        <v>10</v>
      </c>
      <c r="E896">
        <v>9</v>
      </c>
      <c r="F896">
        <v>5</v>
      </c>
      <c r="G896">
        <v>52.6</v>
      </c>
    </row>
    <row r="897" spans="1:7">
      <c r="A897">
        <v>75</v>
      </c>
      <c r="B897" s="1">
        <v>46143</v>
      </c>
      <c r="C897">
        <v>18</v>
      </c>
      <c r="D897">
        <v>12</v>
      </c>
      <c r="E897">
        <v>6</v>
      </c>
      <c r="F897">
        <v>0</v>
      </c>
      <c r="G897">
        <v>66.7</v>
      </c>
    </row>
    <row r="898" spans="1:7">
      <c r="A898">
        <v>75</v>
      </c>
      <c r="B898" s="1">
        <v>46174</v>
      </c>
      <c r="C898">
        <v>22</v>
      </c>
      <c r="D898">
        <v>13</v>
      </c>
      <c r="E898">
        <v>9</v>
      </c>
      <c r="F898">
        <v>5</v>
      </c>
      <c r="G898">
        <v>59.1</v>
      </c>
    </row>
    <row r="899" spans="1:7">
      <c r="A899">
        <v>75</v>
      </c>
      <c r="B899" s="1">
        <v>46204</v>
      </c>
      <c r="C899">
        <v>22</v>
      </c>
      <c r="D899">
        <v>13</v>
      </c>
      <c r="E899">
        <v>9</v>
      </c>
      <c r="F899">
        <v>6</v>
      </c>
      <c r="G899">
        <v>59.1</v>
      </c>
    </row>
    <row r="900" spans="1:7">
      <c r="A900">
        <v>75</v>
      </c>
      <c r="B900" s="1">
        <v>46235</v>
      </c>
      <c r="C900">
        <v>19</v>
      </c>
      <c r="D900">
        <v>10</v>
      </c>
      <c r="E900">
        <v>9</v>
      </c>
      <c r="F900">
        <v>2</v>
      </c>
      <c r="G900">
        <v>52.6</v>
      </c>
    </row>
    <row r="901" spans="1:7">
      <c r="A901">
        <v>75</v>
      </c>
      <c r="B901" s="1">
        <v>46266</v>
      </c>
      <c r="C901">
        <v>20</v>
      </c>
      <c r="D901">
        <v>15</v>
      </c>
      <c r="E901">
        <v>5</v>
      </c>
      <c r="F901">
        <v>3</v>
      </c>
      <c r="G901">
        <v>75</v>
      </c>
    </row>
    <row r="902" spans="1:7">
      <c r="A902">
        <v>76</v>
      </c>
      <c r="B902" s="1">
        <v>45931</v>
      </c>
      <c r="C902">
        <v>18</v>
      </c>
      <c r="D902">
        <v>18</v>
      </c>
      <c r="E902">
        <v>0</v>
      </c>
      <c r="F902">
        <v>2</v>
      </c>
      <c r="G902">
        <v>100</v>
      </c>
    </row>
    <row r="903" spans="1:7">
      <c r="A903">
        <v>76</v>
      </c>
      <c r="B903" s="1">
        <v>45962</v>
      </c>
      <c r="C903">
        <v>21</v>
      </c>
      <c r="D903">
        <v>21</v>
      </c>
      <c r="E903">
        <v>0</v>
      </c>
      <c r="F903">
        <v>2</v>
      </c>
      <c r="G903">
        <v>100</v>
      </c>
    </row>
    <row r="904" spans="1:7">
      <c r="A904">
        <v>76</v>
      </c>
      <c r="B904" s="1">
        <v>45992</v>
      </c>
      <c r="C904">
        <v>20</v>
      </c>
      <c r="D904">
        <v>18</v>
      </c>
      <c r="E904">
        <v>2</v>
      </c>
      <c r="F904">
        <v>0</v>
      </c>
      <c r="G904">
        <v>90</v>
      </c>
    </row>
    <row r="905" spans="1:7">
      <c r="A905">
        <v>76</v>
      </c>
      <c r="B905" s="1">
        <v>46023</v>
      </c>
      <c r="C905">
        <v>21</v>
      </c>
      <c r="D905">
        <v>18</v>
      </c>
      <c r="E905">
        <v>3</v>
      </c>
      <c r="F905">
        <v>3</v>
      </c>
      <c r="G905">
        <v>85.7</v>
      </c>
    </row>
    <row r="906" spans="1:7">
      <c r="A906">
        <v>76</v>
      </c>
      <c r="B906" s="1">
        <v>46054</v>
      </c>
      <c r="C906">
        <v>20</v>
      </c>
      <c r="D906">
        <v>17</v>
      </c>
      <c r="E906">
        <v>3</v>
      </c>
      <c r="F906">
        <v>6</v>
      </c>
      <c r="G906">
        <v>85</v>
      </c>
    </row>
    <row r="907" spans="1:7">
      <c r="A907">
        <v>76</v>
      </c>
      <c r="B907" s="1">
        <v>46082</v>
      </c>
      <c r="C907">
        <v>20</v>
      </c>
      <c r="D907">
        <v>18</v>
      </c>
      <c r="E907">
        <v>2</v>
      </c>
      <c r="F907">
        <v>1</v>
      </c>
      <c r="G907">
        <v>90</v>
      </c>
    </row>
    <row r="908" spans="1:7">
      <c r="A908">
        <v>76</v>
      </c>
      <c r="B908" s="1">
        <v>46113</v>
      </c>
      <c r="C908">
        <v>21</v>
      </c>
      <c r="D908">
        <v>14</v>
      </c>
      <c r="E908">
        <v>7</v>
      </c>
      <c r="F908">
        <v>1</v>
      </c>
      <c r="G908">
        <v>66.7</v>
      </c>
    </row>
    <row r="909" spans="1:7">
      <c r="A909">
        <v>76</v>
      </c>
      <c r="B909" s="1">
        <v>46143</v>
      </c>
      <c r="C909">
        <v>22</v>
      </c>
      <c r="D909">
        <v>18</v>
      </c>
      <c r="E909">
        <v>4</v>
      </c>
      <c r="F909">
        <v>3</v>
      </c>
      <c r="G909">
        <v>81.8</v>
      </c>
    </row>
    <row r="910" spans="1:7">
      <c r="A910">
        <v>76</v>
      </c>
      <c r="B910" s="1">
        <v>46174</v>
      </c>
      <c r="C910">
        <v>19</v>
      </c>
      <c r="D910">
        <v>18</v>
      </c>
      <c r="E910">
        <v>1</v>
      </c>
      <c r="F910">
        <v>4</v>
      </c>
      <c r="G910">
        <v>94.7</v>
      </c>
    </row>
    <row r="911" spans="1:7">
      <c r="A911">
        <v>76</v>
      </c>
      <c r="B911" s="1">
        <v>46204</v>
      </c>
      <c r="C911">
        <v>21</v>
      </c>
      <c r="D911">
        <v>20</v>
      </c>
      <c r="E911">
        <v>1</v>
      </c>
      <c r="F911">
        <v>1</v>
      </c>
      <c r="G911">
        <v>95.2</v>
      </c>
    </row>
    <row r="912" spans="1:7">
      <c r="A912">
        <v>76</v>
      </c>
      <c r="B912" s="1">
        <v>46235</v>
      </c>
      <c r="C912">
        <v>22</v>
      </c>
      <c r="D912">
        <v>22</v>
      </c>
      <c r="E912">
        <v>0</v>
      </c>
      <c r="F912">
        <v>2</v>
      </c>
      <c r="G912">
        <v>100</v>
      </c>
    </row>
    <row r="913" spans="1:7">
      <c r="A913">
        <v>76</v>
      </c>
      <c r="B913" s="1">
        <v>46266</v>
      </c>
      <c r="C913">
        <v>18</v>
      </c>
      <c r="D913">
        <v>18</v>
      </c>
      <c r="E913">
        <v>0</v>
      </c>
      <c r="F913">
        <v>0</v>
      </c>
      <c r="G913">
        <v>100</v>
      </c>
    </row>
    <row r="914" spans="1:7">
      <c r="A914">
        <v>77</v>
      </c>
      <c r="B914" s="1">
        <v>45931</v>
      </c>
      <c r="C914">
        <v>18</v>
      </c>
      <c r="D914">
        <v>15</v>
      </c>
      <c r="E914">
        <v>3</v>
      </c>
      <c r="F914">
        <v>6</v>
      </c>
      <c r="G914">
        <v>83.3</v>
      </c>
    </row>
    <row r="915" spans="1:7">
      <c r="A915">
        <v>77</v>
      </c>
      <c r="B915" s="1">
        <v>45962</v>
      </c>
      <c r="C915">
        <v>21</v>
      </c>
      <c r="D915">
        <v>20</v>
      </c>
      <c r="E915">
        <v>1</v>
      </c>
      <c r="F915">
        <v>0</v>
      </c>
      <c r="G915">
        <v>95.2</v>
      </c>
    </row>
    <row r="916" spans="1:7">
      <c r="A916">
        <v>77</v>
      </c>
      <c r="B916" s="1">
        <v>45992</v>
      </c>
      <c r="C916">
        <v>21</v>
      </c>
      <c r="D916">
        <v>19</v>
      </c>
      <c r="E916">
        <v>2</v>
      </c>
      <c r="F916">
        <v>0</v>
      </c>
      <c r="G916">
        <v>90.5</v>
      </c>
    </row>
    <row r="917" spans="1:7">
      <c r="A917">
        <v>77</v>
      </c>
      <c r="B917" s="1">
        <v>46023</v>
      </c>
      <c r="C917">
        <v>21</v>
      </c>
      <c r="D917">
        <v>19</v>
      </c>
      <c r="E917">
        <v>2</v>
      </c>
      <c r="F917">
        <v>2</v>
      </c>
      <c r="G917">
        <v>90.5</v>
      </c>
    </row>
    <row r="918" spans="1:7">
      <c r="A918">
        <v>77</v>
      </c>
      <c r="B918" s="1">
        <v>46054</v>
      </c>
      <c r="C918">
        <v>19</v>
      </c>
      <c r="D918">
        <v>19</v>
      </c>
      <c r="E918">
        <v>0</v>
      </c>
      <c r="F918">
        <v>0</v>
      </c>
      <c r="G918">
        <v>100</v>
      </c>
    </row>
    <row r="919" spans="1:7">
      <c r="A919">
        <v>77</v>
      </c>
      <c r="B919" s="1">
        <v>46082</v>
      </c>
      <c r="C919">
        <v>22</v>
      </c>
      <c r="D919">
        <v>22</v>
      </c>
      <c r="E919">
        <v>0</v>
      </c>
      <c r="F919">
        <v>3</v>
      </c>
      <c r="G919">
        <v>100</v>
      </c>
    </row>
    <row r="920" spans="1:7">
      <c r="A920">
        <v>77</v>
      </c>
      <c r="B920" s="1">
        <v>46113</v>
      </c>
      <c r="C920">
        <v>21</v>
      </c>
      <c r="D920">
        <v>21</v>
      </c>
      <c r="E920">
        <v>0</v>
      </c>
      <c r="F920">
        <v>0</v>
      </c>
      <c r="G920">
        <v>100</v>
      </c>
    </row>
    <row r="921" spans="1:7">
      <c r="A921">
        <v>77</v>
      </c>
      <c r="B921" s="1">
        <v>46143</v>
      </c>
      <c r="C921">
        <v>22</v>
      </c>
      <c r="D921">
        <v>21</v>
      </c>
      <c r="E921">
        <v>1</v>
      </c>
      <c r="F921">
        <v>1</v>
      </c>
      <c r="G921">
        <v>95.5</v>
      </c>
    </row>
    <row r="922" spans="1:7">
      <c r="A922">
        <v>77</v>
      </c>
      <c r="B922" s="1">
        <v>46174</v>
      </c>
      <c r="C922">
        <v>18</v>
      </c>
      <c r="D922">
        <v>18</v>
      </c>
      <c r="E922">
        <v>0</v>
      </c>
      <c r="F922">
        <v>3</v>
      </c>
      <c r="G922">
        <v>100</v>
      </c>
    </row>
    <row r="923" spans="1:7">
      <c r="A923">
        <v>77</v>
      </c>
      <c r="B923" s="1">
        <v>46204</v>
      </c>
      <c r="C923">
        <v>18</v>
      </c>
      <c r="D923">
        <v>16</v>
      </c>
      <c r="E923">
        <v>2</v>
      </c>
      <c r="F923">
        <v>4</v>
      </c>
      <c r="G923">
        <v>88.9</v>
      </c>
    </row>
    <row r="924" spans="1:7">
      <c r="A924">
        <v>77</v>
      </c>
      <c r="B924" s="1">
        <v>46235</v>
      </c>
      <c r="C924">
        <v>22</v>
      </c>
      <c r="D924">
        <v>20</v>
      </c>
      <c r="E924">
        <v>2</v>
      </c>
      <c r="F924">
        <v>5</v>
      </c>
      <c r="G924">
        <v>90.9</v>
      </c>
    </row>
    <row r="925" spans="1:7">
      <c r="A925">
        <v>77</v>
      </c>
      <c r="B925" s="1">
        <v>46266</v>
      </c>
      <c r="C925">
        <v>20</v>
      </c>
      <c r="D925">
        <v>20</v>
      </c>
      <c r="E925">
        <v>0</v>
      </c>
      <c r="F925">
        <v>3</v>
      </c>
      <c r="G925">
        <v>100</v>
      </c>
    </row>
    <row r="926" spans="1:7">
      <c r="A926">
        <v>78</v>
      </c>
      <c r="B926" s="1">
        <v>45931</v>
      </c>
      <c r="C926">
        <v>18</v>
      </c>
      <c r="D926">
        <v>14</v>
      </c>
      <c r="E926">
        <v>4</v>
      </c>
      <c r="F926">
        <v>0</v>
      </c>
      <c r="G926">
        <v>77.8</v>
      </c>
    </row>
    <row r="927" spans="1:7">
      <c r="A927">
        <v>78</v>
      </c>
      <c r="B927" s="1">
        <v>45962</v>
      </c>
      <c r="C927">
        <v>20</v>
      </c>
      <c r="D927">
        <v>16</v>
      </c>
      <c r="E927">
        <v>4</v>
      </c>
      <c r="F927">
        <v>4</v>
      </c>
      <c r="G927">
        <v>80</v>
      </c>
    </row>
    <row r="928" spans="1:7">
      <c r="A928">
        <v>78</v>
      </c>
      <c r="B928" s="1">
        <v>45992</v>
      </c>
      <c r="C928">
        <v>20</v>
      </c>
      <c r="D928">
        <v>11</v>
      </c>
      <c r="E928">
        <v>9</v>
      </c>
      <c r="F928">
        <v>6</v>
      </c>
      <c r="G928">
        <v>55</v>
      </c>
    </row>
    <row r="929" spans="1:7">
      <c r="A929">
        <v>78</v>
      </c>
      <c r="B929" s="1">
        <v>46023</v>
      </c>
      <c r="C929">
        <v>20</v>
      </c>
      <c r="D929">
        <v>11</v>
      </c>
      <c r="E929">
        <v>9</v>
      </c>
      <c r="F929">
        <v>5</v>
      </c>
      <c r="G929">
        <v>55</v>
      </c>
    </row>
    <row r="930" spans="1:7">
      <c r="A930">
        <v>78</v>
      </c>
      <c r="B930" s="1">
        <v>46054</v>
      </c>
      <c r="C930">
        <v>19</v>
      </c>
      <c r="D930">
        <v>11</v>
      </c>
      <c r="E930">
        <v>8</v>
      </c>
      <c r="F930">
        <v>3</v>
      </c>
      <c r="G930">
        <v>57.9</v>
      </c>
    </row>
    <row r="931" spans="1:7">
      <c r="A931">
        <v>78</v>
      </c>
      <c r="B931" s="1">
        <v>46082</v>
      </c>
      <c r="C931">
        <v>19</v>
      </c>
      <c r="D931">
        <v>11</v>
      </c>
      <c r="E931">
        <v>8</v>
      </c>
      <c r="F931">
        <v>2</v>
      </c>
      <c r="G931">
        <v>57.9</v>
      </c>
    </row>
    <row r="932" spans="1:7">
      <c r="A932">
        <v>78</v>
      </c>
      <c r="B932" s="1">
        <v>46113</v>
      </c>
      <c r="C932">
        <v>21</v>
      </c>
      <c r="D932">
        <v>11</v>
      </c>
      <c r="E932">
        <v>10</v>
      </c>
      <c r="F932">
        <v>2</v>
      </c>
      <c r="G932">
        <v>52.4</v>
      </c>
    </row>
    <row r="933" spans="1:7">
      <c r="A933">
        <v>78</v>
      </c>
      <c r="B933" s="1">
        <v>46143</v>
      </c>
      <c r="C933">
        <v>21</v>
      </c>
      <c r="D933">
        <v>15</v>
      </c>
      <c r="E933">
        <v>6</v>
      </c>
      <c r="F933">
        <v>0</v>
      </c>
      <c r="G933">
        <v>71.400000000000006</v>
      </c>
    </row>
    <row r="934" spans="1:7">
      <c r="A934">
        <v>78</v>
      </c>
      <c r="B934" s="1">
        <v>46174</v>
      </c>
      <c r="C934">
        <v>21</v>
      </c>
      <c r="D934">
        <v>14</v>
      </c>
      <c r="E934">
        <v>7</v>
      </c>
      <c r="F934">
        <v>1</v>
      </c>
      <c r="G934">
        <v>66.7</v>
      </c>
    </row>
    <row r="935" spans="1:7">
      <c r="A935">
        <v>78</v>
      </c>
      <c r="B935" s="1">
        <v>46204</v>
      </c>
      <c r="C935">
        <v>18</v>
      </c>
      <c r="D935">
        <v>12</v>
      </c>
      <c r="E935">
        <v>6</v>
      </c>
      <c r="F935">
        <v>5</v>
      </c>
      <c r="G935">
        <v>66.7</v>
      </c>
    </row>
    <row r="936" spans="1:7">
      <c r="A936">
        <v>78</v>
      </c>
      <c r="B936" s="1">
        <v>46235</v>
      </c>
      <c r="C936">
        <v>22</v>
      </c>
      <c r="D936">
        <v>14</v>
      </c>
      <c r="E936">
        <v>8</v>
      </c>
      <c r="F936">
        <v>6</v>
      </c>
      <c r="G936">
        <v>63.6</v>
      </c>
    </row>
    <row r="937" spans="1:7">
      <c r="A937">
        <v>78</v>
      </c>
      <c r="B937" s="1">
        <v>46266</v>
      </c>
      <c r="C937">
        <v>22</v>
      </c>
      <c r="D937">
        <v>13</v>
      </c>
      <c r="E937">
        <v>9</v>
      </c>
      <c r="F937">
        <v>5</v>
      </c>
      <c r="G937">
        <v>59.1</v>
      </c>
    </row>
    <row r="938" spans="1:7">
      <c r="A938">
        <v>79</v>
      </c>
      <c r="B938" s="1">
        <v>45931</v>
      </c>
      <c r="C938">
        <v>20</v>
      </c>
      <c r="D938">
        <v>17</v>
      </c>
      <c r="E938">
        <v>3</v>
      </c>
      <c r="F938">
        <v>6</v>
      </c>
      <c r="G938">
        <v>85</v>
      </c>
    </row>
    <row r="939" spans="1:7">
      <c r="A939">
        <v>79</v>
      </c>
      <c r="B939" s="1">
        <v>45962</v>
      </c>
      <c r="C939">
        <v>21</v>
      </c>
      <c r="D939">
        <v>13</v>
      </c>
      <c r="E939">
        <v>8</v>
      </c>
      <c r="F939">
        <v>0</v>
      </c>
      <c r="G939">
        <v>61.9</v>
      </c>
    </row>
    <row r="940" spans="1:7">
      <c r="A940">
        <v>79</v>
      </c>
      <c r="B940" s="1">
        <v>45992</v>
      </c>
      <c r="C940">
        <v>18</v>
      </c>
      <c r="D940">
        <v>11</v>
      </c>
      <c r="E940">
        <v>7</v>
      </c>
      <c r="F940">
        <v>5</v>
      </c>
      <c r="G940">
        <v>61.1</v>
      </c>
    </row>
    <row r="941" spans="1:7">
      <c r="A941">
        <v>79</v>
      </c>
      <c r="B941" s="1">
        <v>46023</v>
      </c>
      <c r="C941">
        <v>18</v>
      </c>
      <c r="D941">
        <v>10</v>
      </c>
      <c r="E941">
        <v>8</v>
      </c>
      <c r="F941">
        <v>3</v>
      </c>
      <c r="G941">
        <v>55.6</v>
      </c>
    </row>
    <row r="942" spans="1:7">
      <c r="A942">
        <v>79</v>
      </c>
      <c r="B942" s="1">
        <v>46054</v>
      </c>
      <c r="C942">
        <v>18</v>
      </c>
      <c r="D942">
        <v>10</v>
      </c>
      <c r="E942">
        <v>8</v>
      </c>
      <c r="F942">
        <v>4</v>
      </c>
      <c r="G942">
        <v>55.6</v>
      </c>
    </row>
    <row r="943" spans="1:7">
      <c r="A943">
        <v>79</v>
      </c>
      <c r="B943" s="1">
        <v>46082</v>
      </c>
      <c r="C943">
        <v>21</v>
      </c>
      <c r="D943">
        <v>10</v>
      </c>
      <c r="E943">
        <v>11</v>
      </c>
      <c r="F943">
        <v>5</v>
      </c>
      <c r="G943">
        <v>47.6</v>
      </c>
    </row>
    <row r="944" spans="1:7">
      <c r="A944">
        <v>79</v>
      </c>
      <c r="B944" s="1">
        <v>46113</v>
      </c>
      <c r="C944">
        <v>22</v>
      </c>
      <c r="D944">
        <v>12</v>
      </c>
      <c r="E944">
        <v>10</v>
      </c>
      <c r="F944">
        <v>0</v>
      </c>
      <c r="G944">
        <v>54.5</v>
      </c>
    </row>
    <row r="945" spans="1:7">
      <c r="A945">
        <v>79</v>
      </c>
      <c r="B945" s="1">
        <v>46143</v>
      </c>
      <c r="C945">
        <v>18</v>
      </c>
      <c r="D945">
        <v>10</v>
      </c>
      <c r="E945">
        <v>8</v>
      </c>
      <c r="F945">
        <v>5</v>
      </c>
      <c r="G945">
        <v>55.6</v>
      </c>
    </row>
    <row r="946" spans="1:7">
      <c r="A946">
        <v>79</v>
      </c>
      <c r="B946" s="1">
        <v>46174</v>
      </c>
      <c r="C946">
        <v>19</v>
      </c>
      <c r="D946">
        <v>11</v>
      </c>
      <c r="E946">
        <v>8</v>
      </c>
      <c r="F946">
        <v>4</v>
      </c>
      <c r="G946">
        <v>57.9</v>
      </c>
    </row>
    <row r="947" spans="1:7">
      <c r="A947">
        <v>79</v>
      </c>
      <c r="B947" s="1">
        <v>46204</v>
      </c>
      <c r="C947">
        <v>18</v>
      </c>
      <c r="D947">
        <v>10</v>
      </c>
      <c r="E947">
        <v>8</v>
      </c>
      <c r="F947">
        <v>1</v>
      </c>
      <c r="G947">
        <v>55.6</v>
      </c>
    </row>
    <row r="948" spans="1:7">
      <c r="A948">
        <v>79</v>
      </c>
      <c r="B948" s="1">
        <v>46235</v>
      </c>
      <c r="C948">
        <v>19</v>
      </c>
      <c r="D948">
        <v>10</v>
      </c>
      <c r="E948">
        <v>9</v>
      </c>
      <c r="F948">
        <v>2</v>
      </c>
      <c r="G948">
        <v>52.6</v>
      </c>
    </row>
    <row r="949" spans="1:7">
      <c r="A949">
        <v>79</v>
      </c>
      <c r="B949" s="1">
        <v>46266</v>
      </c>
      <c r="C949">
        <v>18</v>
      </c>
      <c r="D949">
        <v>10</v>
      </c>
      <c r="E949">
        <v>8</v>
      </c>
      <c r="F949">
        <v>3</v>
      </c>
      <c r="G949">
        <v>55.6</v>
      </c>
    </row>
    <row r="950" spans="1:7">
      <c r="A950">
        <v>80</v>
      </c>
      <c r="B950" s="1">
        <v>45931</v>
      </c>
      <c r="C950">
        <v>22</v>
      </c>
      <c r="D950">
        <v>12</v>
      </c>
      <c r="E950">
        <v>10</v>
      </c>
      <c r="F950">
        <v>6</v>
      </c>
      <c r="G950">
        <v>54.5</v>
      </c>
    </row>
    <row r="951" spans="1:7">
      <c r="A951">
        <v>80</v>
      </c>
      <c r="B951" s="1">
        <v>45962</v>
      </c>
      <c r="C951">
        <v>18</v>
      </c>
      <c r="D951">
        <v>10</v>
      </c>
      <c r="E951">
        <v>8</v>
      </c>
      <c r="F951">
        <v>0</v>
      </c>
      <c r="G951">
        <v>55.6</v>
      </c>
    </row>
    <row r="952" spans="1:7">
      <c r="A952">
        <v>80</v>
      </c>
      <c r="B952" s="1">
        <v>45992</v>
      </c>
      <c r="C952">
        <v>21</v>
      </c>
      <c r="D952">
        <v>15</v>
      </c>
      <c r="E952">
        <v>6</v>
      </c>
      <c r="F952">
        <v>0</v>
      </c>
      <c r="G952">
        <v>71.400000000000006</v>
      </c>
    </row>
    <row r="953" spans="1:7">
      <c r="A953">
        <v>80</v>
      </c>
      <c r="B953" s="1">
        <v>46023</v>
      </c>
      <c r="C953">
        <v>19</v>
      </c>
      <c r="D953">
        <v>12</v>
      </c>
      <c r="E953">
        <v>7</v>
      </c>
      <c r="F953">
        <v>3</v>
      </c>
      <c r="G953">
        <v>63.2</v>
      </c>
    </row>
    <row r="954" spans="1:7">
      <c r="A954">
        <v>80</v>
      </c>
      <c r="B954" s="1">
        <v>46054</v>
      </c>
      <c r="C954">
        <v>20</v>
      </c>
      <c r="D954">
        <v>10</v>
      </c>
      <c r="E954">
        <v>10</v>
      </c>
      <c r="F954">
        <v>5</v>
      </c>
      <c r="G954">
        <v>50</v>
      </c>
    </row>
    <row r="955" spans="1:7">
      <c r="A955">
        <v>80</v>
      </c>
      <c r="B955" s="1">
        <v>46082</v>
      </c>
      <c r="C955">
        <v>21</v>
      </c>
      <c r="D955">
        <v>18</v>
      </c>
      <c r="E955">
        <v>3</v>
      </c>
      <c r="F955">
        <v>2</v>
      </c>
      <c r="G955">
        <v>85.7</v>
      </c>
    </row>
    <row r="956" spans="1:7">
      <c r="A956">
        <v>80</v>
      </c>
      <c r="B956" s="1">
        <v>46113</v>
      </c>
      <c r="C956">
        <v>18</v>
      </c>
      <c r="D956">
        <v>10</v>
      </c>
      <c r="E956">
        <v>8</v>
      </c>
      <c r="F956">
        <v>1</v>
      </c>
      <c r="G956">
        <v>55.6</v>
      </c>
    </row>
    <row r="957" spans="1:7">
      <c r="A957">
        <v>80</v>
      </c>
      <c r="B957" s="1">
        <v>46143</v>
      </c>
      <c r="C957">
        <v>20</v>
      </c>
      <c r="D957">
        <v>12</v>
      </c>
      <c r="E957">
        <v>8</v>
      </c>
      <c r="F957">
        <v>6</v>
      </c>
      <c r="G957">
        <v>60</v>
      </c>
    </row>
    <row r="958" spans="1:7">
      <c r="A958">
        <v>80</v>
      </c>
      <c r="B958" s="1">
        <v>46174</v>
      </c>
      <c r="C958">
        <v>19</v>
      </c>
      <c r="D958">
        <v>10</v>
      </c>
      <c r="E958">
        <v>9</v>
      </c>
      <c r="F958">
        <v>2</v>
      </c>
      <c r="G958">
        <v>52.6</v>
      </c>
    </row>
    <row r="959" spans="1:7">
      <c r="A959">
        <v>80</v>
      </c>
      <c r="B959" s="1">
        <v>46204</v>
      </c>
      <c r="C959">
        <v>18</v>
      </c>
      <c r="D959">
        <v>12</v>
      </c>
      <c r="E959">
        <v>6</v>
      </c>
      <c r="F959">
        <v>0</v>
      </c>
      <c r="G959">
        <v>66.7</v>
      </c>
    </row>
    <row r="960" spans="1:7">
      <c r="A960">
        <v>80</v>
      </c>
      <c r="B960" s="1">
        <v>46235</v>
      </c>
      <c r="C960">
        <v>20</v>
      </c>
      <c r="D960">
        <v>10</v>
      </c>
      <c r="E960">
        <v>10</v>
      </c>
      <c r="F960">
        <v>5</v>
      </c>
      <c r="G960">
        <v>50</v>
      </c>
    </row>
    <row r="961" spans="1:7">
      <c r="A961">
        <v>80</v>
      </c>
      <c r="B961" s="1">
        <v>46266</v>
      </c>
      <c r="C961">
        <v>20</v>
      </c>
      <c r="D961">
        <v>10</v>
      </c>
      <c r="E961">
        <v>10</v>
      </c>
      <c r="F961">
        <v>4</v>
      </c>
      <c r="G961">
        <v>50</v>
      </c>
    </row>
    <row r="962" spans="1:7">
      <c r="A962">
        <v>81</v>
      </c>
      <c r="B962" s="1">
        <v>45931</v>
      </c>
      <c r="C962">
        <v>19</v>
      </c>
      <c r="D962">
        <v>19</v>
      </c>
      <c r="E962">
        <v>0</v>
      </c>
      <c r="F962">
        <v>0</v>
      </c>
      <c r="G962">
        <v>100</v>
      </c>
    </row>
    <row r="963" spans="1:7">
      <c r="A963">
        <v>81</v>
      </c>
      <c r="B963" s="1">
        <v>45962</v>
      </c>
      <c r="C963">
        <v>19</v>
      </c>
      <c r="D963">
        <v>13</v>
      </c>
      <c r="E963">
        <v>6</v>
      </c>
      <c r="F963">
        <v>0</v>
      </c>
      <c r="G963">
        <v>68.400000000000006</v>
      </c>
    </row>
    <row r="964" spans="1:7">
      <c r="A964">
        <v>81</v>
      </c>
      <c r="B964" s="1">
        <v>45992</v>
      </c>
      <c r="C964">
        <v>22</v>
      </c>
      <c r="D964">
        <v>18</v>
      </c>
      <c r="E964">
        <v>4</v>
      </c>
      <c r="F964">
        <v>3</v>
      </c>
      <c r="G964">
        <v>81.8</v>
      </c>
    </row>
    <row r="965" spans="1:7">
      <c r="A965">
        <v>81</v>
      </c>
      <c r="B965" s="1">
        <v>46023</v>
      </c>
      <c r="C965">
        <v>18</v>
      </c>
      <c r="D965">
        <v>12</v>
      </c>
      <c r="E965">
        <v>6</v>
      </c>
      <c r="F965">
        <v>0</v>
      </c>
      <c r="G965">
        <v>66.7</v>
      </c>
    </row>
    <row r="966" spans="1:7">
      <c r="A966">
        <v>81</v>
      </c>
      <c r="B966" s="1">
        <v>46054</v>
      </c>
      <c r="C966">
        <v>18</v>
      </c>
      <c r="D966">
        <v>13</v>
      </c>
      <c r="E966">
        <v>5</v>
      </c>
      <c r="F966">
        <v>5</v>
      </c>
      <c r="G966">
        <v>72.2</v>
      </c>
    </row>
    <row r="967" spans="1:7">
      <c r="A967">
        <v>81</v>
      </c>
      <c r="B967" s="1">
        <v>46082</v>
      </c>
      <c r="C967">
        <v>22</v>
      </c>
      <c r="D967">
        <v>17</v>
      </c>
      <c r="E967">
        <v>5</v>
      </c>
      <c r="F967">
        <v>2</v>
      </c>
      <c r="G967">
        <v>77.3</v>
      </c>
    </row>
    <row r="968" spans="1:7">
      <c r="A968">
        <v>81</v>
      </c>
      <c r="B968" s="1">
        <v>46113</v>
      </c>
      <c r="C968">
        <v>21</v>
      </c>
      <c r="D968">
        <v>18</v>
      </c>
      <c r="E968">
        <v>3</v>
      </c>
      <c r="F968">
        <v>3</v>
      </c>
      <c r="G968">
        <v>85.7</v>
      </c>
    </row>
    <row r="969" spans="1:7">
      <c r="A969">
        <v>81</v>
      </c>
      <c r="B969" s="1">
        <v>46143</v>
      </c>
      <c r="C969">
        <v>19</v>
      </c>
      <c r="D969">
        <v>18</v>
      </c>
      <c r="E969">
        <v>1</v>
      </c>
      <c r="F969">
        <v>1</v>
      </c>
      <c r="G969">
        <v>94.7</v>
      </c>
    </row>
    <row r="970" spans="1:7">
      <c r="A970">
        <v>81</v>
      </c>
      <c r="B970" s="1">
        <v>46174</v>
      </c>
      <c r="C970">
        <v>19</v>
      </c>
      <c r="D970">
        <v>16</v>
      </c>
      <c r="E970">
        <v>3</v>
      </c>
      <c r="F970">
        <v>3</v>
      </c>
      <c r="G970">
        <v>84.2</v>
      </c>
    </row>
    <row r="971" spans="1:7">
      <c r="A971">
        <v>81</v>
      </c>
      <c r="B971" s="1">
        <v>46204</v>
      </c>
      <c r="C971">
        <v>19</v>
      </c>
      <c r="D971">
        <v>16</v>
      </c>
      <c r="E971">
        <v>3</v>
      </c>
      <c r="F971">
        <v>1</v>
      </c>
      <c r="G971">
        <v>84.2</v>
      </c>
    </row>
    <row r="972" spans="1:7">
      <c r="A972">
        <v>81</v>
      </c>
      <c r="B972" s="1">
        <v>46235</v>
      </c>
      <c r="C972">
        <v>22</v>
      </c>
      <c r="D972">
        <v>18</v>
      </c>
      <c r="E972">
        <v>4</v>
      </c>
      <c r="F972">
        <v>5</v>
      </c>
      <c r="G972">
        <v>81.8</v>
      </c>
    </row>
    <row r="973" spans="1:7">
      <c r="A973">
        <v>81</v>
      </c>
      <c r="B973" s="1">
        <v>46266</v>
      </c>
      <c r="C973">
        <v>21</v>
      </c>
      <c r="D973">
        <v>19</v>
      </c>
      <c r="E973">
        <v>2</v>
      </c>
      <c r="F973">
        <v>4</v>
      </c>
      <c r="G973">
        <v>90.5</v>
      </c>
    </row>
    <row r="974" spans="1:7">
      <c r="A974">
        <v>82</v>
      </c>
      <c r="B974" s="1">
        <v>45931</v>
      </c>
      <c r="C974">
        <v>18</v>
      </c>
      <c r="D974">
        <v>15</v>
      </c>
      <c r="E974">
        <v>3</v>
      </c>
      <c r="F974">
        <v>2</v>
      </c>
      <c r="G974">
        <v>83.3</v>
      </c>
    </row>
    <row r="975" spans="1:7">
      <c r="A975">
        <v>82</v>
      </c>
      <c r="B975" s="1">
        <v>45962</v>
      </c>
      <c r="C975">
        <v>21</v>
      </c>
      <c r="D975">
        <v>18</v>
      </c>
      <c r="E975">
        <v>3</v>
      </c>
      <c r="F975">
        <v>0</v>
      </c>
      <c r="G975">
        <v>85.7</v>
      </c>
    </row>
    <row r="976" spans="1:7">
      <c r="A976">
        <v>82</v>
      </c>
      <c r="B976" s="1">
        <v>45992</v>
      </c>
      <c r="C976">
        <v>22</v>
      </c>
      <c r="D976">
        <v>17</v>
      </c>
      <c r="E976">
        <v>5</v>
      </c>
      <c r="F976">
        <v>4</v>
      </c>
      <c r="G976">
        <v>77.3</v>
      </c>
    </row>
    <row r="977" spans="1:7">
      <c r="A977">
        <v>82</v>
      </c>
      <c r="B977" s="1">
        <v>46023</v>
      </c>
      <c r="C977">
        <v>18</v>
      </c>
      <c r="D977">
        <v>12</v>
      </c>
      <c r="E977">
        <v>6</v>
      </c>
      <c r="F977">
        <v>4</v>
      </c>
      <c r="G977">
        <v>66.7</v>
      </c>
    </row>
    <row r="978" spans="1:7">
      <c r="A978">
        <v>82</v>
      </c>
      <c r="B978" s="1">
        <v>46054</v>
      </c>
      <c r="C978">
        <v>20</v>
      </c>
      <c r="D978">
        <v>11</v>
      </c>
      <c r="E978">
        <v>9</v>
      </c>
      <c r="F978">
        <v>4</v>
      </c>
      <c r="G978">
        <v>55</v>
      </c>
    </row>
    <row r="979" spans="1:7">
      <c r="A979">
        <v>82</v>
      </c>
      <c r="B979" s="1">
        <v>46082</v>
      </c>
      <c r="C979">
        <v>19</v>
      </c>
      <c r="D979">
        <v>18</v>
      </c>
      <c r="E979">
        <v>1</v>
      </c>
      <c r="F979">
        <v>3</v>
      </c>
      <c r="G979">
        <v>94.7</v>
      </c>
    </row>
    <row r="980" spans="1:7">
      <c r="A980">
        <v>82</v>
      </c>
      <c r="B980" s="1">
        <v>46113</v>
      </c>
      <c r="C980">
        <v>19</v>
      </c>
      <c r="D980">
        <v>14</v>
      </c>
      <c r="E980">
        <v>5</v>
      </c>
      <c r="F980">
        <v>6</v>
      </c>
      <c r="G980">
        <v>73.7</v>
      </c>
    </row>
    <row r="981" spans="1:7">
      <c r="A981">
        <v>82</v>
      </c>
      <c r="B981" s="1">
        <v>46143</v>
      </c>
      <c r="C981">
        <v>19</v>
      </c>
      <c r="D981">
        <v>13</v>
      </c>
      <c r="E981">
        <v>6</v>
      </c>
      <c r="F981">
        <v>5</v>
      </c>
      <c r="G981">
        <v>68.400000000000006</v>
      </c>
    </row>
    <row r="982" spans="1:7">
      <c r="A982">
        <v>82</v>
      </c>
      <c r="B982" s="1">
        <v>46174</v>
      </c>
      <c r="C982">
        <v>21</v>
      </c>
      <c r="D982">
        <v>17</v>
      </c>
      <c r="E982">
        <v>4</v>
      </c>
      <c r="F982">
        <v>0</v>
      </c>
      <c r="G982">
        <v>81</v>
      </c>
    </row>
    <row r="983" spans="1:7">
      <c r="A983">
        <v>82</v>
      </c>
      <c r="B983" s="1">
        <v>46204</v>
      </c>
      <c r="C983">
        <v>18</v>
      </c>
      <c r="D983">
        <v>13</v>
      </c>
      <c r="E983">
        <v>5</v>
      </c>
      <c r="F983">
        <v>5</v>
      </c>
      <c r="G983">
        <v>72.2</v>
      </c>
    </row>
    <row r="984" spans="1:7">
      <c r="A984">
        <v>82</v>
      </c>
      <c r="B984" s="1">
        <v>46235</v>
      </c>
      <c r="C984">
        <v>20</v>
      </c>
      <c r="D984">
        <v>15</v>
      </c>
      <c r="E984">
        <v>5</v>
      </c>
      <c r="F984">
        <v>2</v>
      </c>
      <c r="G984">
        <v>75</v>
      </c>
    </row>
    <row r="985" spans="1:7">
      <c r="A985">
        <v>82</v>
      </c>
      <c r="B985" s="1">
        <v>46266</v>
      </c>
      <c r="C985">
        <v>22</v>
      </c>
      <c r="D985">
        <v>15</v>
      </c>
      <c r="E985">
        <v>7</v>
      </c>
      <c r="F985">
        <v>6</v>
      </c>
      <c r="G985">
        <v>68.2</v>
      </c>
    </row>
    <row r="986" spans="1:7">
      <c r="A986">
        <v>83</v>
      </c>
      <c r="B986" s="1">
        <v>45931</v>
      </c>
      <c r="C986">
        <v>21</v>
      </c>
      <c r="D986">
        <v>13</v>
      </c>
      <c r="E986">
        <v>8</v>
      </c>
      <c r="F986">
        <v>4</v>
      </c>
      <c r="G986">
        <v>61.9</v>
      </c>
    </row>
    <row r="987" spans="1:7">
      <c r="A987">
        <v>83</v>
      </c>
      <c r="B987" s="1">
        <v>45962</v>
      </c>
      <c r="C987">
        <v>19</v>
      </c>
      <c r="D987">
        <v>13</v>
      </c>
      <c r="E987">
        <v>6</v>
      </c>
      <c r="F987">
        <v>1</v>
      </c>
      <c r="G987">
        <v>68.400000000000006</v>
      </c>
    </row>
    <row r="988" spans="1:7">
      <c r="A988">
        <v>83</v>
      </c>
      <c r="B988" s="1">
        <v>45992</v>
      </c>
      <c r="C988">
        <v>18</v>
      </c>
      <c r="D988">
        <v>14</v>
      </c>
      <c r="E988">
        <v>4</v>
      </c>
      <c r="F988">
        <v>1</v>
      </c>
      <c r="G988">
        <v>77.8</v>
      </c>
    </row>
    <row r="989" spans="1:7">
      <c r="A989">
        <v>83</v>
      </c>
      <c r="B989" s="1">
        <v>46023</v>
      </c>
      <c r="C989">
        <v>21</v>
      </c>
      <c r="D989">
        <v>16</v>
      </c>
      <c r="E989">
        <v>5</v>
      </c>
      <c r="F989">
        <v>4</v>
      </c>
      <c r="G989">
        <v>76.2</v>
      </c>
    </row>
    <row r="990" spans="1:7">
      <c r="A990">
        <v>83</v>
      </c>
      <c r="B990" s="1">
        <v>46054</v>
      </c>
      <c r="C990">
        <v>22</v>
      </c>
      <c r="D990">
        <v>18</v>
      </c>
      <c r="E990">
        <v>4</v>
      </c>
      <c r="F990">
        <v>5</v>
      </c>
      <c r="G990">
        <v>81.8</v>
      </c>
    </row>
    <row r="991" spans="1:7">
      <c r="A991">
        <v>83</v>
      </c>
      <c r="B991" s="1">
        <v>46082</v>
      </c>
      <c r="C991">
        <v>20</v>
      </c>
      <c r="D991">
        <v>14</v>
      </c>
      <c r="E991">
        <v>6</v>
      </c>
      <c r="F991">
        <v>1</v>
      </c>
      <c r="G991">
        <v>70</v>
      </c>
    </row>
    <row r="992" spans="1:7">
      <c r="A992">
        <v>83</v>
      </c>
      <c r="B992" s="1">
        <v>46113</v>
      </c>
      <c r="C992">
        <v>18</v>
      </c>
      <c r="D992">
        <v>14</v>
      </c>
      <c r="E992">
        <v>4</v>
      </c>
      <c r="F992">
        <v>5</v>
      </c>
      <c r="G992">
        <v>77.8</v>
      </c>
    </row>
    <row r="993" spans="1:7">
      <c r="A993">
        <v>83</v>
      </c>
      <c r="B993" s="1">
        <v>46143</v>
      </c>
      <c r="C993">
        <v>21</v>
      </c>
      <c r="D993">
        <v>15</v>
      </c>
      <c r="E993">
        <v>6</v>
      </c>
      <c r="F993">
        <v>6</v>
      </c>
      <c r="G993">
        <v>71.400000000000006</v>
      </c>
    </row>
    <row r="994" spans="1:7">
      <c r="A994">
        <v>83</v>
      </c>
      <c r="B994" s="1">
        <v>46174</v>
      </c>
      <c r="C994">
        <v>19</v>
      </c>
      <c r="D994">
        <v>15</v>
      </c>
      <c r="E994">
        <v>4</v>
      </c>
      <c r="F994">
        <v>3</v>
      </c>
      <c r="G994">
        <v>78.900000000000006</v>
      </c>
    </row>
    <row r="995" spans="1:7">
      <c r="A995">
        <v>83</v>
      </c>
      <c r="B995" s="1">
        <v>46204</v>
      </c>
      <c r="C995">
        <v>22</v>
      </c>
      <c r="D995">
        <v>16</v>
      </c>
      <c r="E995">
        <v>6</v>
      </c>
      <c r="F995">
        <v>3</v>
      </c>
      <c r="G995">
        <v>72.7</v>
      </c>
    </row>
    <row r="996" spans="1:7">
      <c r="A996">
        <v>83</v>
      </c>
      <c r="B996" s="1">
        <v>46235</v>
      </c>
      <c r="C996">
        <v>18</v>
      </c>
      <c r="D996">
        <v>12</v>
      </c>
      <c r="E996">
        <v>6</v>
      </c>
      <c r="F996">
        <v>4</v>
      </c>
      <c r="G996">
        <v>66.7</v>
      </c>
    </row>
    <row r="997" spans="1:7">
      <c r="A997">
        <v>83</v>
      </c>
      <c r="B997" s="1">
        <v>46266</v>
      </c>
      <c r="C997">
        <v>21</v>
      </c>
      <c r="D997">
        <v>17</v>
      </c>
      <c r="E997">
        <v>4</v>
      </c>
      <c r="F997">
        <v>1</v>
      </c>
      <c r="G997">
        <v>81</v>
      </c>
    </row>
    <row r="998" spans="1:7">
      <c r="A998">
        <v>84</v>
      </c>
      <c r="B998" s="1">
        <v>45931</v>
      </c>
      <c r="C998">
        <v>21</v>
      </c>
      <c r="D998">
        <v>19</v>
      </c>
      <c r="E998">
        <v>2</v>
      </c>
      <c r="F998">
        <v>1</v>
      </c>
      <c r="G998">
        <v>90.5</v>
      </c>
    </row>
    <row r="999" spans="1:7">
      <c r="A999">
        <v>84</v>
      </c>
      <c r="B999" s="1">
        <v>45962</v>
      </c>
      <c r="C999">
        <v>20</v>
      </c>
      <c r="D999">
        <v>15</v>
      </c>
      <c r="E999">
        <v>5</v>
      </c>
      <c r="F999">
        <v>2</v>
      </c>
      <c r="G999">
        <v>75</v>
      </c>
    </row>
    <row r="1000" spans="1:7">
      <c r="A1000">
        <v>84</v>
      </c>
      <c r="B1000" s="1">
        <v>45992</v>
      </c>
      <c r="C1000">
        <v>19</v>
      </c>
      <c r="D1000">
        <v>16</v>
      </c>
      <c r="E1000">
        <v>3</v>
      </c>
      <c r="F1000">
        <v>4</v>
      </c>
      <c r="G1000">
        <v>84.2</v>
      </c>
    </row>
    <row r="1001" spans="1:7">
      <c r="A1001">
        <v>84</v>
      </c>
      <c r="B1001" s="1">
        <v>46023</v>
      </c>
      <c r="C1001">
        <v>18</v>
      </c>
      <c r="D1001">
        <v>14</v>
      </c>
      <c r="E1001">
        <v>4</v>
      </c>
      <c r="F1001">
        <v>2</v>
      </c>
      <c r="G1001">
        <v>77.8</v>
      </c>
    </row>
    <row r="1002" spans="1:7">
      <c r="A1002">
        <v>84</v>
      </c>
      <c r="B1002" s="1">
        <v>46054</v>
      </c>
      <c r="C1002">
        <v>19</v>
      </c>
      <c r="D1002">
        <v>14</v>
      </c>
      <c r="E1002">
        <v>5</v>
      </c>
      <c r="F1002">
        <v>3</v>
      </c>
      <c r="G1002">
        <v>73.7</v>
      </c>
    </row>
    <row r="1003" spans="1:7">
      <c r="A1003">
        <v>84</v>
      </c>
      <c r="B1003" s="1">
        <v>46082</v>
      </c>
      <c r="C1003">
        <v>19</v>
      </c>
      <c r="D1003">
        <v>14</v>
      </c>
      <c r="E1003">
        <v>5</v>
      </c>
      <c r="F1003">
        <v>6</v>
      </c>
      <c r="G1003">
        <v>73.7</v>
      </c>
    </row>
    <row r="1004" spans="1:7">
      <c r="A1004">
        <v>84</v>
      </c>
      <c r="B1004" s="1">
        <v>46113</v>
      </c>
      <c r="C1004">
        <v>20</v>
      </c>
      <c r="D1004">
        <v>17</v>
      </c>
      <c r="E1004">
        <v>3</v>
      </c>
      <c r="F1004">
        <v>1</v>
      </c>
      <c r="G1004">
        <v>85</v>
      </c>
    </row>
    <row r="1005" spans="1:7">
      <c r="A1005">
        <v>84</v>
      </c>
      <c r="B1005" s="1">
        <v>46143</v>
      </c>
      <c r="C1005">
        <v>22</v>
      </c>
      <c r="D1005">
        <v>17</v>
      </c>
      <c r="E1005">
        <v>5</v>
      </c>
      <c r="F1005">
        <v>1</v>
      </c>
      <c r="G1005">
        <v>77.3</v>
      </c>
    </row>
    <row r="1006" spans="1:7">
      <c r="A1006">
        <v>84</v>
      </c>
      <c r="B1006" s="1">
        <v>46174</v>
      </c>
      <c r="C1006">
        <v>22</v>
      </c>
      <c r="D1006">
        <v>15</v>
      </c>
      <c r="E1006">
        <v>7</v>
      </c>
      <c r="F1006">
        <v>0</v>
      </c>
      <c r="G1006">
        <v>68.2</v>
      </c>
    </row>
    <row r="1007" spans="1:7">
      <c r="A1007">
        <v>84</v>
      </c>
      <c r="B1007" s="1">
        <v>46204</v>
      </c>
      <c r="C1007">
        <v>21</v>
      </c>
      <c r="D1007">
        <v>19</v>
      </c>
      <c r="E1007">
        <v>2</v>
      </c>
      <c r="F1007">
        <v>4</v>
      </c>
      <c r="G1007">
        <v>90.5</v>
      </c>
    </row>
    <row r="1008" spans="1:7">
      <c r="A1008">
        <v>84</v>
      </c>
      <c r="B1008" s="1">
        <v>46235</v>
      </c>
      <c r="C1008">
        <v>21</v>
      </c>
      <c r="D1008">
        <v>17</v>
      </c>
      <c r="E1008">
        <v>4</v>
      </c>
      <c r="F1008">
        <v>3</v>
      </c>
      <c r="G1008">
        <v>81</v>
      </c>
    </row>
    <row r="1009" spans="1:7">
      <c r="A1009">
        <v>84</v>
      </c>
      <c r="B1009" s="1">
        <v>46266</v>
      </c>
      <c r="C1009">
        <v>21</v>
      </c>
      <c r="D1009">
        <v>19</v>
      </c>
      <c r="E1009">
        <v>2</v>
      </c>
      <c r="F1009">
        <v>2</v>
      </c>
      <c r="G1009">
        <v>90.5</v>
      </c>
    </row>
    <row r="1010" spans="1:7">
      <c r="A1010">
        <v>85</v>
      </c>
      <c r="B1010" s="1">
        <v>45931</v>
      </c>
      <c r="C1010">
        <v>18</v>
      </c>
      <c r="D1010">
        <v>10</v>
      </c>
      <c r="E1010">
        <v>8</v>
      </c>
      <c r="F1010">
        <v>1</v>
      </c>
      <c r="G1010">
        <v>55.6</v>
      </c>
    </row>
    <row r="1011" spans="1:7">
      <c r="A1011">
        <v>85</v>
      </c>
      <c r="B1011" s="1">
        <v>45962</v>
      </c>
      <c r="C1011">
        <v>19</v>
      </c>
      <c r="D1011">
        <v>13</v>
      </c>
      <c r="E1011">
        <v>6</v>
      </c>
      <c r="F1011">
        <v>2</v>
      </c>
      <c r="G1011">
        <v>68.400000000000006</v>
      </c>
    </row>
    <row r="1012" spans="1:7">
      <c r="A1012">
        <v>85</v>
      </c>
      <c r="B1012" s="1">
        <v>45992</v>
      </c>
      <c r="C1012">
        <v>21</v>
      </c>
      <c r="D1012">
        <v>16</v>
      </c>
      <c r="E1012">
        <v>5</v>
      </c>
      <c r="F1012">
        <v>4</v>
      </c>
      <c r="G1012">
        <v>76.2</v>
      </c>
    </row>
    <row r="1013" spans="1:7">
      <c r="A1013">
        <v>85</v>
      </c>
      <c r="B1013" s="1">
        <v>46023</v>
      </c>
      <c r="C1013">
        <v>19</v>
      </c>
      <c r="D1013">
        <v>12</v>
      </c>
      <c r="E1013">
        <v>7</v>
      </c>
      <c r="F1013">
        <v>4</v>
      </c>
      <c r="G1013">
        <v>63.2</v>
      </c>
    </row>
    <row r="1014" spans="1:7">
      <c r="A1014">
        <v>85</v>
      </c>
      <c r="B1014" s="1">
        <v>46054</v>
      </c>
      <c r="C1014">
        <v>18</v>
      </c>
      <c r="D1014">
        <v>10</v>
      </c>
      <c r="E1014">
        <v>8</v>
      </c>
      <c r="F1014">
        <v>3</v>
      </c>
      <c r="G1014">
        <v>55.6</v>
      </c>
    </row>
    <row r="1015" spans="1:7">
      <c r="A1015">
        <v>85</v>
      </c>
      <c r="B1015" s="1">
        <v>46082</v>
      </c>
      <c r="C1015">
        <v>22</v>
      </c>
      <c r="D1015">
        <v>13</v>
      </c>
      <c r="E1015">
        <v>9</v>
      </c>
      <c r="F1015">
        <v>0</v>
      </c>
      <c r="G1015">
        <v>59.1</v>
      </c>
    </row>
    <row r="1016" spans="1:7">
      <c r="A1016">
        <v>85</v>
      </c>
      <c r="B1016" s="1">
        <v>46113</v>
      </c>
      <c r="C1016">
        <v>21</v>
      </c>
      <c r="D1016">
        <v>14</v>
      </c>
      <c r="E1016">
        <v>7</v>
      </c>
      <c r="F1016">
        <v>6</v>
      </c>
      <c r="G1016">
        <v>66.7</v>
      </c>
    </row>
    <row r="1017" spans="1:7">
      <c r="A1017">
        <v>85</v>
      </c>
      <c r="B1017" s="1">
        <v>46143</v>
      </c>
      <c r="C1017">
        <v>18</v>
      </c>
      <c r="D1017">
        <v>10</v>
      </c>
      <c r="E1017">
        <v>8</v>
      </c>
      <c r="F1017">
        <v>3</v>
      </c>
      <c r="G1017">
        <v>55.6</v>
      </c>
    </row>
    <row r="1018" spans="1:7">
      <c r="A1018">
        <v>85</v>
      </c>
      <c r="B1018" s="1">
        <v>46174</v>
      </c>
      <c r="C1018">
        <v>21</v>
      </c>
      <c r="D1018">
        <v>12</v>
      </c>
      <c r="E1018">
        <v>9</v>
      </c>
      <c r="F1018">
        <v>0</v>
      </c>
      <c r="G1018">
        <v>57.1</v>
      </c>
    </row>
    <row r="1019" spans="1:7">
      <c r="A1019">
        <v>85</v>
      </c>
      <c r="B1019" s="1">
        <v>46204</v>
      </c>
      <c r="C1019">
        <v>21</v>
      </c>
      <c r="D1019">
        <v>10</v>
      </c>
      <c r="E1019">
        <v>11</v>
      </c>
      <c r="F1019">
        <v>1</v>
      </c>
      <c r="G1019">
        <v>47.6</v>
      </c>
    </row>
    <row r="1020" spans="1:7">
      <c r="A1020">
        <v>85</v>
      </c>
      <c r="B1020" s="1">
        <v>46235</v>
      </c>
      <c r="C1020">
        <v>19</v>
      </c>
      <c r="D1020">
        <v>11</v>
      </c>
      <c r="E1020">
        <v>8</v>
      </c>
      <c r="F1020">
        <v>0</v>
      </c>
      <c r="G1020">
        <v>57.9</v>
      </c>
    </row>
    <row r="1021" spans="1:7">
      <c r="A1021">
        <v>85</v>
      </c>
      <c r="B1021" s="1">
        <v>46266</v>
      </c>
      <c r="C1021">
        <v>18</v>
      </c>
      <c r="D1021">
        <v>10</v>
      </c>
      <c r="E1021">
        <v>8</v>
      </c>
      <c r="F1021">
        <v>3</v>
      </c>
      <c r="G1021">
        <v>55.6</v>
      </c>
    </row>
    <row r="1022" spans="1:7">
      <c r="A1022">
        <v>86</v>
      </c>
      <c r="B1022" s="1">
        <v>45931</v>
      </c>
      <c r="C1022">
        <v>20</v>
      </c>
      <c r="D1022">
        <v>18</v>
      </c>
      <c r="E1022">
        <v>2</v>
      </c>
      <c r="F1022">
        <v>4</v>
      </c>
      <c r="G1022">
        <v>90</v>
      </c>
    </row>
    <row r="1023" spans="1:7">
      <c r="A1023">
        <v>86</v>
      </c>
      <c r="B1023" s="1">
        <v>45962</v>
      </c>
      <c r="C1023">
        <v>22</v>
      </c>
      <c r="D1023">
        <v>19</v>
      </c>
      <c r="E1023">
        <v>3</v>
      </c>
      <c r="F1023">
        <v>0</v>
      </c>
      <c r="G1023">
        <v>86.4</v>
      </c>
    </row>
    <row r="1024" spans="1:7">
      <c r="A1024">
        <v>86</v>
      </c>
      <c r="B1024" s="1">
        <v>45992</v>
      </c>
      <c r="C1024">
        <v>21</v>
      </c>
      <c r="D1024">
        <v>21</v>
      </c>
      <c r="E1024">
        <v>0</v>
      </c>
      <c r="F1024">
        <v>3</v>
      </c>
      <c r="G1024">
        <v>100</v>
      </c>
    </row>
    <row r="1025" spans="1:7">
      <c r="A1025">
        <v>86</v>
      </c>
      <c r="B1025" s="1">
        <v>46023</v>
      </c>
      <c r="C1025">
        <v>19</v>
      </c>
      <c r="D1025">
        <v>18</v>
      </c>
      <c r="E1025">
        <v>1</v>
      </c>
      <c r="F1025">
        <v>2</v>
      </c>
      <c r="G1025">
        <v>94.7</v>
      </c>
    </row>
    <row r="1026" spans="1:7">
      <c r="A1026">
        <v>86</v>
      </c>
      <c r="B1026" s="1">
        <v>46054</v>
      </c>
      <c r="C1026">
        <v>21</v>
      </c>
      <c r="D1026">
        <v>20</v>
      </c>
      <c r="E1026">
        <v>1</v>
      </c>
      <c r="F1026">
        <v>0</v>
      </c>
      <c r="G1026">
        <v>95.2</v>
      </c>
    </row>
    <row r="1027" spans="1:7">
      <c r="A1027">
        <v>86</v>
      </c>
      <c r="B1027" s="1">
        <v>46082</v>
      </c>
      <c r="C1027">
        <v>21</v>
      </c>
      <c r="D1027">
        <v>20</v>
      </c>
      <c r="E1027">
        <v>1</v>
      </c>
      <c r="F1027">
        <v>2</v>
      </c>
      <c r="G1027">
        <v>95.2</v>
      </c>
    </row>
    <row r="1028" spans="1:7">
      <c r="A1028">
        <v>86</v>
      </c>
      <c r="B1028" s="1">
        <v>46113</v>
      </c>
      <c r="C1028">
        <v>22</v>
      </c>
      <c r="D1028">
        <v>19</v>
      </c>
      <c r="E1028">
        <v>3</v>
      </c>
      <c r="F1028">
        <v>2</v>
      </c>
      <c r="G1028">
        <v>86.4</v>
      </c>
    </row>
    <row r="1029" spans="1:7">
      <c r="A1029">
        <v>86</v>
      </c>
      <c r="B1029" s="1">
        <v>46143</v>
      </c>
      <c r="C1029">
        <v>22</v>
      </c>
      <c r="D1029">
        <v>21</v>
      </c>
      <c r="E1029">
        <v>1</v>
      </c>
      <c r="F1029">
        <v>4</v>
      </c>
      <c r="G1029">
        <v>95.5</v>
      </c>
    </row>
    <row r="1030" spans="1:7">
      <c r="A1030">
        <v>86</v>
      </c>
      <c r="B1030" s="1">
        <v>46174</v>
      </c>
      <c r="C1030">
        <v>22</v>
      </c>
      <c r="D1030">
        <v>20</v>
      </c>
      <c r="E1030">
        <v>2</v>
      </c>
      <c r="F1030">
        <v>0</v>
      </c>
      <c r="G1030">
        <v>90.9</v>
      </c>
    </row>
    <row r="1031" spans="1:7">
      <c r="A1031">
        <v>86</v>
      </c>
      <c r="B1031" s="1">
        <v>46204</v>
      </c>
      <c r="C1031">
        <v>22</v>
      </c>
      <c r="D1031">
        <v>22</v>
      </c>
      <c r="E1031">
        <v>0</v>
      </c>
      <c r="F1031">
        <v>2</v>
      </c>
      <c r="G1031">
        <v>100</v>
      </c>
    </row>
    <row r="1032" spans="1:7">
      <c r="A1032">
        <v>86</v>
      </c>
      <c r="B1032" s="1">
        <v>46235</v>
      </c>
      <c r="C1032">
        <v>18</v>
      </c>
      <c r="D1032">
        <v>18</v>
      </c>
      <c r="E1032">
        <v>0</v>
      </c>
      <c r="F1032">
        <v>2</v>
      </c>
      <c r="G1032">
        <v>100</v>
      </c>
    </row>
    <row r="1033" spans="1:7">
      <c r="A1033">
        <v>86</v>
      </c>
      <c r="B1033" s="1">
        <v>46266</v>
      </c>
      <c r="C1033">
        <v>18</v>
      </c>
      <c r="D1033">
        <v>18</v>
      </c>
      <c r="E1033">
        <v>0</v>
      </c>
      <c r="F1033">
        <v>0</v>
      </c>
      <c r="G1033">
        <v>100</v>
      </c>
    </row>
    <row r="1034" spans="1:7">
      <c r="A1034">
        <v>87</v>
      </c>
      <c r="B1034" s="1">
        <v>45931</v>
      </c>
      <c r="C1034">
        <v>21</v>
      </c>
      <c r="D1034">
        <v>21</v>
      </c>
      <c r="E1034">
        <v>0</v>
      </c>
      <c r="F1034">
        <v>2</v>
      </c>
      <c r="G1034">
        <v>100</v>
      </c>
    </row>
    <row r="1035" spans="1:7">
      <c r="A1035">
        <v>87</v>
      </c>
      <c r="B1035" s="1">
        <v>45962</v>
      </c>
      <c r="C1035">
        <v>20</v>
      </c>
      <c r="D1035">
        <v>17</v>
      </c>
      <c r="E1035">
        <v>3</v>
      </c>
      <c r="F1035">
        <v>1</v>
      </c>
      <c r="G1035">
        <v>85</v>
      </c>
    </row>
    <row r="1036" spans="1:7">
      <c r="A1036">
        <v>87</v>
      </c>
      <c r="B1036" s="1">
        <v>45992</v>
      </c>
      <c r="C1036">
        <v>22</v>
      </c>
      <c r="D1036">
        <v>22</v>
      </c>
      <c r="E1036">
        <v>0</v>
      </c>
      <c r="F1036">
        <v>1</v>
      </c>
      <c r="G1036">
        <v>100</v>
      </c>
    </row>
    <row r="1037" spans="1:7">
      <c r="A1037">
        <v>87</v>
      </c>
      <c r="B1037" s="1">
        <v>46023</v>
      </c>
      <c r="C1037">
        <v>19</v>
      </c>
      <c r="D1037">
        <v>19</v>
      </c>
      <c r="E1037">
        <v>0</v>
      </c>
      <c r="F1037">
        <v>2</v>
      </c>
      <c r="G1037">
        <v>100</v>
      </c>
    </row>
    <row r="1038" spans="1:7">
      <c r="A1038">
        <v>87</v>
      </c>
      <c r="B1038" s="1">
        <v>46054</v>
      </c>
      <c r="C1038">
        <v>19</v>
      </c>
      <c r="D1038">
        <v>19</v>
      </c>
      <c r="E1038">
        <v>0</v>
      </c>
      <c r="F1038">
        <v>1</v>
      </c>
      <c r="G1038">
        <v>100</v>
      </c>
    </row>
    <row r="1039" spans="1:7">
      <c r="A1039">
        <v>87</v>
      </c>
      <c r="B1039" s="1">
        <v>46082</v>
      </c>
      <c r="C1039">
        <v>19</v>
      </c>
      <c r="D1039">
        <v>19</v>
      </c>
      <c r="E1039">
        <v>0</v>
      </c>
      <c r="F1039">
        <v>2</v>
      </c>
      <c r="G1039">
        <v>100</v>
      </c>
    </row>
    <row r="1040" spans="1:7">
      <c r="A1040">
        <v>87</v>
      </c>
      <c r="B1040" s="1">
        <v>46113</v>
      </c>
      <c r="C1040">
        <v>20</v>
      </c>
      <c r="D1040">
        <v>17</v>
      </c>
      <c r="E1040">
        <v>3</v>
      </c>
      <c r="F1040">
        <v>3</v>
      </c>
      <c r="G1040">
        <v>85</v>
      </c>
    </row>
    <row r="1041" spans="1:7">
      <c r="A1041">
        <v>87</v>
      </c>
      <c r="B1041" s="1">
        <v>46143</v>
      </c>
      <c r="C1041">
        <v>20</v>
      </c>
      <c r="D1041">
        <v>20</v>
      </c>
      <c r="E1041">
        <v>0</v>
      </c>
      <c r="F1041">
        <v>0</v>
      </c>
      <c r="G1041">
        <v>100</v>
      </c>
    </row>
    <row r="1042" spans="1:7">
      <c r="A1042">
        <v>87</v>
      </c>
      <c r="B1042" s="1">
        <v>46174</v>
      </c>
      <c r="C1042">
        <v>18</v>
      </c>
      <c r="D1042">
        <v>18</v>
      </c>
      <c r="E1042">
        <v>0</v>
      </c>
      <c r="F1042">
        <v>0</v>
      </c>
      <c r="G1042">
        <v>100</v>
      </c>
    </row>
    <row r="1043" spans="1:7">
      <c r="A1043">
        <v>87</v>
      </c>
      <c r="B1043" s="1">
        <v>46204</v>
      </c>
      <c r="C1043">
        <v>21</v>
      </c>
      <c r="D1043">
        <v>18</v>
      </c>
      <c r="E1043">
        <v>3</v>
      </c>
      <c r="F1043">
        <v>5</v>
      </c>
      <c r="G1043">
        <v>85.7</v>
      </c>
    </row>
    <row r="1044" spans="1:7">
      <c r="A1044">
        <v>87</v>
      </c>
      <c r="B1044" s="1">
        <v>46235</v>
      </c>
      <c r="C1044">
        <v>22</v>
      </c>
      <c r="D1044">
        <v>22</v>
      </c>
      <c r="E1044">
        <v>0</v>
      </c>
      <c r="F1044">
        <v>2</v>
      </c>
      <c r="G1044">
        <v>100</v>
      </c>
    </row>
    <row r="1045" spans="1:7">
      <c r="A1045">
        <v>87</v>
      </c>
      <c r="B1045" s="1">
        <v>46266</v>
      </c>
      <c r="C1045">
        <v>21</v>
      </c>
      <c r="D1045">
        <v>21</v>
      </c>
      <c r="E1045">
        <v>0</v>
      </c>
      <c r="F1045">
        <v>2</v>
      </c>
      <c r="G1045">
        <v>100</v>
      </c>
    </row>
    <row r="1046" spans="1:7">
      <c r="A1046">
        <v>88</v>
      </c>
      <c r="B1046" s="1">
        <v>45931</v>
      </c>
      <c r="C1046">
        <v>18</v>
      </c>
      <c r="D1046">
        <v>13</v>
      </c>
      <c r="E1046">
        <v>5</v>
      </c>
      <c r="F1046">
        <v>0</v>
      </c>
      <c r="G1046">
        <v>72.2</v>
      </c>
    </row>
    <row r="1047" spans="1:7">
      <c r="A1047">
        <v>88</v>
      </c>
      <c r="B1047" s="1">
        <v>45962</v>
      </c>
      <c r="C1047">
        <v>18</v>
      </c>
      <c r="D1047">
        <v>11</v>
      </c>
      <c r="E1047">
        <v>7</v>
      </c>
      <c r="F1047">
        <v>3</v>
      </c>
      <c r="G1047">
        <v>61.1</v>
      </c>
    </row>
    <row r="1048" spans="1:7">
      <c r="A1048">
        <v>88</v>
      </c>
      <c r="B1048" s="1">
        <v>45992</v>
      </c>
      <c r="C1048">
        <v>19</v>
      </c>
      <c r="D1048">
        <v>17</v>
      </c>
      <c r="E1048">
        <v>2</v>
      </c>
      <c r="F1048">
        <v>0</v>
      </c>
      <c r="G1048">
        <v>89.5</v>
      </c>
    </row>
    <row r="1049" spans="1:7">
      <c r="A1049">
        <v>88</v>
      </c>
      <c r="B1049" s="1">
        <v>46023</v>
      </c>
      <c r="C1049">
        <v>19</v>
      </c>
      <c r="D1049">
        <v>11</v>
      </c>
      <c r="E1049">
        <v>8</v>
      </c>
      <c r="F1049">
        <v>2</v>
      </c>
      <c r="G1049">
        <v>57.9</v>
      </c>
    </row>
    <row r="1050" spans="1:7">
      <c r="A1050">
        <v>88</v>
      </c>
      <c r="B1050" s="1">
        <v>46054</v>
      </c>
      <c r="C1050">
        <v>18</v>
      </c>
      <c r="D1050">
        <v>15</v>
      </c>
      <c r="E1050">
        <v>3</v>
      </c>
      <c r="F1050">
        <v>6</v>
      </c>
      <c r="G1050">
        <v>83.3</v>
      </c>
    </row>
    <row r="1051" spans="1:7">
      <c r="A1051">
        <v>88</v>
      </c>
      <c r="B1051" s="1">
        <v>46082</v>
      </c>
      <c r="C1051">
        <v>19</v>
      </c>
      <c r="D1051">
        <v>18</v>
      </c>
      <c r="E1051">
        <v>1</v>
      </c>
      <c r="F1051">
        <v>4</v>
      </c>
      <c r="G1051">
        <v>94.7</v>
      </c>
    </row>
    <row r="1052" spans="1:7">
      <c r="A1052">
        <v>88</v>
      </c>
      <c r="B1052" s="1">
        <v>46113</v>
      </c>
      <c r="C1052">
        <v>18</v>
      </c>
      <c r="D1052">
        <v>16</v>
      </c>
      <c r="E1052">
        <v>2</v>
      </c>
      <c r="F1052">
        <v>4</v>
      </c>
      <c r="G1052">
        <v>88.9</v>
      </c>
    </row>
    <row r="1053" spans="1:7">
      <c r="A1053">
        <v>88</v>
      </c>
      <c r="B1053" s="1">
        <v>46143</v>
      </c>
      <c r="C1053">
        <v>19</v>
      </c>
      <c r="D1053">
        <v>10</v>
      </c>
      <c r="E1053">
        <v>9</v>
      </c>
      <c r="F1053">
        <v>3</v>
      </c>
      <c r="G1053">
        <v>52.6</v>
      </c>
    </row>
    <row r="1054" spans="1:7">
      <c r="A1054">
        <v>88</v>
      </c>
      <c r="B1054" s="1">
        <v>46174</v>
      </c>
      <c r="C1054">
        <v>20</v>
      </c>
      <c r="D1054">
        <v>19</v>
      </c>
      <c r="E1054">
        <v>1</v>
      </c>
      <c r="F1054">
        <v>0</v>
      </c>
      <c r="G1054">
        <v>95</v>
      </c>
    </row>
    <row r="1055" spans="1:7">
      <c r="A1055">
        <v>88</v>
      </c>
      <c r="B1055" s="1">
        <v>46204</v>
      </c>
      <c r="C1055">
        <v>20</v>
      </c>
      <c r="D1055">
        <v>15</v>
      </c>
      <c r="E1055">
        <v>5</v>
      </c>
      <c r="F1055">
        <v>1</v>
      </c>
      <c r="G1055">
        <v>75</v>
      </c>
    </row>
    <row r="1056" spans="1:7">
      <c r="A1056">
        <v>88</v>
      </c>
      <c r="B1056" s="1">
        <v>46235</v>
      </c>
      <c r="C1056">
        <v>18</v>
      </c>
      <c r="D1056">
        <v>11</v>
      </c>
      <c r="E1056">
        <v>7</v>
      </c>
      <c r="F1056">
        <v>6</v>
      </c>
      <c r="G1056">
        <v>61.1</v>
      </c>
    </row>
    <row r="1057" spans="1:7">
      <c r="A1057">
        <v>88</v>
      </c>
      <c r="B1057" s="1">
        <v>46266</v>
      </c>
      <c r="C1057">
        <v>22</v>
      </c>
      <c r="D1057">
        <v>18</v>
      </c>
      <c r="E1057">
        <v>4</v>
      </c>
      <c r="F1057">
        <v>5</v>
      </c>
      <c r="G1057">
        <v>81.8</v>
      </c>
    </row>
    <row r="1058" spans="1:7">
      <c r="A1058">
        <v>89</v>
      </c>
      <c r="B1058" s="1">
        <v>45931</v>
      </c>
      <c r="C1058">
        <v>20</v>
      </c>
      <c r="D1058">
        <v>14</v>
      </c>
      <c r="E1058">
        <v>6</v>
      </c>
      <c r="F1058">
        <v>5</v>
      </c>
      <c r="G1058">
        <v>70</v>
      </c>
    </row>
    <row r="1059" spans="1:7">
      <c r="A1059">
        <v>89</v>
      </c>
      <c r="B1059" s="1">
        <v>45962</v>
      </c>
      <c r="C1059">
        <v>20</v>
      </c>
      <c r="D1059">
        <v>11</v>
      </c>
      <c r="E1059">
        <v>9</v>
      </c>
      <c r="F1059">
        <v>3</v>
      </c>
      <c r="G1059">
        <v>55</v>
      </c>
    </row>
    <row r="1060" spans="1:7">
      <c r="A1060">
        <v>89</v>
      </c>
      <c r="B1060" s="1">
        <v>45992</v>
      </c>
      <c r="C1060">
        <v>22</v>
      </c>
      <c r="D1060">
        <v>15</v>
      </c>
      <c r="E1060">
        <v>7</v>
      </c>
      <c r="F1060">
        <v>4</v>
      </c>
      <c r="G1060">
        <v>68.2</v>
      </c>
    </row>
    <row r="1061" spans="1:7">
      <c r="A1061">
        <v>89</v>
      </c>
      <c r="B1061" s="1">
        <v>46023</v>
      </c>
      <c r="C1061">
        <v>21</v>
      </c>
      <c r="D1061">
        <v>15</v>
      </c>
      <c r="E1061">
        <v>6</v>
      </c>
      <c r="F1061">
        <v>3</v>
      </c>
      <c r="G1061">
        <v>71.400000000000006</v>
      </c>
    </row>
    <row r="1062" spans="1:7">
      <c r="A1062">
        <v>89</v>
      </c>
      <c r="B1062" s="1">
        <v>46054</v>
      </c>
      <c r="C1062">
        <v>20</v>
      </c>
      <c r="D1062">
        <v>16</v>
      </c>
      <c r="E1062">
        <v>4</v>
      </c>
      <c r="F1062">
        <v>2</v>
      </c>
      <c r="G1062">
        <v>80</v>
      </c>
    </row>
    <row r="1063" spans="1:7">
      <c r="A1063">
        <v>89</v>
      </c>
      <c r="B1063" s="1">
        <v>46082</v>
      </c>
      <c r="C1063">
        <v>19</v>
      </c>
      <c r="D1063">
        <v>13</v>
      </c>
      <c r="E1063">
        <v>6</v>
      </c>
      <c r="F1063">
        <v>6</v>
      </c>
      <c r="G1063">
        <v>68.400000000000006</v>
      </c>
    </row>
    <row r="1064" spans="1:7">
      <c r="A1064">
        <v>89</v>
      </c>
      <c r="B1064" s="1">
        <v>46113</v>
      </c>
      <c r="C1064">
        <v>20</v>
      </c>
      <c r="D1064">
        <v>12</v>
      </c>
      <c r="E1064">
        <v>8</v>
      </c>
      <c r="F1064">
        <v>2</v>
      </c>
      <c r="G1064">
        <v>60</v>
      </c>
    </row>
    <row r="1065" spans="1:7">
      <c r="A1065">
        <v>89</v>
      </c>
      <c r="B1065" s="1">
        <v>46143</v>
      </c>
      <c r="C1065">
        <v>18</v>
      </c>
      <c r="D1065">
        <v>10</v>
      </c>
      <c r="E1065">
        <v>8</v>
      </c>
      <c r="F1065">
        <v>1</v>
      </c>
      <c r="G1065">
        <v>55.6</v>
      </c>
    </row>
    <row r="1066" spans="1:7">
      <c r="A1066">
        <v>89</v>
      </c>
      <c r="B1066" s="1">
        <v>46174</v>
      </c>
      <c r="C1066">
        <v>20</v>
      </c>
      <c r="D1066">
        <v>13</v>
      </c>
      <c r="E1066">
        <v>7</v>
      </c>
      <c r="F1066">
        <v>4</v>
      </c>
      <c r="G1066">
        <v>65</v>
      </c>
    </row>
    <row r="1067" spans="1:7">
      <c r="A1067">
        <v>89</v>
      </c>
      <c r="B1067" s="1">
        <v>46204</v>
      </c>
      <c r="C1067">
        <v>19</v>
      </c>
      <c r="D1067">
        <v>10</v>
      </c>
      <c r="E1067">
        <v>9</v>
      </c>
      <c r="F1067">
        <v>5</v>
      </c>
      <c r="G1067">
        <v>52.6</v>
      </c>
    </row>
    <row r="1068" spans="1:7">
      <c r="A1068">
        <v>89</v>
      </c>
      <c r="B1068" s="1">
        <v>46235</v>
      </c>
      <c r="C1068">
        <v>22</v>
      </c>
      <c r="D1068">
        <v>15</v>
      </c>
      <c r="E1068">
        <v>7</v>
      </c>
      <c r="F1068">
        <v>6</v>
      </c>
      <c r="G1068">
        <v>68.2</v>
      </c>
    </row>
    <row r="1069" spans="1:7">
      <c r="A1069">
        <v>89</v>
      </c>
      <c r="B1069" s="1">
        <v>46266</v>
      </c>
      <c r="C1069">
        <v>19</v>
      </c>
      <c r="D1069">
        <v>10</v>
      </c>
      <c r="E1069">
        <v>9</v>
      </c>
      <c r="F1069">
        <v>1</v>
      </c>
      <c r="G1069">
        <v>52.6</v>
      </c>
    </row>
    <row r="1070" spans="1:7">
      <c r="A1070">
        <v>90</v>
      </c>
      <c r="B1070" s="1">
        <v>45931</v>
      </c>
      <c r="C1070">
        <v>19</v>
      </c>
      <c r="D1070">
        <v>10</v>
      </c>
      <c r="E1070">
        <v>9</v>
      </c>
      <c r="F1070">
        <v>4</v>
      </c>
      <c r="G1070">
        <v>52.6</v>
      </c>
    </row>
    <row r="1071" spans="1:7">
      <c r="A1071">
        <v>90</v>
      </c>
      <c r="B1071" s="1">
        <v>45962</v>
      </c>
      <c r="C1071">
        <v>19</v>
      </c>
      <c r="D1071">
        <v>10</v>
      </c>
      <c r="E1071">
        <v>9</v>
      </c>
      <c r="F1071">
        <v>3</v>
      </c>
      <c r="G1071">
        <v>52.6</v>
      </c>
    </row>
    <row r="1072" spans="1:7">
      <c r="A1072">
        <v>90</v>
      </c>
      <c r="B1072" s="1">
        <v>45992</v>
      </c>
      <c r="C1072">
        <v>20</v>
      </c>
      <c r="D1072">
        <v>14</v>
      </c>
      <c r="E1072">
        <v>6</v>
      </c>
      <c r="F1072">
        <v>5</v>
      </c>
      <c r="G1072">
        <v>70</v>
      </c>
    </row>
    <row r="1073" spans="1:7">
      <c r="A1073">
        <v>90</v>
      </c>
      <c r="B1073" s="1">
        <v>46023</v>
      </c>
      <c r="C1073">
        <v>18</v>
      </c>
      <c r="D1073">
        <v>10</v>
      </c>
      <c r="E1073">
        <v>8</v>
      </c>
      <c r="F1073">
        <v>5</v>
      </c>
      <c r="G1073">
        <v>55.6</v>
      </c>
    </row>
    <row r="1074" spans="1:7">
      <c r="A1074">
        <v>90</v>
      </c>
      <c r="B1074" s="1">
        <v>46054</v>
      </c>
      <c r="C1074">
        <v>20</v>
      </c>
      <c r="D1074">
        <v>12</v>
      </c>
      <c r="E1074">
        <v>8</v>
      </c>
      <c r="F1074">
        <v>3</v>
      </c>
      <c r="G1074">
        <v>60</v>
      </c>
    </row>
    <row r="1075" spans="1:7">
      <c r="A1075">
        <v>90</v>
      </c>
      <c r="B1075" s="1">
        <v>46082</v>
      </c>
      <c r="C1075">
        <v>22</v>
      </c>
      <c r="D1075">
        <v>15</v>
      </c>
      <c r="E1075">
        <v>7</v>
      </c>
      <c r="F1075">
        <v>1</v>
      </c>
      <c r="G1075">
        <v>68.2</v>
      </c>
    </row>
    <row r="1076" spans="1:7">
      <c r="A1076">
        <v>90</v>
      </c>
      <c r="B1076" s="1">
        <v>46113</v>
      </c>
      <c r="C1076">
        <v>22</v>
      </c>
      <c r="D1076">
        <v>16</v>
      </c>
      <c r="E1076">
        <v>6</v>
      </c>
      <c r="F1076">
        <v>3</v>
      </c>
      <c r="G1076">
        <v>72.7</v>
      </c>
    </row>
    <row r="1077" spans="1:7">
      <c r="A1077">
        <v>90</v>
      </c>
      <c r="B1077" s="1">
        <v>46143</v>
      </c>
      <c r="C1077">
        <v>21</v>
      </c>
      <c r="D1077">
        <v>10</v>
      </c>
      <c r="E1077">
        <v>11</v>
      </c>
      <c r="F1077">
        <v>6</v>
      </c>
      <c r="G1077">
        <v>47.6</v>
      </c>
    </row>
    <row r="1078" spans="1:7">
      <c r="A1078">
        <v>90</v>
      </c>
      <c r="B1078" s="1">
        <v>46174</v>
      </c>
      <c r="C1078">
        <v>19</v>
      </c>
      <c r="D1078">
        <v>10</v>
      </c>
      <c r="E1078">
        <v>9</v>
      </c>
      <c r="F1078">
        <v>1</v>
      </c>
      <c r="G1078">
        <v>52.6</v>
      </c>
    </row>
    <row r="1079" spans="1:7">
      <c r="A1079">
        <v>90</v>
      </c>
      <c r="B1079" s="1">
        <v>46204</v>
      </c>
      <c r="C1079">
        <v>18</v>
      </c>
      <c r="D1079">
        <v>12</v>
      </c>
      <c r="E1079">
        <v>6</v>
      </c>
      <c r="F1079">
        <v>5</v>
      </c>
      <c r="G1079">
        <v>66.7</v>
      </c>
    </row>
    <row r="1080" spans="1:7">
      <c r="A1080">
        <v>90</v>
      </c>
      <c r="B1080" s="1">
        <v>46235</v>
      </c>
      <c r="C1080">
        <v>22</v>
      </c>
      <c r="D1080">
        <v>13</v>
      </c>
      <c r="E1080">
        <v>9</v>
      </c>
      <c r="F1080">
        <v>5</v>
      </c>
      <c r="G1080">
        <v>59.1</v>
      </c>
    </row>
    <row r="1081" spans="1:7">
      <c r="A1081">
        <v>90</v>
      </c>
      <c r="B1081" s="1">
        <v>46266</v>
      </c>
      <c r="C1081">
        <v>20</v>
      </c>
      <c r="D1081">
        <v>13</v>
      </c>
      <c r="E1081">
        <v>7</v>
      </c>
      <c r="F1081">
        <v>3</v>
      </c>
      <c r="G1081">
        <v>65</v>
      </c>
    </row>
    <row r="1082" spans="1:7">
      <c r="A1082">
        <v>91</v>
      </c>
      <c r="B1082" s="1">
        <v>45931</v>
      </c>
      <c r="C1082">
        <v>20</v>
      </c>
      <c r="D1082">
        <v>10</v>
      </c>
      <c r="E1082">
        <v>10</v>
      </c>
      <c r="F1082">
        <v>4</v>
      </c>
      <c r="G1082">
        <v>50</v>
      </c>
    </row>
    <row r="1083" spans="1:7">
      <c r="A1083">
        <v>91</v>
      </c>
      <c r="B1083" s="1">
        <v>45962</v>
      </c>
      <c r="C1083">
        <v>19</v>
      </c>
      <c r="D1083">
        <v>13</v>
      </c>
      <c r="E1083">
        <v>6</v>
      </c>
      <c r="F1083">
        <v>6</v>
      </c>
      <c r="G1083">
        <v>68.400000000000006</v>
      </c>
    </row>
    <row r="1084" spans="1:7">
      <c r="A1084">
        <v>91</v>
      </c>
      <c r="B1084" s="1">
        <v>45992</v>
      </c>
      <c r="C1084">
        <v>22</v>
      </c>
      <c r="D1084">
        <v>16</v>
      </c>
      <c r="E1084">
        <v>6</v>
      </c>
      <c r="F1084">
        <v>2</v>
      </c>
      <c r="G1084">
        <v>72.7</v>
      </c>
    </row>
    <row r="1085" spans="1:7">
      <c r="A1085">
        <v>91</v>
      </c>
      <c r="B1085" s="1">
        <v>46023</v>
      </c>
      <c r="C1085">
        <v>18</v>
      </c>
      <c r="D1085">
        <v>16</v>
      </c>
      <c r="E1085">
        <v>2</v>
      </c>
      <c r="F1085">
        <v>5</v>
      </c>
      <c r="G1085">
        <v>88.9</v>
      </c>
    </row>
    <row r="1086" spans="1:7">
      <c r="A1086">
        <v>91</v>
      </c>
      <c r="B1086" s="1">
        <v>46054</v>
      </c>
      <c r="C1086">
        <v>21</v>
      </c>
      <c r="D1086">
        <v>14</v>
      </c>
      <c r="E1086">
        <v>7</v>
      </c>
      <c r="F1086">
        <v>4</v>
      </c>
      <c r="G1086">
        <v>66.7</v>
      </c>
    </row>
    <row r="1087" spans="1:7">
      <c r="A1087">
        <v>91</v>
      </c>
      <c r="B1087" s="1">
        <v>46082</v>
      </c>
      <c r="C1087">
        <v>18</v>
      </c>
      <c r="D1087">
        <v>12</v>
      </c>
      <c r="E1087">
        <v>6</v>
      </c>
      <c r="F1087">
        <v>2</v>
      </c>
      <c r="G1087">
        <v>66.7</v>
      </c>
    </row>
    <row r="1088" spans="1:7">
      <c r="A1088">
        <v>91</v>
      </c>
      <c r="B1088" s="1">
        <v>46113</v>
      </c>
      <c r="C1088">
        <v>18</v>
      </c>
      <c r="D1088">
        <v>15</v>
      </c>
      <c r="E1088">
        <v>3</v>
      </c>
      <c r="F1088">
        <v>3</v>
      </c>
      <c r="G1088">
        <v>83.3</v>
      </c>
    </row>
    <row r="1089" spans="1:7">
      <c r="A1089">
        <v>91</v>
      </c>
      <c r="B1089" s="1">
        <v>46143</v>
      </c>
      <c r="C1089">
        <v>20</v>
      </c>
      <c r="D1089">
        <v>11</v>
      </c>
      <c r="E1089">
        <v>9</v>
      </c>
      <c r="F1089">
        <v>0</v>
      </c>
      <c r="G1089">
        <v>55</v>
      </c>
    </row>
    <row r="1090" spans="1:7">
      <c r="A1090">
        <v>91</v>
      </c>
      <c r="B1090" s="1">
        <v>46174</v>
      </c>
      <c r="C1090">
        <v>20</v>
      </c>
      <c r="D1090">
        <v>11</v>
      </c>
      <c r="E1090">
        <v>9</v>
      </c>
      <c r="F1090">
        <v>4</v>
      </c>
      <c r="G1090">
        <v>55</v>
      </c>
    </row>
    <row r="1091" spans="1:7">
      <c r="A1091">
        <v>91</v>
      </c>
      <c r="B1091" s="1">
        <v>46204</v>
      </c>
      <c r="C1091">
        <v>22</v>
      </c>
      <c r="D1091">
        <v>15</v>
      </c>
      <c r="E1091">
        <v>7</v>
      </c>
      <c r="F1091">
        <v>1</v>
      </c>
      <c r="G1091">
        <v>68.2</v>
      </c>
    </row>
    <row r="1092" spans="1:7">
      <c r="A1092">
        <v>91</v>
      </c>
      <c r="B1092" s="1">
        <v>46235</v>
      </c>
      <c r="C1092">
        <v>20</v>
      </c>
      <c r="D1092">
        <v>13</v>
      </c>
      <c r="E1092">
        <v>7</v>
      </c>
      <c r="F1092">
        <v>6</v>
      </c>
      <c r="G1092">
        <v>65</v>
      </c>
    </row>
    <row r="1093" spans="1:7">
      <c r="A1093">
        <v>91</v>
      </c>
      <c r="B1093" s="1">
        <v>46266</v>
      </c>
      <c r="C1093">
        <v>21</v>
      </c>
      <c r="D1093">
        <v>14</v>
      </c>
      <c r="E1093">
        <v>7</v>
      </c>
      <c r="F1093">
        <v>5</v>
      </c>
      <c r="G1093">
        <v>66.7</v>
      </c>
    </row>
    <row r="1094" spans="1:7">
      <c r="A1094">
        <v>92</v>
      </c>
      <c r="B1094" s="1">
        <v>45931</v>
      </c>
      <c r="C1094">
        <v>18</v>
      </c>
      <c r="D1094">
        <v>11</v>
      </c>
      <c r="E1094">
        <v>7</v>
      </c>
      <c r="F1094">
        <v>3</v>
      </c>
      <c r="G1094">
        <v>61.1</v>
      </c>
    </row>
    <row r="1095" spans="1:7">
      <c r="A1095">
        <v>92</v>
      </c>
      <c r="B1095" s="1">
        <v>45962</v>
      </c>
      <c r="C1095">
        <v>20</v>
      </c>
      <c r="D1095">
        <v>16</v>
      </c>
      <c r="E1095">
        <v>4</v>
      </c>
      <c r="F1095">
        <v>4</v>
      </c>
      <c r="G1095">
        <v>80</v>
      </c>
    </row>
    <row r="1096" spans="1:7">
      <c r="A1096">
        <v>92</v>
      </c>
      <c r="B1096" s="1">
        <v>45992</v>
      </c>
      <c r="C1096">
        <v>22</v>
      </c>
      <c r="D1096">
        <v>18</v>
      </c>
      <c r="E1096">
        <v>4</v>
      </c>
      <c r="F1096">
        <v>5</v>
      </c>
      <c r="G1096">
        <v>81.8</v>
      </c>
    </row>
    <row r="1097" spans="1:7">
      <c r="A1097">
        <v>92</v>
      </c>
      <c r="B1097" s="1">
        <v>46023</v>
      </c>
      <c r="C1097">
        <v>20</v>
      </c>
      <c r="D1097">
        <v>15</v>
      </c>
      <c r="E1097">
        <v>5</v>
      </c>
      <c r="F1097">
        <v>3</v>
      </c>
      <c r="G1097">
        <v>75</v>
      </c>
    </row>
    <row r="1098" spans="1:7">
      <c r="A1098">
        <v>92</v>
      </c>
      <c r="B1098" s="1">
        <v>46054</v>
      </c>
      <c r="C1098">
        <v>19</v>
      </c>
      <c r="D1098">
        <v>15</v>
      </c>
      <c r="E1098">
        <v>4</v>
      </c>
      <c r="F1098">
        <v>3</v>
      </c>
      <c r="G1098">
        <v>78.900000000000006</v>
      </c>
    </row>
    <row r="1099" spans="1:7">
      <c r="A1099">
        <v>92</v>
      </c>
      <c r="B1099" s="1">
        <v>46082</v>
      </c>
      <c r="C1099">
        <v>20</v>
      </c>
      <c r="D1099">
        <v>17</v>
      </c>
      <c r="E1099">
        <v>3</v>
      </c>
      <c r="F1099">
        <v>0</v>
      </c>
      <c r="G1099">
        <v>85</v>
      </c>
    </row>
    <row r="1100" spans="1:7">
      <c r="A1100">
        <v>92</v>
      </c>
      <c r="B1100" s="1">
        <v>46113</v>
      </c>
      <c r="C1100">
        <v>20</v>
      </c>
      <c r="D1100">
        <v>16</v>
      </c>
      <c r="E1100">
        <v>4</v>
      </c>
      <c r="F1100">
        <v>3</v>
      </c>
      <c r="G1100">
        <v>80</v>
      </c>
    </row>
    <row r="1101" spans="1:7">
      <c r="A1101">
        <v>92</v>
      </c>
      <c r="B1101" s="1">
        <v>46143</v>
      </c>
      <c r="C1101">
        <v>22</v>
      </c>
      <c r="D1101">
        <v>16</v>
      </c>
      <c r="E1101">
        <v>6</v>
      </c>
      <c r="F1101">
        <v>0</v>
      </c>
      <c r="G1101">
        <v>72.7</v>
      </c>
    </row>
    <row r="1102" spans="1:7">
      <c r="A1102">
        <v>92</v>
      </c>
      <c r="B1102" s="1">
        <v>46174</v>
      </c>
      <c r="C1102">
        <v>19</v>
      </c>
      <c r="D1102">
        <v>15</v>
      </c>
      <c r="E1102">
        <v>4</v>
      </c>
      <c r="F1102">
        <v>3</v>
      </c>
      <c r="G1102">
        <v>78.900000000000006</v>
      </c>
    </row>
    <row r="1103" spans="1:7">
      <c r="A1103">
        <v>92</v>
      </c>
      <c r="B1103" s="1">
        <v>46204</v>
      </c>
      <c r="C1103">
        <v>21</v>
      </c>
      <c r="D1103">
        <v>18</v>
      </c>
      <c r="E1103">
        <v>3</v>
      </c>
      <c r="F1103">
        <v>2</v>
      </c>
      <c r="G1103">
        <v>85.7</v>
      </c>
    </row>
    <row r="1104" spans="1:7">
      <c r="A1104">
        <v>92</v>
      </c>
      <c r="B1104" s="1">
        <v>46235</v>
      </c>
      <c r="C1104">
        <v>19</v>
      </c>
      <c r="D1104">
        <v>12</v>
      </c>
      <c r="E1104">
        <v>7</v>
      </c>
      <c r="F1104">
        <v>3</v>
      </c>
      <c r="G1104">
        <v>63.2</v>
      </c>
    </row>
    <row r="1105" spans="1:7">
      <c r="A1105">
        <v>92</v>
      </c>
      <c r="B1105" s="1">
        <v>46266</v>
      </c>
      <c r="C1105">
        <v>21</v>
      </c>
      <c r="D1105">
        <v>21</v>
      </c>
      <c r="E1105">
        <v>0</v>
      </c>
      <c r="F1105">
        <v>1</v>
      </c>
      <c r="G1105">
        <v>100</v>
      </c>
    </row>
    <row r="1106" spans="1:7">
      <c r="A1106">
        <v>93</v>
      </c>
      <c r="B1106" s="1">
        <v>45931</v>
      </c>
      <c r="C1106">
        <v>22</v>
      </c>
      <c r="D1106">
        <v>22</v>
      </c>
      <c r="E1106">
        <v>0</v>
      </c>
      <c r="F1106">
        <v>2</v>
      </c>
      <c r="G1106">
        <v>100</v>
      </c>
    </row>
    <row r="1107" spans="1:7">
      <c r="A1107">
        <v>93</v>
      </c>
      <c r="B1107" s="1">
        <v>45962</v>
      </c>
      <c r="C1107">
        <v>21</v>
      </c>
      <c r="D1107">
        <v>21</v>
      </c>
      <c r="E1107">
        <v>0</v>
      </c>
      <c r="F1107">
        <v>2</v>
      </c>
      <c r="G1107">
        <v>100</v>
      </c>
    </row>
    <row r="1108" spans="1:7">
      <c r="A1108">
        <v>93</v>
      </c>
      <c r="B1108" s="1">
        <v>45992</v>
      </c>
      <c r="C1108">
        <v>18</v>
      </c>
      <c r="D1108">
        <v>16</v>
      </c>
      <c r="E1108">
        <v>2</v>
      </c>
      <c r="F1108">
        <v>3</v>
      </c>
      <c r="G1108">
        <v>88.9</v>
      </c>
    </row>
    <row r="1109" spans="1:7">
      <c r="A1109">
        <v>93</v>
      </c>
      <c r="B1109" s="1">
        <v>46023</v>
      </c>
      <c r="C1109">
        <v>18</v>
      </c>
      <c r="D1109">
        <v>18</v>
      </c>
      <c r="E1109">
        <v>0</v>
      </c>
      <c r="F1109">
        <v>0</v>
      </c>
      <c r="G1109">
        <v>100</v>
      </c>
    </row>
    <row r="1110" spans="1:7">
      <c r="A1110">
        <v>93</v>
      </c>
      <c r="B1110" s="1">
        <v>46054</v>
      </c>
      <c r="C1110">
        <v>21</v>
      </c>
      <c r="D1110">
        <v>21</v>
      </c>
      <c r="E1110">
        <v>0</v>
      </c>
      <c r="F1110">
        <v>1</v>
      </c>
      <c r="G1110">
        <v>100</v>
      </c>
    </row>
    <row r="1111" spans="1:7">
      <c r="A1111">
        <v>93</v>
      </c>
      <c r="B1111" s="1">
        <v>46082</v>
      </c>
      <c r="C1111">
        <v>22</v>
      </c>
      <c r="D1111">
        <v>22</v>
      </c>
      <c r="E1111">
        <v>0</v>
      </c>
      <c r="F1111">
        <v>3</v>
      </c>
      <c r="G1111">
        <v>100</v>
      </c>
    </row>
    <row r="1112" spans="1:7">
      <c r="A1112">
        <v>93</v>
      </c>
      <c r="B1112" s="1">
        <v>46113</v>
      </c>
      <c r="C1112">
        <v>22</v>
      </c>
      <c r="D1112">
        <v>22</v>
      </c>
      <c r="E1112">
        <v>0</v>
      </c>
      <c r="F1112">
        <v>1</v>
      </c>
      <c r="G1112">
        <v>100</v>
      </c>
    </row>
    <row r="1113" spans="1:7">
      <c r="A1113">
        <v>93</v>
      </c>
      <c r="B1113" s="1">
        <v>46143</v>
      </c>
      <c r="C1113">
        <v>21</v>
      </c>
      <c r="D1113">
        <v>21</v>
      </c>
      <c r="E1113">
        <v>0</v>
      </c>
      <c r="F1113">
        <v>2</v>
      </c>
      <c r="G1113">
        <v>100</v>
      </c>
    </row>
    <row r="1114" spans="1:7">
      <c r="A1114">
        <v>93</v>
      </c>
      <c r="B1114" s="1">
        <v>46174</v>
      </c>
      <c r="C1114">
        <v>22</v>
      </c>
      <c r="D1114">
        <v>22</v>
      </c>
      <c r="E1114">
        <v>0</v>
      </c>
      <c r="F1114">
        <v>2</v>
      </c>
      <c r="G1114">
        <v>100</v>
      </c>
    </row>
    <row r="1115" spans="1:7">
      <c r="A1115">
        <v>93</v>
      </c>
      <c r="B1115" s="1">
        <v>46204</v>
      </c>
      <c r="C1115">
        <v>22</v>
      </c>
      <c r="D1115">
        <v>22</v>
      </c>
      <c r="E1115">
        <v>0</v>
      </c>
      <c r="F1115">
        <v>2</v>
      </c>
      <c r="G1115">
        <v>100</v>
      </c>
    </row>
    <row r="1116" spans="1:7">
      <c r="A1116">
        <v>93</v>
      </c>
      <c r="B1116" s="1">
        <v>46235</v>
      </c>
      <c r="C1116">
        <v>21</v>
      </c>
      <c r="D1116">
        <v>21</v>
      </c>
      <c r="E1116">
        <v>0</v>
      </c>
      <c r="F1116">
        <v>0</v>
      </c>
      <c r="G1116">
        <v>100</v>
      </c>
    </row>
    <row r="1117" spans="1:7">
      <c r="A1117">
        <v>93</v>
      </c>
      <c r="B1117" s="1">
        <v>46266</v>
      </c>
      <c r="C1117">
        <v>18</v>
      </c>
      <c r="D1117">
        <v>18</v>
      </c>
      <c r="E1117">
        <v>0</v>
      </c>
      <c r="F1117">
        <v>1</v>
      </c>
      <c r="G1117">
        <v>100</v>
      </c>
    </row>
    <row r="1118" spans="1:7">
      <c r="A1118">
        <v>94</v>
      </c>
      <c r="B1118" s="1">
        <v>45931</v>
      </c>
      <c r="C1118">
        <v>20</v>
      </c>
      <c r="D1118">
        <v>17</v>
      </c>
      <c r="E1118">
        <v>3</v>
      </c>
      <c r="F1118">
        <v>5</v>
      </c>
      <c r="G1118">
        <v>85</v>
      </c>
    </row>
    <row r="1119" spans="1:7">
      <c r="A1119">
        <v>94</v>
      </c>
      <c r="B1119" s="1">
        <v>45962</v>
      </c>
      <c r="C1119">
        <v>21</v>
      </c>
      <c r="D1119">
        <v>15</v>
      </c>
      <c r="E1119">
        <v>6</v>
      </c>
      <c r="F1119">
        <v>0</v>
      </c>
      <c r="G1119">
        <v>71.400000000000006</v>
      </c>
    </row>
    <row r="1120" spans="1:7">
      <c r="A1120">
        <v>94</v>
      </c>
      <c r="B1120" s="1">
        <v>45992</v>
      </c>
      <c r="C1120">
        <v>20</v>
      </c>
      <c r="D1120">
        <v>19</v>
      </c>
      <c r="E1120">
        <v>1</v>
      </c>
      <c r="F1120">
        <v>1</v>
      </c>
      <c r="G1120">
        <v>95</v>
      </c>
    </row>
    <row r="1121" spans="1:7">
      <c r="A1121">
        <v>94</v>
      </c>
      <c r="B1121" s="1">
        <v>46023</v>
      </c>
      <c r="C1121">
        <v>18</v>
      </c>
      <c r="D1121">
        <v>13</v>
      </c>
      <c r="E1121">
        <v>5</v>
      </c>
      <c r="F1121">
        <v>0</v>
      </c>
      <c r="G1121">
        <v>72.2</v>
      </c>
    </row>
    <row r="1122" spans="1:7">
      <c r="A1122">
        <v>94</v>
      </c>
      <c r="B1122" s="1">
        <v>46054</v>
      </c>
      <c r="C1122">
        <v>20</v>
      </c>
      <c r="D1122">
        <v>20</v>
      </c>
      <c r="E1122">
        <v>0</v>
      </c>
      <c r="F1122">
        <v>2</v>
      </c>
      <c r="G1122">
        <v>100</v>
      </c>
    </row>
    <row r="1123" spans="1:7">
      <c r="A1123">
        <v>94</v>
      </c>
      <c r="B1123" s="1">
        <v>46082</v>
      </c>
      <c r="C1123">
        <v>22</v>
      </c>
      <c r="D1123">
        <v>18</v>
      </c>
      <c r="E1123">
        <v>4</v>
      </c>
      <c r="F1123">
        <v>3</v>
      </c>
      <c r="G1123">
        <v>81.8</v>
      </c>
    </row>
    <row r="1124" spans="1:7">
      <c r="A1124">
        <v>94</v>
      </c>
      <c r="B1124" s="1">
        <v>46113</v>
      </c>
      <c r="C1124">
        <v>22</v>
      </c>
      <c r="D1124">
        <v>20</v>
      </c>
      <c r="E1124">
        <v>2</v>
      </c>
      <c r="F1124">
        <v>5</v>
      </c>
      <c r="G1124">
        <v>90.9</v>
      </c>
    </row>
    <row r="1125" spans="1:7">
      <c r="A1125">
        <v>94</v>
      </c>
      <c r="B1125" s="1">
        <v>46143</v>
      </c>
      <c r="C1125">
        <v>21</v>
      </c>
      <c r="D1125">
        <v>17</v>
      </c>
      <c r="E1125">
        <v>4</v>
      </c>
      <c r="F1125">
        <v>5</v>
      </c>
      <c r="G1125">
        <v>81</v>
      </c>
    </row>
    <row r="1126" spans="1:7">
      <c r="A1126">
        <v>94</v>
      </c>
      <c r="B1126" s="1">
        <v>46174</v>
      </c>
      <c r="C1126">
        <v>18</v>
      </c>
      <c r="D1126">
        <v>17</v>
      </c>
      <c r="E1126">
        <v>1</v>
      </c>
      <c r="F1126">
        <v>0</v>
      </c>
      <c r="G1126">
        <v>94.4</v>
      </c>
    </row>
    <row r="1127" spans="1:7">
      <c r="A1127">
        <v>94</v>
      </c>
      <c r="B1127" s="1">
        <v>46204</v>
      </c>
      <c r="C1127">
        <v>20</v>
      </c>
      <c r="D1127">
        <v>14</v>
      </c>
      <c r="E1127">
        <v>6</v>
      </c>
      <c r="F1127">
        <v>1</v>
      </c>
      <c r="G1127">
        <v>70</v>
      </c>
    </row>
    <row r="1128" spans="1:7">
      <c r="A1128">
        <v>94</v>
      </c>
      <c r="B1128" s="1">
        <v>46235</v>
      </c>
      <c r="C1128">
        <v>22</v>
      </c>
      <c r="D1128">
        <v>17</v>
      </c>
      <c r="E1128">
        <v>5</v>
      </c>
      <c r="F1128">
        <v>5</v>
      </c>
      <c r="G1128">
        <v>77.3</v>
      </c>
    </row>
    <row r="1129" spans="1:7">
      <c r="A1129">
        <v>94</v>
      </c>
      <c r="B1129" s="1">
        <v>46266</v>
      </c>
      <c r="C1129">
        <v>19</v>
      </c>
      <c r="D1129">
        <v>15</v>
      </c>
      <c r="E1129">
        <v>4</v>
      </c>
      <c r="F1129">
        <v>2</v>
      </c>
      <c r="G1129">
        <v>78.900000000000006</v>
      </c>
    </row>
    <row r="1130" spans="1:7">
      <c r="A1130">
        <v>95</v>
      </c>
      <c r="B1130" s="1">
        <v>45931</v>
      </c>
      <c r="C1130">
        <v>19</v>
      </c>
      <c r="D1130">
        <v>18</v>
      </c>
      <c r="E1130">
        <v>1</v>
      </c>
      <c r="F1130">
        <v>2</v>
      </c>
      <c r="G1130">
        <v>94.7</v>
      </c>
    </row>
    <row r="1131" spans="1:7">
      <c r="A1131">
        <v>95</v>
      </c>
      <c r="B1131" s="1">
        <v>45962</v>
      </c>
      <c r="C1131">
        <v>18</v>
      </c>
      <c r="D1131">
        <v>18</v>
      </c>
      <c r="E1131">
        <v>0</v>
      </c>
      <c r="F1131">
        <v>2</v>
      </c>
      <c r="G1131">
        <v>100</v>
      </c>
    </row>
    <row r="1132" spans="1:7">
      <c r="A1132">
        <v>95</v>
      </c>
      <c r="B1132" s="1">
        <v>45992</v>
      </c>
      <c r="C1132">
        <v>20</v>
      </c>
      <c r="D1132">
        <v>20</v>
      </c>
      <c r="E1132">
        <v>0</v>
      </c>
      <c r="F1132">
        <v>1</v>
      </c>
      <c r="G1132">
        <v>100</v>
      </c>
    </row>
    <row r="1133" spans="1:7">
      <c r="A1133">
        <v>95</v>
      </c>
      <c r="B1133" s="1">
        <v>46023</v>
      </c>
      <c r="C1133">
        <v>19</v>
      </c>
      <c r="D1133">
        <v>19</v>
      </c>
      <c r="E1133">
        <v>0</v>
      </c>
      <c r="F1133">
        <v>0</v>
      </c>
      <c r="G1133">
        <v>100</v>
      </c>
    </row>
    <row r="1134" spans="1:7">
      <c r="A1134">
        <v>95</v>
      </c>
      <c r="B1134" s="1">
        <v>46054</v>
      </c>
      <c r="C1134">
        <v>22</v>
      </c>
      <c r="D1134">
        <v>22</v>
      </c>
      <c r="E1134">
        <v>0</v>
      </c>
      <c r="F1134">
        <v>2</v>
      </c>
      <c r="G1134">
        <v>100</v>
      </c>
    </row>
    <row r="1135" spans="1:7">
      <c r="A1135">
        <v>95</v>
      </c>
      <c r="B1135" s="1">
        <v>46082</v>
      </c>
      <c r="C1135">
        <v>20</v>
      </c>
      <c r="D1135">
        <v>20</v>
      </c>
      <c r="E1135">
        <v>0</v>
      </c>
      <c r="F1135">
        <v>2</v>
      </c>
      <c r="G1135">
        <v>100</v>
      </c>
    </row>
    <row r="1136" spans="1:7">
      <c r="A1136">
        <v>95</v>
      </c>
      <c r="B1136" s="1">
        <v>46113</v>
      </c>
      <c r="C1136">
        <v>20</v>
      </c>
      <c r="D1136">
        <v>18</v>
      </c>
      <c r="E1136">
        <v>2</v>
      </c>
      <c r="F1136">
        <v>1</v>
      </c>
      <c r="G1136">
        <v>90</v>
      </c>
    </row>
    <row r="1137" spans="1:7">
      <c r="A1137">
        <v>95</v>
      </c>
      <c r="B1137" s="1">
        <v>46143</v>
      </c>
      <c r="C1137">
        <v>18</v>
      </c>
      <c r="D1137">
        <v>17</v>
      </c>
      <c r="E1137">
        <v>1</v>
      </c>
      <c r="F1137">
        <v>1</v>
      </c>
      <c r="G1137">
        <v>94.4</v>
      </c>
    </row>
    <row r="1138" spans="1:7">
      <c r="A1138">
        <v>95</v>
      </c>
      <c r="B1138" s="1">
        <v>46174</v>
      </c>
      <c r="C1138">
        <v>22</v>
      </c>
      <c r="D1138">
        <v>22</v>
      </c>
      <c r="E1138">
        <v>0</v>
      </c>
      <c r="F1138">
        <v>3</v>
      </c>
      <c r="G1138">
        <v>100</v>
      </c>
    </row>
    <row r="1139" spans="1:7">
      <c r="A1139">
        <v>95</v>
      </c>
      <c r="B1139" s="1">
        <v>46204</v>
      </c>
      <c r="C1139">
        <v>20</v>
      </c>
      <c r="D1139">
        <v>17</v>
      </c>
      <c r="E1139">
        <v>3</v>
      </c>
      <c r="F1139">
        <v>1</v>
      </c>
      <c r="G1139">
        <v>85</v>
      </c>
    </row>
    <row r="1140" spans="1:7">
      <c r="A1140">
        <v>95</v>
      </c>
      <c r="B1140" s="1">
        <v>46235</v>
      </c>
      <c r="C1140">
        <v>18</v>
      </c>
      <c r="D1140">
        <v>18</v>
      </c>
      <c r="E1140">
        <v>0</v>
      </c>
      <c r="F1140">
        <v>1</v>
      </c>
      <c r="G1140">
        <v>100</v>
      </c>
    </row>
    <row r="1141" spans="1:7">
      <c r="A1141">
        <v>95</v>
      </c>
      <c r="B1141" s="1">
        <v>46266</v>
      </c>
      <c r="C1141">
        <v>22</v>
      </c>
      <c r="D1141">
        <v>20</v>
      </c>
      <c r="E1141">
        <v>2</v>
      </c>
      <c r="F1141">
        <v>4</v>
      </c>
      <c r="G1141">
        <v>90.9</v>
      </c>
    </row>
    <row r="1142" spans="1:7">
      <c r="A1142">
        <v>96</v>
      </c>
      <c r="B1142" s="1">
        <v>45931</v>
      </c>
      <c r="C1142">
        <v>22</v>
      </c>
      <c r="D1142">
        <v>18</v>
      </c>
      <c r="E1142">
        <v>4</v>
      </c>
      <c r="F1142">
        <v>5</v>
      </c>
      <c r="G1142">
        <v>81.8</v>
      </c>
    </row>
    <row r="1143" spans="1:7">
      <c r="A1143">
        <v>96</v>
      </c>
      <c r="B1143" s="1">
        <v>45962</v>
      </c>
      <c r="C1143">
        <v>18</v>
      </c>
      <c r="D1143">
        <v>18</v>
      </c>
      <c r="E1143">
        <v>0</v>
      </c>
      <c r="F1143">
        <v>3</v>
      </c>
      <c r="G1143">
        <v>100</v>
      </c>
    </row>
    <row r="1144" spans="1:7">
      <c r="A1144">
        <v>96</v>
      </c>
      <c r="B1144" s="1">
        <v>45992</v>
      </c>
      <c r="C1144">
        <v>21</v>
      </c>
      <c r="D1144">
        <v>18</v>
      </c>
      <c r="E1144">
        <v>3</v>
      </c>
      <c r="F1144">
        <v>1</v>
      </c>
      <c r="G1144">
        <v>85.7</v>
      </c>
    </row>
    <row r="1145" spans="1:7">
      <c r="A1145">
        <v>96</v>
      </c>
      <c r="B1145" s="1">
        <v>46023</v>
      </c>
      <c r="C1145">
        <v>18</v>
      </c>
      <c r="D1145">
        <v>16</v>
      </c>
      <c r="E1145">
        <v>2</v>
      </c>
      <c r="F1145">
        <v>3</v>
      </c>
      <c r="G1145">
        <v>88.9</v>
      </c>
    </row>
    <row r="1146" spans="1:7">
      <c r="A1146">
        <v>96</v>
      </c>
      <c r="B1146" s="1">
        <v>46054</v>
      </c>
      <c r="C1146">
        <v>20</v>
      </c>
      <c r="D1146">
        <v>18</v>
      </c>
      <c r="E1146">
        <v>2</v>
      </c>
      <c r="F1146">
        <v>3</v>
      </c>
      <c r="G1146">
        <v>90</v>
      </c>
    </row>
    <row r="1147" spans="1:7">
      <c r="A1147">
        <v>96</v>
      </c>
      <c r="B1147" s="1">
        <v>46082</v>
      </c>
      <c r="C1147">
        <v>22</v>
      </c>
      <c r="D1147">
        <v>18</v>
      </c>
      <c r="E1147">
        <v>4</v>
      </c>
      <c r="F1147">
        <v>4</v>
      </c>
      <c r="G1147">
        <v>81.8</v>
      </c>
    </row>
    <row r="1148" spans="1:7">
      <c r="A1148">
        <v>96</v>
      </c>
      <c r="B1148" s="1">
        <v>46113</v>
      </c>
      <c r="C1148">
        <v>20</v>
      </c>
      <c r="D1148">
        <v>17</v>
      </c>
      <c r="E1148">
        <v>3</v>
      </c>
      <c r="F1148">
        <v>5</v>
      </c>
      <c r="G1148">
        <v>85</v>
      </c>
    </row>
    <row r="1149" spans="1:7">
      <c r="A1149">
        <v>96</v>
      </c>
      <c r="B1149" s="1">
        <v>46143</v>
      </c>
      <c r="C1149">
        <v>18</v>
      </c>
      <c r="D1149">
        <v>14</v>
      </c>
      <c r="E1149">
        <v>4</v>
      </c>
      <c r="F1149">
        <v>1</v>
      </c>
      <c r="G1149">
        <v>77.8</v>
      </c>
    </row>
    <row r="1150" spans="1:7">
      <c r="A1150">
        <v>96</v>
      </c>
      <c r="B1150" s="1">
        <v>46174</v>
      </c>
      <c r="C1150">
        <v>19</v>
      </c>
      <c r="D1150">
        <v>16</v>
      </c>
      <c r="E1150">
        <v>3</v>
      </c>
      <c r="F1150">
        <v>1</v>
      </c>
      <c r="G1150">
        <v>84.2</v>
      </c>
    </row>
    <row r="1151" spans="1:7">
      <c r="A1151">
        <v>96</v>
      </c>
      <c r="B1151" s="1">
        <v>46204</v>
      </c>
      <c r="C1151">
        <v>20</v>
      </c>
      <c r="D1151">
        <v>19</v>
      </c>
      <c r="E1151">
        <v>1</v>
      </c>
      <c r="F1151">
        <v>1</v>
      </c>
      <c r="G1151">
        <v>95</v>
      </c>
    </row>
    <row r="1152" spans="1:7">
      <c r="A1152">
        <v>96</v>
      </c>
      <c r="B1152" s="1">
        <v>46235</v>
      </c>
      <c r="C1152">
        <v>19</v>
      </c>
      <c r="D1152">
        <v>16</v>
      </c>
      <c r="E1152">
        <v>3</v>
      </c>
      <c r="F1152">
        <v>5</v>
      </c>
      <c r="G1152">
        <v>84.2</v>
      </c>
    </row>
    <row r="1153" spans="1:7">
      <c r="A1153">
        <v>96</v>
      </c>
      <c r="B1153" s="1">
        <v>46266</v>
      </c>
      <c r="C1153">
        <v>18</v>
      </c>
      <c r="D1153">
        <v>15</v>
      </c>
      <c r="E1153">
        <v>3</v>
      </c>
      <c r="F1153">
        <v>0</v>
      </c>
      <c r="G1153">
        <v>83.3</v>
      </c>
    </row>
    <row r="1154" spans="1:7">
      <c r="A1154">
        <v>97</v>
      </c>
      <c r="B1154" s="1">
        <v>45931</v>
      </c>
      <c r="C1154">
        <v>18</v>
      </c>
      <c r="D1154">
        <v>11</v>
      </c>
      <c r="E1154">
        <v>7</v>
      </c>
      <c r="F1154">
        <v>0</v>
      </c>
      <c r="G1154">
        <v>61.1</v>
      </c>
    </row>
    <row r="1155" spans="1:7">
      <c r="A1155">
        <v>97</v>
      </c>
      <c r="B1155" s="1">
        <v>45962</v>
      </c>
      <c r="C1155">
        <v>19</v>
      </c>
      <c r="D1155">
        <v>16</v>
      </c>
      <c r="E1155">
        <v>3</v>
      </c>
      <c r="F1155">
        <v>0</v>
      </c>
      <c r="G1155">
        <v>84.2</v>
      </c>
    </row>
    <row r="1156" spans="1:7">
      <c r="A1156">
        <v>97</v>
      </c>
      <c r="B1156" s="1">
        <v>45992</v>
      </c>
      <c r="C1156">
        <v>18</v>
      </c>
      <c r="D1156">
        <v>11</v>
      </c>
      <c r="E1156">
        <v>7</v>
      </c>
      <c r="F1156">
        <v>0</v>
      </c>
      <c r="G1156">
        <v>61.1</v>
      </c>
    </row>
    <row r="1157" spans="1:7">
      <c r="A1157">
        <v>97</v>
      </c>
      <c r="B1157" s="1">
        <v>46023</v>
      </c>
      <c r="C1157">
        <v>21</v>
      </c>
      <c r="D1157">
        <v>17</v>
      </c>
      <c r="E1157">
        <v>4</v>
      </c>
      <c r="F1157">
        <v>0</v>
      </c>
      <c r="G1157">
        <v>81</v>
      </c>
    </row>
    <row r="1158" spans="1:7">
      <c r="A1158">
        <v>97</v>
      </c>
      <c r="B1158" s="1">
        <v>46054</v>
      </c>
      <c r="C1158">
        <v>20</v>
      </c>
      <c r="D1158">
        <v>12</v>
      </c>
      <c r="E1158">
        <v>8</v>
      </c>
      <c r="F1158">
        <v>0</v>
      </c>
      <c r="G1158">
        <v>60</v>
      </c>
    </row>
    <row r="1159" spans="1:7">
      <c r="A1159">
        <v>97</v>
      </c>
      <c r="B1159" s="1">
        <v>46082</v>
      </c>
      <c r="C1159">
        <v>18</v>
      </c>
      <c r="D1159">
        <v>11</v>
      </c>
      <c r="E1159">
        <v>7</v>
      </c>
      <c r="F1159">
        <v>6</v>
      </c>
      <c r="G1159">
        <v>61.1</v>
      </c>
    </row>
    <row r="1160" spans="1:7">
      <c r="A1160">
        <v>97</v>
      </c>
      <c r="B1160" s="1">
        <v>46113</v>
      </c>
      <c r="C1160">
        <v>18</v>
      </c>
      <c r="D1160">
        <v>10</v>
      </c>
      <c r="E1160">
        <v>8</v>
      </c>
      <c r="F1160">
        <v>1</v>
      </c>
      <c r="G1160">
        <v>55.6</v>
      </c>
    </row>
    <row r="1161" spans="1:7">
      <c r="A1161">
        <v>97</v>
      </c>
      <c r="B1161" s="1">
        <v>46143</v>
      </c>
      <c r="C1161">
        <v>19</v>
      </c>
      <c r="D1161">
        <v>13</v>
      </c>
      <c r="E1161">
        <v>6</v>
      </c>
      <c r="F1161">
        <v>5</v>
      </c>
      <c r="G1161">
        <v>68.400000000000006</v>
      </c>
    </row>
    <row r="1162" spans="1:7">
      <c r="A1162">
        <v>97</v>
      </c>
      <c r="B1162" s="1">
        <v>46174</v>
      </c>
      <c r="C1162">
        <v>20</v>
      </c>
      <c r="D1162">
        <v>12</v>
      </c>
      <c r="E1162">
        <v>8</v>
      </c>
      <c r="F1162">
        <v>5</v>
      </c>
      <c r="G1162">
        <v>60</v>
      </c>
    </row>
    <row r="1163" spans="1:7">
      <c r="A1163">
        <v>97</v>
      </c>
      <c r="B1163" s="1">
        <v>46204</v>
      </c>
      <c r="C1163">
        <v>20</v>
      </c>
      <c r="D1163">
        <v>13</v>
      </c>
      <c r="E1163">
        <v>7</v>
      </c>
      <c r="F1163">
        <v>4</v>
      </c>
      <c r="G1163">
        <v>65</v>
      </c>
    </row>
    <row r="1164" spans="1:7">
      <c r="A1164">
        <v>97</v>
      </c>
      <c r="B1164" s="1">
        <v>46235</v>
      </c>
      <c r="C1164">
        <v>20</v>
      </c>
      <c r="D1164">
        <v>16</v>
      </c>
      <c r="E1164">
        <v>4</v>
      </c>
      <c r="F1164">
        <v>6</v>
      </c>
      <c r="G1164">
        <v>80</v>
      </c>
    </row>
    <row r="1165" spans="1:7">
      <c r="A1165">
        <v>97</v>
      </c>
      <c r="B1165" s="1">
        <v>46266</v>
      </c>
      <c r="C1165">
        <v>22</v>
      </c>
      <c r="D1165">
        <v>12</v>
      </c>
      <c r="E1165">
        <v>10</v>
      </c>
      <c r="F1165">
        <v>1</v>
      </c>
      <c r="G1165">
        <v>54.5</v>
      </c>
    </row>
    <row r="1166" spans="1:7">
      <c r="A1166">
        <v>98</v>
      </c>
      <c r="B1166" s="1">
        <v>45931</v>
      </c>
      <c r="C1166">
        <v>22</v>
      </c>
      <c r="D1166">
        <v>19</v>
      </c>
      <c r="E1166">
        <v>3</v>
      </c>
      <c r="F1166">
        <v>4</v>
      </c>
      <c r="G1166">
        <v>86.4</v>
      </c>
    </row>
    <row r="1167" spans="1:7">
      <c r="A1167">
        <v>98</v>
      </c>
      <c r="B1167" s="1">
        <v>45962</v>
      </c>
      <c r="C1167">
        <v>18</v>
      </c>
      <c r="D1167">
        <v>14</v>
      </c>
      <c r="E1167">
        <v>4</v>
      </c>
      <c r="F1167">
        <v>4</v>
      </c>
      <c r="G1167">
        <v>77.8</v>
      </c>
    </row>
    <row r="1168" spans="1:7">
      <c r="A1168">
        <v>98</v>
      </c>
      <c r="B1168" s="1">
        <v>45992</v>
      </c>
      <c r="C1168">
        <v>19</v>
      </c>
      <c r="D1168">
        <v>16</v>
      </c>
      <c r="E1168">
        <v>3</v>
      </c>
      <c r="F1168">
        <v>1</v>
      </c>
      <c r="G1168">
        <v>84.2</v>
      </c>
    </row>
    <row r="1169" spans="1:7">
      <c r="A1169">
        <v>98</v>
      </c>
      <c r="B1169" s="1">
        <v>46023</v>
      </c>
      <c r="C1169">
        <v>22</v>
      </c>
      <c r="D1169">
        <v>22</v>
      </c>
      <c r="E1169">
        <v>0</v>
      </c>
      <c r="F1169">
        <v>0</v>
      </c>
      <c r="G1169">
        <v>100</v>
      </c>
    </row>
    <row r="1170" spans="1:7">
      <c r="A1170">
        <v>98</v>
      </c>
      <c r="B1170" s="1">
        <v>46054</v>
      </c>
      <c r="C1170">
        <v>18</v>
      </c>
      <c r="D1170">
        <v>10</v>
      </c>
      <c r="E1170">
        <v>8</v>
      </c>
      <c r="F1170">
        <v>6</v>
      </c>
      <c r="G1170">
        <v>55.6</v>
      </c>
    </row>
    <row r="1171" spans="1:7">
      <c r="A1171">
        <v>98</v>
      </c>
      <c r="B1171" s="1">
        <v>46082</v>
      </c>
      <c r="C1171">
        <v>21</v>
      </c>
      <c r="D1171">
        <v>19</v>
      </c>
      <c r="E1171">
        <v>2</v>
      </c>
      <c r="F1171">
        <v>2</v>
      </c>
      <c r="G1171">
        <v>90.5</v>
      </c>
    </row>
    <row r="1172" spans="1:7">
      <c r="A1172">
        <v>98</v>
      </c>
      <c r="B1172" s="1">
        <v>46113</v>
      </c>
      <c r="C1172">
        <v>22</v>
      </c>
      <c r="D1172">
        <v>17</v>
      </c>
      <c r="E1172">
        <v>5</v>
      </c>
      <c r="F1172">
        <v>0</v>
      </c>
      <c r="G1172">
        <v>77.3</v>
      </c>
    </row>
    <row r="1173" spans="1:7">
      <c r="A1173">
        <v>98</v>
      </c>
      <c r="B1173" s="1">
        <v>46143</v>
      </c>
      <c r="C1173">
        <v>19</v>
      </c>
      <c r="D1173">
        <v>12</v>
      </c>
      <c r="E1173">
        <v>7</v>
      </c>
      <c r="F1173">
        <v>6</v>
      </c>
      <c r="G1173">
        <v>63.2</v>
      </c>
    </row>
    <row r="1174" spans="1:7">
      <c r="A1174">
        <v>98</v>
      </c>
      <c r="B1174" s="1">
        <v>46174</v>
      </c>
      <c r="C1174">
        <v>20</v>
      </c>
      <c r="D1174">
        <v>14</v>
      </c>
      <c r="E1174">
        <v>6</v>
      </c>
      <c r="F1174">
        <v>4</v>
      </c>
      <c r="G1174">
        <v>70</v>
      </c>
    </row>
    <row r="1175" spans="1:7">
      <c r="A1175">
        <v>98</v>
      </c>
      <c r="B1175" s="1">
        <v>46204</v>
      </c>
      <c r="C1175">
        <v>19</v>
      </c>
      <c r="D1175">
        <v>15</v>
      </c>
      <c r="E1175">
        <v>4</v>
      </c>
      <c r="F1175">
        <v>3</v>
      </c>
      <c r="G1175">
        <v>78.900000000000006</v>
      </c>
    </row>
    <row r="1176" spans="1:7">
      <c r="A1176">
        <v>98</v>
      </c>
      <c r="B1176" s="1">
        <v>46235</v>
      </c>
      <c r="C1176">
        <v>18</v>
      </c>
      <c r="D1176">
        <v>14</v>
      </c>
      <c r="E1176">
        <v>4</v>
      </c>
      <c r="F1176">
        <v>3</v>
      </c>
      <c r="G1176">
        <v>77.8</v>
      </c>
    </row>
    <row r="1177" spans="1:7">
      <c r="A1177">
        <v>98</v>
      </c>
      <c r="B1177" s="1">
        <v>46266</v>
      </c>
      <c r="C1177">
        <v>18</v>
      </c>
      <c r="D1177">
        <v>15</v>
      </c>
      <c r="E1177">
        <v>3</v>
      </c>
      <c r="F1177">
        <v>4</v>
      </c>
      <c r="G1177">
        <v>83.3</v>
      </c>
    </row>
    <row r="1178" spans="1:7">
      <c r="A1178">
        <v>99</v>
      </c>
      <c r="B1178" s="1">
        <v>45931</v>
      </c>
      <c r="C1178">
        <v>19</v>
      </c>
      <c r="D1178">
        <v>17</v>
      </c>
      <c r="E1178">
        <v>2</v>
      </c>
      <c r="F1178">
        <v>2</v>
      </c>
      <c r="G1178">
        <v>89.5</v>
      </c>
    </row>
    <row r="1179" spans="1:7">
      <c r="A1179">
        <v>99</v>
      </c>
      <c r="B1179" s="1">
        <v>45962</v>
      </c>
      <c r="C1179">
        <v>22</v>
      </c>
      <c r="D1179">
        <v>18</v>
      </c>
      <c r="E1179">
        <v>4</v>
      </c>
      <c r="F1179">
        <v>5</v>
      </c>
      <c r="G1179">
        <v>81.8</v>
      </c>
    </row>
    <row r="1180" spans="1:7">
      <c r="A1180">
        <v>99</v>
      </c>
      <c r="B1180" s="1">
        <v>45992</v>
      </c>
      <c r="C1180">
        <v>18</v>
      </c>
      <c r="D1180">
        <v>12</v>
      </c>
      <c r="E1180">
        <v>6</v>
      </c>
      <c r="F1180">
        <v>3</v>
      </c>
      <c r="G1180">
        <v>66.7</v>
      </c>
    </row>
    <row r="1181" spans="1:7">
      <c r="A1181">
        <v>99</v>
      </c>
      <c r="B1181" s="1">
        <v>46023</v>
      </c>
      <c r="C1181">
        <v>20</v>
      </c>
      <c r="D1181">
        <v>15</v>
      </c>
      <c r="E1181">
        <v>5</v>
      </c>
      <c r="F1181">
        <v>3</v>
      </c>
      <c r="G1181">
        <v>75</v>
      </c>
    </row>
    <row r="1182" spans="1:7">
      <c r="A1182">
        <v>99</v>
      </c>
      <c r="B1182" s="1">
        <v>46054</v>
      </c>
      <c r="C1182">
        <v>22</v>
      </c>
      <c r="D1182">
        <v>19</v>
      </c>
      <c r="E1182">
        <v>3</v>
      </c>
      <c r="F1182">
        <v>6</v>
      </c>
      <c r="G1182">
        <v>86.4</v>
      </c>
    </row>
    <row r="1183" spans="1:7">
      <c r="A1183">
        <v>99</v>
      </c>
      <c r="B1183" s="1">
        <v>46082</v>
      </c>
      <c r="C1183">
        <v>21</v>
      </c>
      <c r="D1183">
        <v>21</v>
      </c>
      <c r="E1183">
        <v>0</v>
      </c>
      <c r="F1183">
        <v>1</v>
      </c>
      <c r="G1183">
        <v>100</v>
      </c>
    </row>
    <row r="1184" spans="1:7">
      <c r="A1184">
        <v>99</v>
      </c>
      <c r="B1184" s="1">
        <v>46113</v>
      </c>
      <c r="C1184">
        <v>22</v>
      </c>
      <c r="D1184">
        <v>22</v>
      </c>
      <c r="E1184">
        <v>0</v>
      </c>
      <c r="F1184">
        <v>3</v>
      </c>
      <c r="G1184">
        <v>100</v>
      </c>
    </row>
    <row r="1185" spans="1:7">
      <c r="A1185">
        <v>99</v>
      </c>
      <c r="B1185" s="1">
        <v>46143</v>
      </c>
      <c r="C1185">
        <v>19</v>
      </c>
      <c r="D1185">
        <v>12</v>
      </c>
      <c r="E1185">
        <v>7</v>
      </c>
      <c r="F1185">
        <v>6</v>
      </c>
      <c r="G1185">
        <v>63.2</v>
      </c>
    </row>
    <row r="1186" spans="1:7">
      <c r="A1186">
        <v>99</v>
      </c>
      <c r="B1186" s="1">
        <v>46174</v>
      </c>
      <c r="C1186">
        <v>18</v>
      </c>
      <c r="D1186">
        <v>12</v>
      </c>
      <c r="E1186">
        <v>6</v>
      </c>
      <c r="F1186">
        <v>5</v>
      </c>
      <c r="G1186">
        <v>66.7</v>
      </c>
    </row>
    <row r="1187" spans="1:7">
      <c r="A1187">
        <v>99</v>
      </c>
      <c r="B1187" s="1">
        <v>46204</v>
      </c>
      <c r="C1187">
        <v>20</v>
      </c>
      <c r="D1187">
        <v>19</v>
      </c>
      <c r="E1187">
        <v>1</v>
      </c>
      <c r="F1187">
        <v>1</v>
      </c>
      <c r="G1187">
        <v>95</v>
      </c>
    </row>
    <row r="1188" spans="1:7">
      <c r="A1188">
        <v>99</v>
      </c>
      <c r="B1188" s="1">
        <v>46235</v>
      </c>
      <c r="C1188">
        <v>18</v>
      </c>
      <c r="D1188">
        <v>12</v>
      </c>
      <c r="E1188">
        <v>6</v>
      </c>
      <c r="F1188">
        <v>0</v>
      </c>
      <c r="G1188">
        <v>66.7</v>
      </c>
    </row>
    <row r="1189" spans="1:7">
      <c r="A1189">
        <v>99</v>
      </c>
      <c r="B1189" s="1">
        <v>46266</v>
      </c>
      <c r="C1189">
        <v>21</v>
      </c>
      <c r="D1189">
        <v>18</v>
      </c>
      <c r="E1189">
        <v>3</v>
      </c>
      <c r="F1189">
        <v>3</v>
      </c>
      <c r="G1189">
        <v>85.7</v>
      </c>
    </row>
    <row r="1190" spans="1:7">
      <c r="A1190">
        <v>100</v>
      </c>
      <c r="B1190" s="1">
        <v>45931</v>
      </c>
      <c r="C1190">
        <v>22</v>
      </c>
      <c r="D1190">
        <v>15</v>
      </c>
      <c r="E1190">
        <v>7</v>
      </c>
      <c r="F1190">
        <v>1</v>
      </c>
      <c r="G1190">
        <v>68.2</v>
      </c>
    </row>
    <row r="1191" spans="1:7">
      <c r="A1191">
        <v>100</v>
      </c>
      <c r="B1191" s="1">
        <v>45962</v>
      </c>
      <c r="C1191">
        <v>21</v>
      </c>
      <c r="D1191">
        <v>14</v>
      </c>
      <c r="E1191">
        <v>7</v>
      </c>
      <c r="F1191">
        <v>3</v>
      </c>
      <c r="G1191">
        <v>66.7</v>
      </c>
    </row>
    <row r="1192" spans="1:7">
      <c r="A1192">
        <v>100</v>
      </c>
      <c r="B1192" s="1">
        <v>45992</v>
      </c>
      <c r="C1192">
        <v>22</v>
      </c>
      <c r="D1192">
        <v>11</v>
      </c>
      <c r="E1192">
        <v>11</v>
      </c>
      <c r="F1192">
        <v>1</v>
      </c>
      <c r="G1192">
        <v>50</v>
      </c>
    </row>
    <row r="1193" spans="1:7">
      <c r="A1193">
        <v>100</v>
      </c>
      <c r="B1193" s="1">
        <v>46023</v>
      </c>
      <c r="C1193">
        <v>18</v>
      </c>
      <c r="D1193">
        <v>11</v>
      </c>
      <c r="E1193">
        <v>7</v>
      </c>
      <c r="F1193">
        <v>2</v>
      </c>
      <c r="G1193">
        <v>61.1</v>
      </c>
    </row>
    <row r="1194" spans="1:7">
      <c r="A1194">
        <v>100</v>
      </c>
      <c r="B1194" s="1">
        <v>46054</v>
      </c>
      <c r="C1194">
        <v>19</v>
      </c>
      <c r="D1194">
        <v>13</v>
      </c>
      <c r="E1194">
        <v>6</v>
      </c>
      <c r="F1194">
        <v>3</v>
      </c>
      <c r="G1194">
        <v>68.400000000000006</v>
      </c>
    </row>
    <row r="1195" spans="1:7">
      <c r="A1195">
        <v>100</v>
      </c>
      <c r="B1195" s="1">
        <v>46082</v>
      </c>
      <c r="C1195">
        <v>18</v>
      </c>
      <c r="D1195">
        <v>10</v>
      </c>
      <c r="E1195">
        <v>8</v>
      </c>
      <c r="F1195">
        <v>1</v>
      </c>
      <c r="G1195">
        <v>55.6</v>
      </c>
    </row>
    <row r="1196" spans="1:7">
      <c r="A1196">
        <v>100</v>
      </c>
      <c r="B1196" s="1">
        <v>46113</v>
      </c>
      <c r="C1196">
        <v>21</v>
      </c>
      <c r="D1196">
        <v>14</v>
      </c>
      <c r="E1196">
        <v>7</v>
      </c>
      <c r="F1196">
        <v>5</v>
      </c>
      <c r="G1196">
        <v>66.7</v>
      </c>
    </row>
    <row r="1197" spans="1:7">
      <c r="A1197">
        <v>100</v>
      </c>
      <c r="B1197" s="1">
        <v>46143</v>
      </c>
      <c r="C1197">
        <v>22</v>
      </c>
      <c r="D1197">
        <v>16</v>
      </c>
      <c r="E1197">
        <v>6</v>
      </c>
      <c r="F1197">
        <v>4</v>
      </c>
      <c r="G1197">
        <v>72.7</v>
      </c>
    </row>
    <row r="1198" spans="1:7">
      <c r="A1198">
        <v>100</v>
      </c>
      <c r="B1198" s="1">
        <v>46174</v>
      </c>
      <c r="C1198">
        <v>20</v>
      </c>
      <c r="D1198">
        <v>12</v>
      </c>
      <c r="E1198">
        <v>8</v>
      </c>
      <c r="F1198">
        <v>3</v>
      </c>
      <c r="G1198">
        <v>60</v>
      </c>
    </row>
    <row r="1199" spans="1:7">
      <c r="A1199">
        <v>100</v>
      </c>
      <c r="B1199" s="1">
        <v>46204</v>
      </c>
      <c r="C1199">
        <v>20</v>
      </c>
      <c r="D1199">
        <v>16</v>
      </c>
      <c r="E1199">
        <v>4</v>
      </c>
      <c r="F1199">
        <v>3</v>
      </c>
      <c r="G1199">
        <v>80</v>
      </c>
    </row>
    <row r="1200" spans="1:7">
      <c r="A1200">
        <v>100</v>
      </c>
      <c r="B1200" s="1">
        <v>46235</v>
      </c>
      <c r="C1200">
        <v>22</v>
      </c>
      <c r="D1200">
        <v>10</v>
      </c>
      <c r="E1200">
        <v>12</v>
      </c>
      <c r="F1200">
        <v>4</v>
      </c>
      <c r="G1200">
        <v>45.5</v>
      </c>
    </row>
    <row r="1201" spans="1:7">
      <c r="A1201">
        <v>100</v>
      </c>
      <c r="B1201" s="1">
        <v>46266</v>
      </c>
      <c r="C1201">
        <v>20</v>
      </c>
      <c r="D1201">
        <v>14</v>
      </c>
      <c r="E1201">
        <v>6</v>
      </c>
      <c r="F1201">
        <v>1</v>
      </c>
      <c r="G1201">
        <v>70</v>
      </c>
    </row>
    <row r="1202" spans="1:7">
      <c r="A1202">
        <v>101</v>
      </c>
      <c r="B1202" s="1">
        <v>45931</v>
      </c>
      <c r="C1202">
        <v>21</v>
      </c>
      <c r="D1202">
        <v>17</v>
      </c>
      <c r="E1202">
        <v>4</v>
      </c>
      <c r="F1202">
        <v>3</v>
      </c>
      <c r="G1202">
        <v>81</v>
      </c>
    </row>
    <row r="1203" spans="1:7">
      <c r="A1203">
        <v>101</v>
      </c>
      <c r="B1203" s="1">
        <v>45962</v>
      </c>
      <c r="C1203">
        <v>19</v>
      </c>
      <c r="D1203">
        <v>15</v>
      </c>
      <c r="E1203">
        <v>4</v>
      </c>
      <c r="F1203">
        <v>5</v>
      </c>
      <c r="G1203">
        <v>78.900000000000006</v>
      </c>
    </row>
    <row r="1204" spans="1:7">
      <c r="A1204">
        <v>101</v>
      </c>
      <c r="B1204" s="1">
        <v>45992</v>
      </c>
      <c r="C1204">
        <v>19</v>
      </c>
      <c r="D1204">
        <v>13</v>
      </c>
      <c r="E1204">
        <v>6</v>
      </c>
      <c r="F1204">
        <v>6</v>
      </c>
      <c r="G1204">
        <v>68.400000000000006</v>
      </c>
    </row>
    <row r="1205" spans="1:7">
      <c r="A1205">
        <v>101</v>
      </c>
      <c r="B1205" s="1">
        <v>46023</v>
      </c>
      <c r="C1205">
        <v>18</v>
      </c>
      <c r="D1205">
        <v>15</v>
      </c>
      <c r="E1205">
        <v>3</v>
      </c>
      <c r="F1205">
        <v>3</v>
      </c>
      <c r="G1205">
        <v>83.3</v>
      </c>
    </row>
    <row r="1206" spans="1:7">
      <c r="A1206">
        <v>101</v>
      </c>
      <c r="B1206" s="1">
        <v>46054</v>
      </c>
      <c r="C1206">
        <v>18</v>
      </c>
      <c r="D1206">
        <v>13</v>
      </c>
      <c r="E1206">
        <v>5</v>
      </c>
      <c r="F1206">
        <v>5</v>
      </c>
      <c r="G1206">
        <v>72.2</v>
      </c>
    </row>
    <row r="1207" spans="1:7">
      <c r="A1207">
        <v>101</v>
      </c>
      <c r="B1207" s="1">
        <v>46082</v>
      </c>
      <c r="C1207">
        <v>20</v>
      </c>
      <c r="D1207">
        <v>18</v>
      </c>
      <c r="E1207">
        <v>2</v>
      </c>
      <c r="F1207">
        <v>1</v>
      </c>
      <c r="G1207">
        <v>90</v>
      </c>
    </row>
    <row r="1208" spans="1:7">
      <c r="A1208">
        <v>101</v>
      </c>
      <c r="B1208" s="1">
        <v>46113</v>
      </c>
      <c r="C1208">
        <v>20</v>
      </c>
      <c r="D1208">
        <v>18</v>
      </c>
      <c r="E1208">
        <v>2</v>
      </c>
      <c r="F1208">
        <v>0</v>
      </c>
      <c r="G1208">
        <v>90</v>
      </c>
    </row>
    <row r="1209" spans="1:7">
      <c r="A1209">
        <v>101</v>
      </c>
      <c r="B1209" s="1">
        <v>46143</v>
      </c>
      <c r="C1209">
        <v>22</v>
      </c>
      <c r="D1209">
        <v>20</v>
      </c>
      <c r="E1209">
        <v>2</v>
      </c>
      <c r="F1209">
        <v>3</v>
      </c>
      <c r="G1209">
        <v>90.9</v>
      </c>
    </row>
    <row r="1210" spans="1:7">
      <c r="A1210">
        <v>101</v>
      </c>
      <c r="B1210" s="1">
        <v>46174</v>
      </c>
      <c r="C1210">
        <v>21</v>
      </c>
      <c r="D1210">
        <v>17</v>
      </c>
      <c r="E1210">
        <v>4</v>
      </c>
      <c r="F1210">
        <v>3</v>
      </c>
      <c r="G1210">
        <v>81</v>
      </c>
    </row>
    <row r="1211" spans="1:7">
      <c r="A1211">
        <v>101</v>
      </c>
      <c r="B1211" s="1">
        <v>46204</v>
      </c>
      <c r="C1211">
        <v>22</v>
      </c>
      <c r="D1211">
        <v>16</v>
      </c>
      <c r="E1211">
        <v>6</v>
      </c>
      <c r="F1211">
        <v>2</v>
      </c>
      <c r="G1211">
        <v>72.7</v>
      </c>
    </row>
    <row r="1212" spans="1:7">
      <c r="A1212">
        <v>101</v>
      </c>
      <c r="B1212" s="1">
        <v>46235</v>
      </c>
      <c r="C1212">
        <v>22</v>
      </c>
      <c r="D1212">
        <v>21</v>
      </c>
      <c r="E1212">
        <v>1</v>
      </c>
      <c r="F1212">
        <v>4</v>
      </c>
      <c r="G1212">
        <v>95.5</v>
      </c>
    </row>
    <row r="1213" spans="1:7">
      <c r="A1213">
        <v>101</v>
      </c>
      <c r="B1213" s="1">
        <v>46266</v>
      </c>
      <c r="C1213">
        <v>18</v>
      </c>
      <c r="D1213">
        <v>12</v>
      </c>
      <c r="E1213">
        <v>6</v>
      </c>
      <c r="F1213">
        <v>6</v>
      </c>
      <c r="G1213">
        <v>66.7</v>
      </c>
    </row>
    <row r="1214" spans="1:7">
      <c r="A1214">
        <v>102</v>
      </c>
      <c r="B1214" s="1">
        <v>45931</v>
      </c>
      <c r="C1214">
        <v>18</v>
      </c>
      <c r="D1214">
        <v>10</v>
      </c>
      <c r="E1214">
        <v>8</v>
      </c>
      <c r="F1214">
        <v>0</v>
      </c>
      <c r="G1214">
        <v>55.6</v>
      </c>
    </row>
    <row r="1215" spans="1:7">
      <c r="A1215">
        <v>102</v>
      </c>
      <c r="B1215" s="1">
        <v>45962</v>
      </c>
      <c r="C1215">
        <v>21</v>
      </c>
      <c r="D1215">
        <v>15</v>
      </c>
      <c r="E1215">
        <v>6</v>
      </c>
      <c r="F1215">
        <v>3</v>
      </c>
      <c r="G1215">
        <v>71.400000000000006</v>
      </c>
    </row>
    <row r="1216" spans="1:7">
      <c r="A1216">
        <v>102</v>
      </c>
      <c r="B1216" s="1">
        <v>45992</v>
      </c>
      <c r="C1216">
        <v>20</v>
      </c>
      <c r="D1216">
        <v>12</v>
      </c>
      <c r="E1216">
        <v>8</v>
      </c>
      <c r="F1216">
        <v>0</v>
      </c>
      <c r="G1216">
        <v>60</v>
      </c>
    </row>
    <row r="1217" spans="1:7">
      <c r="A1217">
        <v>102</v>
      </c>
      <c r="B1217" s="1">
        <v>46023</v>
      </c>
      <c r="C1217">
        <v>18</v>
      </c>
      <c r="D1217">
        <v>13</v>
      </c>
      <c r="E1217">
        <v>5</v>
      </c>
      <c r="F1217">
        <v>1</v>
      </c>
      <c r="G1217">
        <v>72.2</v>
      </c>
    </row>
    <row r="1218" spans="1:7">
      <c r="A1218">
        <v>102</v>
      </c>
      <c r="B1218" s="1">
        <v>46054</v>
      </c>
      <c r="C1218">
        <v>22</v>
      </c>
      <c r="D1218">
        <v>18</v>
      </c>
      <c r="E1218">
        <v>4</v>
      </c>
      <c r="F1218">
        <v>5</v>
      </c>
      <c r="G1218">
        <v>81.8</v>
      </c>
    </row>
    <row r="1219" spans="1:7">
      <c r="A1219">
        <v>102</v>
      </c>
      <c r="B1219" s="1">
        <v>46082</v>
      </c>
      <c r="C1219">
        <v>19</v>
      </c>
      <c r="D1219">
        <v>16</v>
      </c>
      <c r="E1219">
        <v>3</v>
      </c>
      <c r="F1219">
        <v>3</v>
      </c>
      <c r="G1219">
        <v>84.2</v>
      </c>
    </row>
    <row r="1220" spans="1:7">
      <c r="A1220">
        <v>102</v>
      </c>
      <c r="B1220" s="1">
        <v>46113</v>
      </c>
      <c r="C1220">
        <v>21</v>
      </c>
      <c r="D1220">
        <v>13</v>
      </c>
      <c r="E1220">
        <v>8</v>
      </c>
      <c r="F1220">
        <v>3</v>
      </c>
      <c r="G1220">
        <v>61.9</v>
      </c>
    </row>
    <row r="1221" spans="1:7">
      <c r="A1221">
        <v>102</v>
      </c>
      <c r="B1221" s="1">
        <v>46143</v>
      </c>
      <c r="C1221">
        <v>18</v>
      </c>
      <c r="D1221">
        <v>10</v>
      </c>
      <c r="E1221">
        <v>8</v>
      </c>
      <c r="F1221">
        <v>4</v>
      </c>
      <c r="G1221">
        <v>55.6</v>
      </c>
    </row>
    <row r="1222" spans="1:7">
      <c r="A1222">
        <v>102</v>
      </c>
      <c r="B1222" s="1">
        <v>46174</v>
      </c>
      <c r="C1222">
        <v>21</v>
      </c>
      <c r="D1222">
        <v>16</v>
      </c>
      <c r="E1222">
        <v>5</v>
      </c>
      <c r="F1222">
        <v>4</v>
      </c>
      <c r="G1222">
        <v>76.2</v>
      </c>
    </row>
    <row r="1223" spans="1:7">
      <c r="A1223">
        <v>102</v>
      </c>
      <c r="B1223" s="1">
        <v>46204</v>
      </c>
      <c r="C1223">
        <v>21</v>
      </c>
      <c r="D1223">
        <v>17</v>
      </c>
      <c r="E1223">
        <v>4</v>
      </c>
      <c r="F1223">
        <v>3</v>
      </c>
      <c r="G1223">
        <v>81</v>
      </c>
    </row>
    <row r="1224" spans="1:7">
      <c r="A1224">
        <v>102</v>
      </c>
      <c r="B1224" s="1">
        <v>46235</v>
      </c>
      <c r="C1224">
        <v>22</v>
      </c>
      <c r="D1224">
        <v>14</v>
      </c>
      <c r="E1224">
        <v>8</v>
      </c>
      <c r="F1224">
        <v>3</v>
      </c>
      <c r="G1224">
        <v>63.6</v>
      </c>
    </row>
    <row r="1225" spans="1:7">
      <c r="A1225">
        <v>102</v>
      </c>
      <c r="B1225" s="1">
        <v>46266</v>
      </c>
      <c r="C1225">
        <v>20</v>
      </c>
      <c r="D1225">
        <v>16</v>
      </c>
      <c r="E1225">
        <v>4</v>
      </c>
      <c r="F1225">
        <v>3</v>
      </c>
      <c r="G1225">
        <v>80</v>
      </c>
    </row>
    <row r="1226" spans="1:7">
      <c r="A1226">
        <v>103</v>
      </c>
      <c r="B1226" s="1">
        <v>45931</v>
      </c>
      <c r="C1226">
        <v>22</v>
      </c>
      <c r="D1226">
        <v>12</v>
      </c>
      <c r="E1226">
        <v>10</v>
      </c>
      <c r="F1226">
        <v>2</v>
      </c>
      <c r="G1226">
        <v>54.5</v>
      </c>
    </row>
    <row r="1227" spans="1:7">
      <c r="A1227">
        <v>103</v>
      </c>
      <c r="B1227" s="1">
        <v>45962</v>
      </c>
      <c r="C1227">
        <v>20</v>
      </c>
      <c r="D1227">
        <v>13</v>
      </c>
      <c r="E1227">
        <v>7</v>
      </c>
      <c r="F1227">
        <v>2</v>
      </c>
      <c r="G1227">
        <v>65</v>
      </c>
    </row>
    <row r="1228" spans="1:7">
      <c r="A1228">
        <v>103</v>
      </c>
      <c r="B1228" s="1">
        <v>45992</v>
      </c>
      <c r="C1228">
        <v>18</v>
      </c>
      <c r="D1228">
        <v>10</v>
      </c>
      <c r="E1228">
        <v>8</v>
      </c>
      <c r="F1228">
        <v>6</v>
      </c>
      <c r="G1228">
        <v>55.6</v>
      </c>
    </row>
    <row r="1229" spans="1:7">
      <c r="A1229">
        <v>103</v>
      </c>
      <c r="B1229" s="1">
        <v>46023</v>
      </c>
      <c r="C1229">
        <v>20</v>
      </c>
      <c r="D1229">
        <v>13</v>
      </c>
      <c r="E1229">
        <v>7</v>
      </c>
      <c r="F1229">
        <v>2</v>
      </c>
      <c r="G1229">
        <v>65</v>
      </c>
    </row>
    <row r="1230" spans="1:7">
      <c r="A1230">
        <v>103</v>
      </c>
      <c r="B1230" s="1">
        <v>46054</v>
      </c>
      <c r="C1230">
        <v>22</v>
      </c>
      <c r="D1230">
        <v>11</v>
      </c>
      <c r="E1230">
        <v>11</v>
      </c>
      <c r="F1230">
        <v>2</v>
      </c>
      <c r="G1230">
        <v>50</v>
      </c>
    </row>
    <row r="1231" spans="1:7">
      <c r="A1231">
        <v>103</v>
      </c>
      <c r="B1231" s="1">
        <v>46082</v>
      </c>
      <c r="C1231">
        <v>21</v>
      </c>
      <c r="D1231">
        <v>13</v>
      </c>
      <c r="E1231">
        <v>8</v>
      </c>
      <c r="F1231">
        <v>0</v>
      </c>
      <c r="G1231">
        <v>61.9</v>
      </c>
    </row>
    <row r="1232" spans="1:7">
      <c r="A1232">
        <v>103</v>
      </c>
      <c r="B1232" s="1">
        <v>46113</v>
      </c>
      <c r="C1232">
        <v>21</v>
      </c>
      <c r="D1232">
        <v>15</v>
      </c>
      <c r="E1232">
        <v>6</v>
      </c>
      <c r="F1232">
        <v>2</v>
      </c>
      <c r="G1232">
        <v>71.400000000000006</v>
      </c>
    </row>
    <row r="1233" spans="1:7">
      <c r="A1233">
        <v>103</v>
      </c>
      <c r="B1233" s="1">
        <v>46143</v>
      </c>
      <c r="C1233">
        <v>18</v>
      </c>
      <c r="D1233">
        <v>10</v>
      </c>
      <c r="E1233">
        <v>8</v>
      </c>
      <c r="F1233">
        <v>5</v>
      </c>
      <c r="G1233">
        <v>55.6</v>
      </c>
    </row>
    <row r="1234" spans="1:7">
      <c r="A1234">
        <v>103</v>
      </c>
      <c r="B1234" s="1">
        <v>46174</v>
      </c>
      <c r="C1234">
        <v>19</v>
      </c>
      <c r="D1234">
        <v>12</v>
      </c>
      <c r="E1234">
        <v>7</v>
      </c>
      <c r="F1234">
        <v>4</v>
      </c>
      <c r="G1234">
        <v>63.2</v>
      </c>
    </row>
    <row r="1235" spans="1:7">
      <c r="A1235">
        <v>103</v>
      </c>
      <c r="B1235" s="1">
        <v>46204</v>
      </c>
      <c r="C1235">
        <v>18</v>
      </c>
      <c r="D1235">
        <v>10</v>
      </c>
      <c r="E1235">
        <v>8</v>
      </c>
      <c r="F1235">
        <v>5</v>
      </c>
      <c r="G1235">
        <v>55.6</v>
      </c>
    </row>
    <row r="1236" spans="1:7">
      <c r="A1236">
        <v>103</v>
      </c>
      <c r="B1236" s="1">
        <v>46235</v>
      </c>
      <c r="C1236">
        <v>18</v>
      </c>
      <c r="D1236">
        <v>10</v>
      </c>
      <c r="E1236">
        <v>8</v>
      </c>
      <c r="F1236">
        <v>1</v>
      </c>
      <c r="G1236">
        <v>55.6</v>
      </c>
    </row>
    <row r="1237" spans="1:7">
      <c r="A1237">
        <v>103</v>
      </c>
      <c r="B1237" s="1">
        <v>46266</v>
      </c>
      <c r="C1237">
        <v>18</v>
      </c>
      <c r="D1237">
        <v>12</v>
      </c>
      <c r="E1237">
        <v>6</v>
      </c>
      <c r="F1237">
        <v>4</v>
      </c>
      <c r="G1237">
        <v>66.7</v>
      </c>
    </row>
    <row r="1238" spans="1:7">
      <c r="A1238">
        <v>104</v>
      </c>
      <c r="B1238" s="1">
        <v>45931</v>
      </c>
      <c r="C1238">
        <v>20</v>
      </c>
      <c r="D1238">
        <v>10</v>
      </c>
      <c r="E1238">
        <v>10</v>
      </c>
      <c r="F1238">
        <v>3</v>
      </c>
      <c r="G1238">
        <v>50</v>
      </c>
    </row>
    <row r="1239" spans="1:7">
      <c r="A1239">
        <v>104</v>
      </c>
      <c r="B1239" s="1">
        <v>45962</v>
      </c>
      <c r="C1239">
        <v>22</v>
      </c>
      <c r="D1239">
        <v>12</v>
      </c>
      <c r="E1239">
        <v>10</v>
      </c>
      <c r="F1239">
        <v>4</v>
      </c>
      <c r="G1239">
        <v>54.5</v>
      </c>
    </row>
    <row r="1240" spans="1:7">
      <c r="A1240">
        <v>104</v>
      </c>
      <c r="B1240" s="1">
        <v>45992</v>
      </c>
      <c r="C1240">
        <v>21</v>
      </c>
      <c r="D1240">
        <v>12</v>
      </c>
      <c r="E1240">
        <v>9</v>
      </c>
      <c r="F1240">
        <v>4</v>
      </c>
      <c r="G1240">
        <v>57.1</v>
      </c>
    </row>
    <row r="1241" spans="1:7">
      <c r="A1241">
        <v>104</v>
      </c>
      <c r="B1241" s="1">
        <v>46023</v>
      </c>
      <c r="C1241">
        <v>18</v>
      </c>
      <c r="D1241">
        <v>10</v>
      </c>
      <c r="E1241">
        <v>8</v>
      </c>
      <c r="F1241">
        <v>2</v>
      </c>
      <c r="G1241">
        <v>55.6</v>
      </c>
    </row>
    <row r="1242" spans="1:7">
      <c r="A1242">
        <v>104</v>
      </c>
      <c r="B1242" s="1">
        <v>46054</v>
      </c>
      <c r="C1242">
        <v>21</v>
      </c>
      <c r="D1242">
        <v>13</v>
      </c>
      <c r="E1242">
        <v>8</v>
      </c>
      <c r="F1242">
        <v>0</v>
      </c>
      <c r="G1242">
        <v>61.9</v>
      </c>
    </row>
    <row r="1243" spans="1:7">
      <c r="A1243">
        <v>104</v>
      </c>
      <c r="B1243" s="1">
        <v>46082</v>
      </c>
      <c r="C1243">
        <v>21</v>
      </c>
      <c r="D1243">
        <v>13</v>
      </c>
      <c r="E1243">
        <v>8</v>
      </c>
      <c r="F1243">
        <v>0</v>
      </c>
      <c r="G1243">
        <v>61.9</v>
      </c>
    </row>
    <row r="1244" spans="1:7">
      <c r="A1244">
        <v>104</v>
      </c>
      <c r="B1244" s="1">
        <v>46113</v>
      </c>
      <c r="C1244">
        <v>19</v>
      </c>
      <c r="D1244">
        <v>11</v>
      </c>
      <c r="E1244">
        <v>8</v>
      </c>
      <c r="F1244">
        <v>6</v>
      </c>
      <c r="G1244">
        <v>57.9</v>
      </c>
    </row>
    <row r="1245" spans="1:7">
      <c r="A1245">
        <v>104</v>
      </c>
      <c r="B1245" s="1">
        <v>46143</v>
      </c>
      <c r="C1245">
        <v>20</v>
      </c>
      <c r="D1245">
        <v>10</v>
      </c>
      <c r="E1245">
        <v>10</v>
      </c>
      <c r="F1245">
        <v>1</v>
      </c>
      <c r="G1245">
        <v>50</v>
      </c>
    </row>
    <row r="1246" spans="1:7">
      <c r="A1246">
        <v>104</v>
      </c>
      <c r="B1246" s="1">
        <v>46174</v>
      </c>
      <c r="C1246">
        <v>22</v>
      </c>
      <c r="D1246">
        <v>15</v>
      </c>
      <c r="E1246">
        <v>7</v>
      </c>
      <c r="F1246">
        <v>1</v>
      </c>
      <c r="G1246">
        <v>68.2</v>
      </c>
    </row>
    <row r="1247" spans="1:7">
      <c r="A1247">
        <v>104</v>
      </c>
      <c r="B1247" s="1">
        <v>46204</v>
      </c>
      <c r="C1247">
        <v>21</v>
      </c>
      <c r="D1247">
        <v>10</v>
      </c>
      <c r="E1247">
        <v>11</v>
      </c>
      <c r="F1247">
        <v>5</v>
      </c>
      <c r="G1247">
        <v>47.6</v>
      </c>
    </row>
    <row r="1248" spans="1:7">
      <c r="A1248">
        <v>104</v>
      </c>
      <c r="B1248" s="1">
        <v>46235</v>
      </c>
      <c r="C1248">
        <v>18</v>
      </c>
      <c r="D1248">
        <v>10</v>
      </c>
      <c r="E1248">
        <v>8</v>
      </c>
      <c r="F1248">
        <v>2</v>
      </c>
      <c r="G1248">
        <v>55.6</v>
      </c>
    </row>
    <row r="1249" spans="1:7">
      <c r="A1249">
        <v>104</v>
      </c>
      <c r="B1249" s="1">
        <v>46266</v>
      </c>
      <c r="C1249">
        <v>20</v>
      </c>
      <c r="D1249">
        <v>13</v>
      </c>
      <c r="E1249">
        <v>7</v>
      </c>
      <c r="F1249">
        <v>0</v>
      </c>
      <c r="G1249">
        <v>65</v>
      </c>
    </row>
    <row r="1250" spans="1:7">
      <c r="A1250">
        <v>105</v>
      </c>
      <c r="B1250" s="1">
        <v>45931</v>
      </c>
      <c r="C1250">
        <v>20</v>
      </c>
      <c r="D1250">
        <v>17</v>
      </c>
      <c r="E1250">
        <v>3</v>
      </c>
      <c r="F1250">
        <v>1</v>
      </c>
      <c r="G1250">
        <v>85</v>
      </c>
    </row>
    <row r="1251" spans="1:7">
      <c r="A1251">
        <v>105</v>
      </c>
      <c r="B1251" s="1">
        <v>45962</v>
      </c>
      <c r="C1251">
        <v>22</v>
      </c>
      <c r="D1251">
        <v>21</v>
      </c>
      <c r="E1251">
        <v>1</v>
      </c>
      <c r="F1251">
        <v>0</v>
      </c>
      <c r="G1251">
        <v>95.5</v>
      </c>
    </row>
    <row r="1252" spans="1:7">
      <c r="A1252">
        <v>105</v>
      </c>
      <c r="B1252" s="1">
        <v>45992</v>
      </c>
      <c r="C1252">
        <v>22</v>
      </c>
      <c r="D1252">
        <v>19</v>
      </c>
      <c r="E1252">
        <v>3</v>
      </c>
      <c r="F1252">
        <v>0</v>
      </c>
      <c r="G1252">
        <v>86.4</v>
      </c>
    </row>
    <row r="1253" spans="1:7">
      <c r="A1253">
        <v>105</v>
      </c>
      <c r="B1253" s="1">
        <v>46023</v>
      </c>
      <c r="C1253">
        <v>22</v>
      </c>
      <c r="D1253">
        <v>20</v>
      </c>
      <c r="E1253">
        <v>2</v>
      </c>
      <c r="F1253">
        <v>4</v>
      </c>
      <c r="G1253">
        <v>90.9</v>
      </c>
    </row>
    <row r="1254" spans="1:7">
      <c r="A1254">
        <v>105</v>
      </c>
      <c r="B1254" s="1">
        <v>46054</v>
      </c>
      <c r="C1254">
        <v>21</v>
      </c>
      <c r="D1254">
        <v>21</v>
      </c>
      <c r="E1254">
        <v>0</v>
      </c>
      <c r="F1254">
        <v>0</v>
      </c>
      <c r="G1254">
        <v>100</v>
      </c>
    </row>
    <row r="1255" spans="1:7">
      <c r="A1255">
        <v>105</v>
      </c>
      <c r="B1255" s="1">
        <v>46082</v>
      </c>
      <c r="C1255">
        <v>20</v>
      </c>
      <c r="D1255">
        <v>18</v>
      </c>
      <c r="E1255">
        <v>2</v>
      </c>
      <c r="F1255">
        <v>4</v>
      </c>
      <c r="G1255">
        <v>90</v>
      </c>
    </row>
    <row r="1256" spans="1:7">
      <c r="A1256">
        <v>105</v>
      </c>
      <c r="B1256" s="1">
        <v>46113</v>
      </c>
      <c r="C1256">
        <v>20</v>
      </c>
      <c r="D1256">
        <v>20</v>
      </c>
      <c r="E1256">
        <v>0</v>
      </c>
      <c r="F1256">
        <v>1</v>
      </c>
      <c r="G1256">
        <v>100</v>
      </c>
    </row>
    <row r="1257" spans="1:7">
      <c r="A1257">
        <v>105</v>
      </c>
      <c r="B1257" s="1">
        <v>46143</v>
      </c>
      <c r="C1257">
        <v>21</v>
      </c>
      <c r="D1257">
        <v>19</v>
      </c>
      <c r="E1257">
        <v>2</v>
      </c>
      <c r="F1257">
        <v>3</v>
      </c>
      <c r="G1257">
        <v>90.5</v>
      </c>
    </row>
    <row r="1258" spans="1:7">
      <c r="A1258">
        <v>105</v>
      </c>
      <c r="B1258" s="1">
        <v>46174</v>
      </c>
      <c r="C1258">
        <v>20</v>
      </c>
      <c r="D1258">
        <v>20</v>
      </c>
      <c r="E1258">
        <v>0</v>
      </c>
      <c r="F1258">
        <v>1</v>
      </c>
      <c r="G1258">
        <v>100</v>
      </c>
    </row>
    <row r="1259" spans="1:7">
      <c r="A1259">
        <v>105</v>
      </c>
      <c r="B1259" s="1">
        <v>46204</v>
      </c>
      <c r="C1259">
        <v>18</v>
      </c>
      <c r="D1259">
        <v>18</v>
      </c>
      <c r="E1259">
        <v>0</v>
      </c>
      <c r="F1259">
        <v>1</v>
      </c>
      <c r="G1259">
        <v>100</v>
      </c>
    </row>
    <row r="1260" spans="1:7">
      <c r="A1260">
        <v>105</v>
      </c>
      <c r="B1260" s="1">
        <v>46235</v>
      </c>
      <c r="C1260">
        <v>22</v>
      </c>
      <c r="D1260">
        <v>22</v>
      </c>
      <c r="E1260">
        <v>0</v>
      </c>
      <c r="F1260">
        <v>3</v>
      </c>
      <c r="G1260">
        <v>100</v>
      </c>
    </row>
    <row r="1261" spans="1:7">
      <c r="A1261">
        <v>105</v>
      </c>
      <c r="B1261" s="1">
        <v>46266</v>
      </c>
      <c r="C1261">
        <v>20</v>
      </c>
      <c r="D1261">
        <v>19</v>
      </c>
      <c r="E1261">
        <v>1</v>
      </c>
      <c r="F1261">
        <v>4</v>
      </c>
      <c r="G1261">
        <v>95</v>
      </c>
    </row>
    <row r="1262" spans="1:7">
      <c r="A1262">
        <v>106</v>
      </c>
      <c r="B1262" s="1">
        <v>45931</v>
      </c>
      <c r="C1262">
        <v>22</v>
      </c>
      <c r="D1262">
        <v>15</v>
      </c>
      <c r="E1262">
        <v>7</v>
      </c>
      <c r="F1262">
        <v>4</v>
      </c>
      <c r="G1262">
        <v>68.2</v>
      </c>
    </row>
    <row r="1263" spans="1:7">
      <c r="A1263">
        <v>106</v>
      </c>
      <c r="B1263" s="1">
        <v>45962</v>
      </c>
      <c r="C1263">
        <v>18</v>
      </c>
      <c r="D1263">
        <v>18</v>
      </c>
      <c r="E1263">
        <v>0</v>
      </c>
      <c r="F1263">
        <v>1</v>
      </c>
      <c r="G1263">
        <v>100</v>
      </c>
    </row>
    <row r="1264" spans="1:7">
      <c r="A1264">
        <v>106</v>
      </c>
      <c r="B1264" s="1">
        <v>45992</v>
      </c>
      <c r="C1264">
        <v>20</v>
      </c>
      <c r="D1264">
        <v>18</v>
      </c>
      <c r="E1264">
        <v>2</v>
      </c>
      <c r="F1264">
        <v>5</v>
      </c>
      <c r="G1264">
        <v>90</v>
      </c>
    </row>
    <row r="1265" spans="1:7">
      <c r="A1265">
        <v>106</v>
      </c>
      <c r="B1265" s="1">
        <v>46023</v>
      </c>
      <c r="C1265">
        <v>20</v>
      </c>
      <c r="D1265">
        <v>16</v>
      </c>
      <c r="E1265">
        <v>4</v>
      </c>
      <c r="F1265">
        <v>6</v>
      </c>
      <c r="G1265">
        <v>80</v>
      </c>
    </row>
    <row r="1266" spans="1:7">
      <c r="A1266">
        <v>106</v>
      </c>
      <c r="B1266" s="1">
        <v>46054</v>
      </c>
      <c r="C1266">
        <v>21</v>
      </c>
      <c r="D1266">
        <v>20</v>
      </c>
      <c r="E1266">
        <v>1</v>
      </c>
      <c r="F1266">
        <v>0</v>
      </c>
      <c r="G1266">
        <v>95.2</v>
      </c>
    </row>
    <row r="1267" spans="1:7">
      <c r="A1267">
        <v>106</v>
      </c>
      <c r="B1267" s="1">
        <v>46082</v>
      </c>
      <c r="C1267">
        <v>19</v>
      </c>
      <c r="D1267">
        <v>13</v>
      </c>
      <c r="E1267">
        <v>6</v>
      </c>
      <c r="F1267">
        <v>6</v>
      </c>
      <c r="G1267">
        <v>68.400000000000006</v>
      </c>
    </row>
    <row r="1268" spans="1:7">
      <c r="A1268">
        <v>106</v>
      </c>
      <c r="B1268" s="1">
        <v>46113</v>
      </c>
      <c r="C1268">
        <v>21</v>
      </c>
      <c r="D1268">
        <v>17</v>
      </c>
      <c r="E1268">
        <v>4</v>
      </c>
      <c r="F1268">
        <v>1</v>
      </c>
      <c r="G1268">
        <v>81</v>
      </c>
    </row>
    <row r="1269" spans="1:7">
      <c r="A1269">
        <v>106</v>
      </c>
      <c r="B1269" s="1">
        <v>46143</v>
      </c>
      <c r="C1269">
        <v>20</v>
      </c>
      <c r="D1269">
        <v>14</v>
      </c>
      <c r="E1269">
        <v>6</v>
      </c>
      <c r="F1269">
        <v>5</v>
      </c>
      <c r="G1269">
        <v>70</v>
      </c>
    </row>
    <row r="1270" spans="1:7">
      <c r="A1270">
        <v>106</v>
      </c>
      <c r="B1270" s="1">
        <v>46174</v>
      </c>
      <c r="C1270">
        <v>22</v>
      </c>
      <c r="D1270">
        <v>18</v>
      </c>
      <c r="E1270">
        <v>4</v>
      </c>
      <c r="F1270">
        <v>1</v>
      </c>
      <c r="G1270">
        <v>81.8</v>
      </c>
    </row>
    <row r="1271" spans="1:7">
      <c r="A1271">
        <v>106</v>
      </c>
      <c r="B1271" s="1">
        <v>46204</v>
      </c>
      <c r="C1271">
        <v>19</v>
      </c>
      <c r="D1271">
        <v>14</v>
      </c>
      <c r="E1271">
        <v>5</v>
      </c>
      <c r="F1271">
        <v>0</v>
      </c>
      <c r="G1271">
        <v>73.7</v>
      </c>
    </row>
    <row r="1272" spans="1:7">
      <c r="A1272">
        <v>106</v>
      </c>
      <c r="B1272" s="1">
        <v>46235</v>
      </c>
      <c r="C1272">
        <v>19</v>
      </c>
      <c r="D1272">
        <v>15</v>
      </c>
      <c r="E1272">
        <v>4</v>
      </c>
      <c r="F1272">
        <v>3</v>
      </c>
      <c r="G1272">
        <v>78.900000000000006</v>
      </c>
    </row>
    <row r="1273" spans="1:7">
      <c r="A1273">
        <v>106</v>
      </c>
      <c r="B1273" s="1">
        <v>46266</v>
      </c>
      <c r="C1273">
        <v>22</v>
      </c>
      <c r="D1273">
        <v>20</v>
      </c>
      <c r="E1273">
        <v>2</v>
      </c>
      <c r="F1273">
        <v>3</v>
      </c>
      <c r="G1273">
        <v>90.9</v>
      </c>
    </row>
    <row r="1274" spans="1:7">
      <c r="A1274">
        <v>107</v>
      </c>
      <c r="B1274" s="1">
        <v>45931</v>
      </c>
      <c r="C1274">
        <v>21</v>
      </c>
      <c r="D1274">
        <v>14</v>
      </c>
      <c r="E1274">
        <v>7</v>
      </c>
      <c r="F1274">
        <v>1</v>
      </c>
      <c r="G1274">
        <v>66.7</v>
      </c>
    </row>
    <row r="1275" spans="1:7">
      <c r="A1275">
        <v>107</v>
      </c>
      <c r="B1275" s="1">
        <v>45962</v>
      </c>
      <c r="C1275">
        <v>20</v>
      </c>
      <c r="D1275">
        <v>13</v>
      </c>
      <c r="E1275">
        <v>7</v>
      </c>
      <c r="F1275">
        <v>1</v>
      </c>
      <c r="G1275">
        <v>65</v>
      </c>
    </row>
    <row r="1276" spans="1:7">
      <c r="A1276">
        <v>107</v>
      </c>
      <c r="B1276" s="1">
        <v>45992</v>
      </c>
      <c r="C1276">
        <v>18</v>
      </c>
      <c r="D1276">
        <v>11</v>
      </c>
      <c r="E1276">
        <v>7</v>
      </c>
      <c r="F1276">
        <v>5</v>
      </c>
      <c r="G1276">
        <v>61.1</v>
      </c>
    </row>
    <row r="1277" spans="1:7">
      <c r="A1277">
        <v>107</v>
      </c>
      <c r="B1277" s="1">
        <v>46023</v>
      </c>
      <c r="C1277">
        <v>22</v>
      </c>
      <c r="D1277">
        <v>11</v>
      </c>
      <c r="E1277">
        <v>11</v>
      </c>
      <c r="F1277">
        <v>1</v>
      </c>
      <c r="G1277">
        <v>50</v>
      </c>
    </row>
    <row r="1278" spans="1:7">
      <c r="A1278">
        <v>107</v>
      </c>
      <c r="B1278" s="1">
        <v>46054</v>
      </c>
      <c r="C1278">
        <v>18</v>
      </c>
      <c r="D1278">
        <v>10</v>
      </c>
      <c r="E1278">
        <v>8</v>
      </c>
      <c r="F1278">
        <v>0</v>
      </c>
      <c r="G1278">
        <v>55.6</v>
      </c>
    </row>
    <row r="1279" spans="1:7">
      <c r="A1279">
        <v>107</v>
      </c>
      <c r="B1279" s="1">
        <v>46082</v>
      </c>
      <c r="C1279">
        <v>18</v>
      </c>
      <c r="D1279">
        <v>11</v>
      </c>
      <c r="E1279">
        <v>7</v>
      </c>
      <c r="F1279">
        <v>6</v>
      </c>
      <c r="G1279">
        <v>61.1</v>
      </c>
    </row>
    <row r="1280" spans="1:7">
      <c r="A1280">
        <v>107</v>
      </c>
      <c r="B1280" s="1">
        <v>46113</v>
      </c>
      <c r="C1280">
        <v>18</v>
      </c>
      <c r="D1280">
        <v>12</v>
      </c>
      <c r="E1280">
        <v>6</v>
      </c>
      <c r="F1280">
        <v>0</v>
      </c>
      <c r="G1280">
        <v>66.7</v>
      </c>
    </row>
    <row r="1281" spans="1:7">
      <c r="A1281">
        <v>107</v>
      </c>
      <c r="B1281" s="1">
        <v>46143</v>
      </c>
      <c r="C1281">
        <v>21</v>
      </c>
      <c r="D1281">
        <v>12</v>
      </c>
      <c r="E1281">
        <v>9</v>
      </c>
      <c r="F1281">
        <v>2</v>
      </c>
      <c r="G1281">
        <v>57.1</v>
      </c>
    </row>
    <row r="1282" spans="1:7">
      <c r="A1282">
        <v>107</v>
      </c>
      <c r="B1282" s="1">
        <v>46174</v>
      </c>
      <c r="C1282">
        <v>18</v>
      </c>
      <c r="D1282">
        <v>14</v>
      </c>
      <c r="E1282">
        <v>4</v>
      </c>
      <c r="F1282">
        <v>6</v>
      </c>
      <c r="G1282">
        <v>77.8</v>
      </c>
    </row>
    <row r="1283" spans="1:7">
      <c r="A1283">
        <v>107</v>
      </c>
      <c r="B1283" s="1">
        <v>46204</v>
      </c>
      <c r="C1283">
        <v>19</v>
      </c>
      <c r="D1283">
        <v>10</v>
      </c>
      <c r="E1283">
        <v>9</v>
      </c>
      <c r="F1283">
        <v>1</v>
      </c>
      <c r="G1283">
        <v>52.6</v>
      </c>
    </row>
    <row r="1284" spans="1:7">
      <c r="A1284">
        <v>107</v>
      </c>
      <c r="B1284" s="1">
        <v>46235</v>
      </c>
      <c r="C1284">
        <v>18</v>
      </c>
      <c r="D1284">
        <v>13</v>
      </c>
      <c r="E1284">
        <v>5</v>
      </c>
      <c r="F1284">
        <v>0</v>
      </c>
      <c r="G1284">
        <v>72.2</v>
      </c>
    </row>
    <row r="1285" spans="1:7">
      <c r="A1285">
        <v>107</v>
      </c>
      <c r="B1285" s="1">
        <v>46266</v>
      </c>
      <c r="C1285">
        <v>22</v>
      </c>
      <c r="D1285">
        <v>16</v>
      </c>
      <c r="E1285">
        <v>6</v>
      </c>
      <c r="F1285">
        <v>5</v>
      </c>
      <c r="G1285">
        <v>72.7</v>
      </c>
    </row>
    <row r="1286" spans="1:7">
      <c r="A1286">
        <v>108</v>
      </c>
      <c r="B1286" s="1">
        <v>45931</v>
      </c>
      <c r="C1286">
        <v>22</v>
      </c>
      <c r="D1286">
        <v>10</v>
      </c>
      <c r="E1286">
        <v>12</v>
      </c>
      <c r="F1286">
        <v>2</v>
      </c>
      <c r="G1286">
        <v>45.5</v>
      </c>
    </row>
    <row r="1287" spans="1:7">
      <c r="A1287">
        <v>108</v>
      </c>
      <c r="B1287" s="1">
        <v>45962</v>
      </c>
      <c r="C1287">
        <v>21</v>
      </c>
      <c r="D1287">
        <v>15</v>
      </c>
      <c r="E1287">
        <v>6</v>
      </c>
      <c r="F1287">
        <v>0</v>
      </c>
      <c r="G1287">
        <v>71.400000000000006</v>
      </c>
    </row>
    <row r="1288" spans="1:7">
      <c r="A1288">
        <v>108</v>
      </c>
      <c r="B1288" s="1">
        <v>45992</v>
      </c>
      <c r="C1288">
        <v>19</v>
      </c>
      <c r="D1288">
        <v>14</v>
      </c>
      <c r="E1288">
        <v>5</v>
      </c>
      <c r="F1288">
        <v>2</v>
      </c>
      <c r="G1288">
        <v>73.7</v>
      </c>
    </row>
    <row r="1289" spans="1:7">
      <c r="A1289">
        <v>108</v>
      </c>
      <c r="B1289" s="1">
        <v>46023</v>
      </c>
      <c r="C1289">
        <v>20</v>
      </c>
      <c r="D1289">
        <v>14</v>
      </c>
      <c r="E1289">
        <v>6</v>
      </c>
      <c r="F1289">
        <v>6</v>
      </c>
      <c r="G1289">
        <v>70</v>
      </c>
    </row>
    <row r="1290" spans="1:7">
      <c r="A1290">
        <v>108</v>
      </c>
      <c r="B1290" s="1">
        <v>46054</v>
      </c>
      <c r="C1290">
        <v>22</v>
      </c>
      <c r="D1290">
        <v>14</v>
      </c>
      <c r="E1290">
        <v>8</v>
      </c>
      <c r="F1290">
        <v>5</v>
      </c>
      <c r="G1290">
        <v>63.6</v>
      </c>
    </row>
    <row r="1291" spans="1:7">
      <c r="A1291">
        <v>108</v>
      </c>
      <c r="B1291" s="1">
        <v>46082</v>
      </c>
      <c r="C1291">
        <v>19</v>
      </c>
      <c r="D1291">
        <v>15</v>
      </c>
      <c r="E1291">
        <v>4</v>
      </c>
      <c r="F1291">
        <v>3</v>
      </c>
      <c r="G1291">
        <v>78.900000000000006</v>
      </c>
    </row>
    <row r="1292" spans="1:7">
      <c r="A1292">
        <v>108</v>
      </c>
      <c r="B1292" s="1">
        <v>46113</v>
      </c>
      <c r="C1292">
        <v>19</v>
      </c>
      <c r="D1292">
        <v>10</v>
      </c>
      <c r="E1292">
        <v>9</v>
      </c>
      <c r="F1292">
        <v>2</v>
      </c>
      <c r="G1292">
        <v>52.6</v>
      </c>
    </row>
    <row r="1293" spans="1:7">
      <c r="A1293">
        <v>108</v>
      </c>
      <c r="B1293" s="1">
        <v>46143</v>
      </c>
      <c r="C1293">
        <v>21</v>
      </c>
      <c r="D1293">
        <v>12</v>
      </c>
      <c r="E1293">
        <v>9</v>
      </c>
      <c r="F1293">
        <v>3</v>
      </c>
      <c r="G1293">
        <v>57.1</v>
      </c>
    </row>
    <row r="1294" spans="1:7">
      <c r="A1294">
        <v>108</v>
      </c>
      <c r="B1294" s="1">
        <v>46174</v>
      </c>
      <c r="C1294">
        <v>20</v>
      </c>
      <c r="D1294">
        <v>12</v>
      </c>
      <c r="E1294">
        <v>8</v>
      </c>
      <c r="F1294">
        <v>4</v>
      </c>
      <c r="G1294">
        <v>60</v>
      </c>
    </row>
    <row r="1295" spans="1:7">
      <c r="A1295">
        <v>108</v>
      </c>
      <c r="B1295" s="1">
        <v>46204</v>
      </c>
      <c r="C1295">
        <v>20</v>
      </c>
      <c r="D1295">
        <v>13</v>
      </c>
      <c r="E1295">
        <v>7</v>
      </c>
      <c r="F1295">
        <v>5</v>
      </c>
      <c r="G1295">
        <v>65</v>
      </c>
    </row>
    <row r="1296" spans="1:7">
      <c r="A1296">
        <v>108</v>
      </c>
      <c r="B1296" s="1">
        <v>46235</v>
      </c>
      <c r="C1296">
        <v>18</v>
      </c>
      <c r="D1296">
        <v>11</v>
      </c>
      <c r="E1296">
        <v>7</v>
      </c>
      <c r="F1296">
        <v>5</v>
      </c>
      <c r="G1296">
        <v>61.1</v>
      </c>
    </row>
    <row r="1297" spans="1:7">
      <c r="A1297">
        <v>108</v>
      </c>
      <c r="B1297" s="1">
        <v>46266</v>
      </c>
      <c r="C1297">
        <v>19</v>
      </c>
      <c r="D1297">
        <v>10</v>
      </c>
      <c r="E1297">
        <v>9</v>
      </c>
      <c r="F1297">
        <v>2</v>
      </c>
      <c r="G1297">
        <v>52.6</v>
      </c>
    </row>
    <row r="1298" spans="1:7">
      <c r="A1298">
        <v>109</v>
      </c>
      <c r="B1298" s="1">
        <v>45931</v>
      </c>
      <c r="C1298">
        <v>19</v>
      </c>
      <c r="D1298">
        <v>19</v>
      </c>
      <c r="E1298">
        <v>0</v>
      </c>
      <c r="F1298">
        <v>2</v>
      </c>
      <c r="G1298">
        <v>100</v>
      </c>
    </row>
    <row r="1299" spans="1:7">
      <c r="A1299">
        <v>109</v>
      </c>
      <c r="B1299" s="1">
        <v>45962</v>
      </c>
      <c r="C1299">
        <v>18</v>
      </c>
      <c r="D1299">
        <v>16</v>
      </c>
      <c r="E1299">
        <v>2</v>
      </c>
      <c r="F1299">
        <v>5</v>
      </c>
      <c r="G1299">
        <v>88.9</v>
      </c>
    </row>
    <row r="1300" spans="1:7">
      <c r="A1300">
        <v>109</v>
      </c>
      <c r="B1300" s="1">
        <v>45992</v>
      </c>
      <c r="C1300">
        <v>22</v>
      </c>
      <c r="D1300">
        <v>19</v>
      </c>
      <c r="E1300">
        <v>3</v>
      </c>
      <c r="F1300">
        <v>6</v>
      </c>
      <c r="G1300">
        <v>86.4</v>
      </c>
    </row>
    <row r="1301" spans="1:7">
      <c r="A1301">
        <v>109</v>
      </c>
      <c r="B1301" s="1">
        <v>46023</v>
      </c>
      <c r="C1301">
        <v>18</v>
      </c>
      <c r="D1301">
        <v>18</v>
      </c>
      <c r="E1301">
        <v>0</v>
      </c>
      <c r="F1301">
        <v>1</v>
      </c>
      <c r="G1301">
        <v>100</v>
      </c>
    </row>
    <row r="1302" spans="1:7">
      <c r="A1302">
        <v>109</v>
      </c>
      <c r="B1302" s="1">
        <v>46054</v>
      </c>
      <c r="C1302">
        <v>20</v>
      </c>
      <c r="D1302">
        <v>20</v>
      </c>
      <c r="E1302">
        <v>0</v>
      </c>
      <c r="F1302">
        <v>2</v>
      </c>
      <c r="G1302">
        <v>100</v>
      </c>
    </row>
    <row r="1303" spans="1:7">
      <c r="A1303">
        <v>109</v>
      </c>
      <c r="B1303" s="1">
        <v>46082</v>
      </c>
      <c r="C1303">
        <v>18</v>
      </c>
      <c r="D1303">
        <v>18</v>
      </c>
      <c r="E1303">
        <v>0</v>
      </c>
      <c r="F1303">
        <v>1</v>
      </c>
      <c r="G1303">
        <v>100</v>
      </c>
    </row>
    <row r="1304" spans="1:7">
      <c r="A1304">
        <v>109</v>
      </c>
      <c r="B1304" s="1">
        <v>46113</v>
      </c>
      <c r="C1304">
        <v>21</v>
      </c>
      <c r="D1304">
        <v>21</v>
      </c>
      <c r="E1304">
        <v>0</v>
      </c>
      <c r="F1304">
        <v>3</v>
      </c>
      <c r="G1304">
        <v>100</v>
      </c>
    </row>
    <row r="1305" spans="1:7">
      <c r="A1305">
        <v>109</v>
      </c>
      <c r="B1305" s="1">
        <v>46143</v>
      </c>
      <c r="C1305">
        <v>20</v>
      </c>
      <c r="D1305">
        <v>18</v>
      </c>
      <c r="E1305">
        <v>2</v>
      </c>
      <c r="F1305">
        <v>2</v>
      </c>
      <c r="G1305">
        <v>90</v>
      </c>
    </row>
    <row r="1306" spans="1:7">
      <c r="A1306">
        <v>109</v>
      </c>
      <c r="B1306" s="1">
        <v>46174</v>
      </c>
      <c r="C1306">
        <v>18</v>
      </c>
      <c r="D1306">
        <v>15</v>
      </c>
      <c r="E1306">
        <v>3</v>
      </c>
      <c r="F1306">
        <v>2</v>
      </c>
      <c r="G1306">
        <v>83.3</v>
      </c>
    </row>
    <row r="1307" spans="1:7">
      <c r="A1307">
        <v>109</v>
      </c>
      <c r="B1307" s="1">
        <v>46204</v>
      </c>
      <c r="C1307">
        <v>19</v>
      </c>
      <c r="D1307">
        <v>19</v>
      </c>
      <c r="E1307">
        <v>0</v>
      </c>
      <c r="F1307">
        <v>1</v>
      </c>
      <c r="G1307">
        <v>100</v>
      </c>
    </row>
    <row r="1308" spans="1:7">
      <c r="A1308">
        <v>109</v>
      </c>
      <c r="B1308" s="1">
        <v>46235</v>
      </c>
      <c r="C1308">
        <v>21</v>
      </c>
      <c r="D1308">
        <v>21</v>
      </c>
      <c r="E1308">
        <v>0</v>
      </c>
      <c r="F1308">
        <v>3</v>
      </c>
      <c r="G1308">
        <v>100</v>
      </c>
    </row>
    <row r="1309" spans="1:7">
      <c r="A1309">
        <v>109</v>
      </c>
      <c r="B1309" s="1">
        <v>46266</v>
      </c>
      <c r="C1309">
        <v>18</v>
      </c>
      <c r="D1309">
        <v>18</v>
      </c>
      <c r="E1309">
        <v>0</v>
      </c>
      <c r="F1309">
        <v>2</v>
      </c>
      <c r="G1309">
        <v>100</v>
      </c>
    </row>
    <row r="1310" spans="1:7">
      <c r="A1310">
        <v>110</v>
      </c>
      <c r="B1310" s="1">
        <v>45931</v>
      </c>
      <c r="C1310">
        <v>18</v>
      </c>
      <c r="D1310">
        <v>12</v>
      </c>
      <c r="E1310">
        <v>6</v>
      </c>
      <c r="F1310">
        <v>3</v>
      </c>
      <c r="G1310">
        <v>66.7</v>
      </c>
    </row>
    <row r="1311" spans="1:7">
      <c r="A1311">
        <v>110</v>
      </c>
      <c r="B1311" s="1">
        <v>45962</v>
      </c>
      <c r="C1311">
        <v>21</v>
      </c>
      <c r="D1311">
        <v>21</v>
      </c>
      <c r="E1311">
        <v>0</v>
      </c>
      <c r="F1311">
        <v>2</v>
      </c>
      <c r="G1311">
        <v>100</v>
      </c>
    </row>
    <row r="1312" spans="1:7">
      <c r="A1312">
        <v>110</v>
      </c>
      <c r="B1312" s="1">
        <v>45992</v>
      </c>
      <c r="C1312">
        <v>21</v>
      </c>
      <c r="D1312">
        <v>14</v>
      </c>
      <c r="E1312">
        <v>7</v>
      </c>
      <c r="F1312">
        <v>6</v>
      </c>
      <c r="G1312">
        <v>66.7</v>
      </c>
    </row>
    <row r="1313" spans="1:7">
      <c r="A1313">
        <v>110</v>
      </c>
      <c r="B1313" s="1">
        <v>46023</v>
      </c>
      <c r="C1313">
        <v>19</v>
      </c>
      <c r="D1313">
        <v>17</v>
      </c>
      <c r="E1313">
        <v>2</v>
      </c>
      <c r="F1313">
        <v>5</v>
      </c>
      <c r="G1313">
        <v>89.5</v>
      </c>
    </row>
    <row r="1314" spans="1:7">
      <c r="A1314">
        <v>110</v>
      </c>
      <c r="B1314" s="1">
        <v>46054</v>
      </c>
      <c r="C1314">
        <v>20</v>
      </c>
      <c r="D1314">
        <v>18</v>
      </c>
      <c r="E1314">
        <v>2</v>
      </c>
      <c r="F1314">
        <v>4</v>
      </c>
      <c r="G1314">
        <v>90</v>
      </c>
    </row>
    <row r="1315" spans="1:7">
      <c r="A1315">
        <v>110</v>
      </c>
      <c r="B1315" s="1">
        <v>46082</v>
      </c>
      <c r="C1315">
        <v>22</v>
      </c>
      <c r="D1315">
        <v>18</v>
      </c>
      <c r="E1315">
        <v>4</v>
      </c>
      <c r="F1315">
        <v>5</v>
      </c>
      <c r="G1315">
        <v>81.8</v>
      </c>
    </row>
    <row r="1316" spans="1:7">
      <c r="A1316">
        <v>110</v>
      </c>
      <c r="B1316" s="1">
        <v>46113</v>
      </c>
      <c r="C1316">
        <v>20</v>
      </c>
      <c r="D1316">
        <v>16</v>
      </c>
      <c r="E1316">
        <v>4</v>
      </c>
      <c r="F1316">
        <v>0</v>
      </c>
      <c r="G1316">
        <v>80</v>
      </c>
    </row>
    <row r="1317" spans="1:7">
      <c r="A1317">
        <v>110</v>
      </c>
      <c r="B1317" s="1">
        <v>46143</v>
      </c>
      <c r="C1317">
        <v>19</v>
      </c>
      <c r="D1317">
        <v>15</v>
      </c>
      <c r="E1317">
        <v>4</v>
      </c>
      <c r="F1317">
        <v>5</v>
      </c>
      <c r="G1317">
        <v>78.900000000000006</v>
      </c>
    </row>
    <row r="1318" spans="1:7">
      <c r="A1318">
        <v>110</v>
      </c>
      <c r="B1318" s="1">
        <v>46174</v>
      </c>
      <c r="C1318">
        <v>21</v>
      </c>
      <c r="D1318">
        <v>16</v>
      </c>
      <c r="E1318">
        <v>5</v>
      </c>
      <c r="F1318">
        <v>3</v>
      </c>
      <c r="G1318">
        <v>76.2</v>
      </c>
    </row>
    <row r="1319" spans="1:7">
      <c r="A1319">
        <v>110</v>
      </c>
      <c r="B1319" s="1">
        <v>46204</v>
      </c>
      <c r="C1319">
        <v>19</v>
      </c>
      <c r="D1319">
        <v>16</v>
      </c>
      <c r="E1319">
        <v>3</v>
      </c>
      <c r="F1319">
        <v>5</v>
      </c>
      <c r="G1319">
        <v>84.2</v>
      </c>
    </row>
    <row r="1320" spans="1:7">
      <c r="A1320">
        <v>110</v>
      </c>
      <c r="B1320" s="1">
        <v>46235</v>
      </c>
      <c r="C1320">
        <v>20</v>
      </c>
      <c r="D1320">
        <v>16</v>
      </c>
      <c r="E1320">
        <v>4</v>
      </c>
      <c r="F1320">
        <v>1</v>
      </c>
      <c r="G1320">
        <v>80</v>
      </c>
    </row>
    <row r="1321" spans="1:7">
      <c r="A1321">
        <v>110</v>
      </c>
      <c r="B1321" s="1">
        <v>46266</v>
      </c>
      <c r="C1321">
        <v>19</v>
      </c>
      <c r="D1321">
        <v>14</v>
      </c>
      <c r="E1321">
        <v>5</v>
      </c>
      <c r="F1321">
        <v>4</v>
      </c>
      <c r="G1321">
        <v>73.7</v>
      </c>
    </row>
    <row r="1322" spans="1:7">
      <c r="A1322">
        <v>111</v>
      </c>
      <c r="B1322" s="1">
        <v>45931</v>
      </c>
      <c r="C1322">
        <v>19</v>
      </c>
      <c r="D1322">
        <v>14</v>
      </c>
      <c r="E1322">
        <v>5</v>
      </c>
      <c r="F1322">
        <v>6</v>
      </c>
      <c r="G1322">
        <v>73.7</v>
      </c>
    </row>
    <row r="1323" spans="1:7">
      <c r="A1323">
        <v>111</v>
      </c>
      <c r="B1323" s="1">
        <v>45962</v>
      </c>
      <c r="C1323">
        <v>20</v>
      </c>
      <c r="D1323">
        <v>19</v>
      </c>
      <c r="E1323">
        <v>1</v>
      </c>
      <c r="F1323">
        <v>3</v>
      </c>
      <c r="G1323">
        <v>95</v>
      </c>
    </row>
    <row r="1324" spans="1:7">
      <c r="A1324">
        <v>111</v>
      </c>
      <c r="B1324" s="1">
        <v>45992</v>
      </c>
      <c r="C1324">
        <v>21</v>
      </c>
      <c r="D1324">
        <v>17</v>
      </c>
      <c r="E1324">
        <v>4</v>
      </c>
      <c r="F1324">
        <v>1</v>
      </c>
      <c r="G1324">
        <v>81</v>
      </c>
    </row>
    <row r="1325" spans="1:7">
      <c r="A1325">
        <v>111</v>
      </c>
      <c r="B1325" s="1">
        <v>46023</v>
      </c>
      <c r="C1325">
        <v>22</v>
      </c>
      <c r="D1325">
        <v>19</v>
      </c>
      <c r="E1325">
        <v>3</v>
      </c>
      <c r="F1325">
        <v>6</v>
      </c>
      <c r="G1325">
        <v>86.4</v>
      </c>
    </row>
    <row r="1326" spans="1:7">
      <c r="A1326">
        <v>111</v>
      </c>
      <c r="B1326" s="1">
        <v>46054</v>
      </c>
      <c r="C1326">
        <v>20</v>
      </c>
      <c r="D1326">
        <v>16</v>
      </c>
      <c r="E1326">
        <v>4</v>
      </c>
      <c r="F1326">
        <v>3</v>
      </c>
      <c r="G1326">
        <v>80</v>
      </c>
    </row>
    <row r="1327" spans="1:7">
      <c r="A1327">
        <v>111</v>
      </c>
      <c r="B1327" s="1">
        <v>46082</v>
      </c>
      <c r="C1327">
        <v>20</v>
      </c>
      <c r="D1327">
        <v>18</v>
      </c>
      <c r="E1327">
        <v>2</v>
      </c>
      <c r="F1327">
        <v>1</v>
      </c>
      <c r="G1327">
        <v>90</v>
      </c>
    </row>
    <row r="1328" spans="1:7">
      <c r="A1328">
        <v>111</v>
      </c>
      <c r="B1328" s="1">
        <v>46113</v>
      </c>
      <c r="C1328">
        <v>21</v>
      </c>
      <c r="D1328">
        <v>14</v>
      </c>
      <c r="E1328">
        <v>7</v>
      </c>
      <c r="F1328">
        <v>4</v>
      </c>
      <c r="G1328">
        <v>66.7</v>
      </c>
    </row>
    <row r="1329" spans="1:7">
      <c r="A1329">
        <v>111</v>
      </c>
      <c r="B1329" s="1">
        <v>46143</v>
      </c>
      <c r="C1329">
        <v>19</v>
      </c>
      <c r="D1329">
        <v>19</v>
      </c>
      <c r="E1329">
        <v>0</v>
      </c>
      <c r="F1329">
        <v>0</v>
      </c>
      <c r="G1329">
        <v>100</v>
      </c>
    </row>
    <row r="1330" spans="1:7">
      <c r="A1330">
        <v>111</v>
      </c>
      <c r="B1330" s="1">
        <v>46174</v>
      </c>
      <c r="C1330">
        <v>18</v>
      </c>
      <c r="D1330">
        <v>12</v>
      </c>
      <c r="E1330">
        <v>6</v>
      </c>
      <c r="F1330">
        <v>5</v>
      </c>
      <c r="G1330">
        <v>66.7</v>
      </c>
    </row>
    <row r="1331" spans="1:7">
      <c r="A1331">
        <v>111</v>
      </c>
      <c r="B1331" s="1">
        <v>46204</v>
      </c>
      <c r="C1331">
        <v>19</v>
      </c>
      <c r="D1331">
        <v>17</v>
      </c>
      <c r="E1331">
        <v>2</v>
      </c>
      <c r="F1331">
        <v>0</v>
      </c>
      <c r="G1331">
        <v>89.5</v>
      </c>
    </row>
    <row r="1332" spans="1:7">
      <c r="A1332">
        <v>111</v>
      </c>
      <c r="B1332" s="1">
        <v>46235</v>
      </c>
      <c r="C1332">
        <v>21</v>
      </c>
      <c r="D1332">
        <v>17</v>
      </c>
      <c r="E1332">
        <v>4</v>
      </c>
      <c r="F1332">
        <v>1</v>
      </c>
      <c r="G1332">
        <v>81</v>
      </c>
    </row>
    <row r="1333" spans="1:7">
      <c r="A1333">
        <v>111</v>
      </c>
      <c r="B1333" s="1">
        <v>46266</v>
      </c>
      <c r="C1333">
        <v>18</v>
      </c>
      <c r="D1333">
        <v>12</v>
      </c>
      <c r="E1333">
        <v>6</v>
      </c>
      <c r="F1333">
        <v>3</v>
      </c>
      <c r="G1333">
        <v>66.7</v>
      </c>
    </row>
    <row r="1334" spans="1:7">
      <c r="A1334">
        <v>112</v>
      </c>
      <c r="B1334" s="1">
        <v>45931</v>
      </c>
      <c r="C1334">
        <v>22</v>
      </c>
      <c r="D1334">
        <v>22</v>
      </c>
      <c r="E1334">
        <v>0</v>
      </c>
      <c r="F1334">
        <v>0</v>
      </c>
      <c r="G1334">
        <v>100</v>
      </c>
    </row>
    <row r="1335" spans="1:7">
      <c r="A1335">
        <v>112</v>
      </c>
      <c r="B1335" s="1">
        <v>45962</v>
      </c>
      <c r="C1335">
        <v>20</v>
      </c>
      <c r="D1335">
        <v>19</v>
      </c>
      <c r="E1335">
        <v>1</v>
      </c>
      <c r="F1335">
        <v>1</v>
      </c>
      <c r="G1335">
        <v>95</v>
      </c>
    </row>
    <row r="1336" spans="1:7">
      <c r="A1336">
        <v>112</v>
      </c>
      <c r="B1336" s="1">
        <v>45992</v>
      </c>
      <c r="C1336">
        <v>22</v>
      </c>
      <c r="D1336">
        <v>19</v>
      </c>
      <c r="E1336">
        <v>3</v>
      </c>
      <c r="F1336">
        <v>3</v>
      </c>
      <c r="G1336">
        <v>86.4</v>
      </c>
    </row>
    <row r="1337" spans="1:7">
      <c r="A1337">
        <v>112</v>
      </c>
      <c r="B1337" s="1">
        <v>46023</v>
      </c>
      <c r="C1337">
        <v>21</v>
      </c>
      <c r="D1337">
        <v>19</v>
      </c>
      <c r="E1337">
        <v>2</v>
      </c>
      <c r="F1337">
        <v>5</v>
      </c>
      <c r="G1337">
        <v>90.5</v>
      </c>
    </row>
    <row r="1338" spans="1:7">
      <c r="A1338">
        <v>112</v>
      </c>
      <c r="B1338" s="1">
        <v>46054</v>
      </c>
      <c r="C1338">
        <v>21</v>
      </c>
      <c r="D1338">
        <v>18</v>
      </c>
      <c r="E1338">
        <v>3</v>
      </c>
      <c r="F1338">
        <v>1</v>
      </c>
      <c r="G1338">
        <v>85.7</v>
      </c>
    </row>
    <row r="1339" spans="1:7">
      <c r="A1339">
        <v>112</v>
      </c>
      <c r="B1339" s="1">
        <v>46082</v>
      </c>
      <c r="C1339">
        <v>20</v>
      </c>
      <c r="D1339">
        <v>18</v>
      </c>
      <c r="E1339">
        <v>2</v>
      </c>
      <c r="F1339">
        <v>2</v>
      </c>
      <c r="G1339">
        <v>90</v>
      </c>
    </row>
    <row r="1340" spans="1:7">
      <c r="A1340">
        <v>112</v>
      </c>
      <c r="B1340" s="1">
        <v>46113</v>
      </c>
      <c r="C1340">
        <v>21</v>
      </c>
      <c r="D1340">
        <v>21</v>
      </c>
      <c r="E1340">
        <v>0</v>
      </c>
      <c r="F1340">
        <v>1</v>
      </c>
      <c r="G1340">
        <v>100</v>
      </c>
    </row>
    <row r="1341" spans="1:7">
      <c r="A1341">
        <v>112</v>
      </c>
      <c r="B1341" s="1">
        <v>46143</v>
      </c>
      <c r="C1341">
        <v>22</v>
      </c>
      <c r="D1341">
        <v>20</v>
      </c>
      <c r="E1341">
        <v>2</v>
      </c>
      <c r="F1341">
        <v>1</v>
      </c>
      <c r="G1341">
        <v>90.9</v>
      </c>
    </row>
    <row r="1342" spans="1:7">
      <c r="A1342">
        <v>112</v>
      </c>
      <c r="B1342" s="1">
        <v>46174</v>
      </c>
      <c r="C1342">
        <v>20</v>
      </c>
      <c r="D1342">
        <v>20</v>
      </c>
      <c r="E1342">
        <v>0</v>
      </c>
      <c r="F1342">
        <v>1</v>
      </c>
      <c r="G1342">
        <v>100</v>
      </c>
    </row>
    <row r="1343" spans="1:7">
      <c r="A1343">
        <v>112</v>
      </c>
      <c r="B1343" s="1">
        <v>46204</v>
      </c>
      <c r="C1343">
        <v>21</v>
      </c>
      <c r="D1343">
        <v>21</v>
      </c>
      <c r="E1343">
        <v>0</v>
      </c>
      <c r="F1343">
        <v>1</v>
      </c>
      <c r="G1343">
        <v>100</v>
      </c>
    </row>
    <row r="1344" spans="1:7">
      <c r="A1344">
        <v>112</v>
      </c>
      <c r="B1344" s="1">
        <v>46235</v>
      </c>
      <c r="C1344">
        <v>18</v>
      </c>
      <c r="D1344">
        <v>18</v>
      </c>
      <c r="E1344">
        <v>0</v>
      </c>
      <c r="F1344">
        <v>3</v>
      </c>
      <c r="G1344">
        <v>100</v>
      </c>
    </row>
    <row r="1345" spans="1:7">
      <c r="A1345">
        <v>112</v>
      </c>
      <c r="B1345" s="1">
        <v>46266</v>
      </c>
      <c r="C1345">
        <v>19</v>
      </c>
      <c r="D1345">
        <v>17</v>
      </c>
      <c r="E1345">
        <v>2</v>
      </c>
      <c r="F1345">
        <v>2</v>
      </c>
      <c r="G1345">
        <v>89.5</v>
      </c>
    </row>
    <row r="1346" spans="1:7">
      <c r="A1346">
        <v>113</v>
      </c>
      <c r="B1346" s="1">
        <v>45931</v>
      </c>
      <c r="C1346">
        <v>22</v>
      </c>
      <c r="D1346">
        <v>14</v>
      </c>
      <c r="E1346">
        <v>8</v>
      </c>
      <c r="F1346">
        <v>0</v>
      </c>
      <c r="G1346">
        <v>63.6</v>
      </c>
    </row>
    <row r="1347" spans="1:7">
      <c r="A1347">
        <v>113</v>
      </c>
      <c r="B1347" s="1">
        <v>45962</v>
      </c>
      <c r="C1347">
        <v>21</v>
      </c>
      <c r="D1347">
        <v>14</v>
      </c>
      <c r="E1347">
        <v>7</v>
      </c>
      <c r="F1347">
        <v>1</v>
      </c>
      <c r="G1347">
        <v>66.7</v>
      </c>
    </row>
    <row r="1348" spans="1:7">
      <c r="A1348">
        <v>113</v>
      </c>
      <c r="B1348" s="1">
        <v>45992</v>
      </c>
      <c r="C1348">
        <v>20</v>
      </c>
      <c r="D1348">
        <v>10</v>
      </c>
      <c r="E1348">
        <v>10</v>
      </c>
      <c r="F1348">
        <v>1</v>
      </c>
      <c r="G1348">
        <v>50</v>
      </c>
    </row>
    <row r="1349" spans="1:7">
      <c r="A1349">
        <v>113</v>
      </c>
      <c r="B1349" s="1">
        <v>46023</v>
      </c>
      <c r="C1349">
        <v>21</v>
      </c>
      <c r="D1349">
        <v>13</v>
      </c>
      <c r="E1349">
        <v>8</v>
      </c>
      <c r="F1349">
        <v>5</v>
      </c>
      <c r="G1349">
        <v>61.9</v>
      </c>
    </row>
    <row r="1350" spans="1:7">
      <c r="A1350">
        <v>113</v>
      </c>
      <c r="B1350" s="1">
        <v>46054</v>
      </c>
      <c r="C1350">
        <v>21</v>
      </c>
      <c r="D1350">
        <v>12</v>
      </c>
      <c r="E1350">
        <v>9</v>
      </c>
      <c r="F1350">
        <v>0</v>
      </c>
      <c r="G1350">
        <v>57.1</v>
      </c>
    </row>
    <row r="1351" spans="1:7">
      <c r="A1351">
        <v>113</v>
      </c>
      <c r="B1351" s="1">
        <v>46082</v>
      </c>
      <c r="C1351">
        <v>22</v>
      </c>
      <c r="D1351">
        <v>15</v>
      </c>
      <c r="E1351">
        <v>7</v>
      </c>
      <c r="F1351">
        <v>0</v>
      </c>
      <c r="G1351">
        <v>68.2</v>
      </c>
    </row>
    <row r="1352" spans="1:7">
      <c r="A1352">
        <v>113</v>
      </c>
      <c r="B1352" s="1">
        <v>46113</v>
      </c>
      <c r="C1352">
        <v>18</v>
      </c>
      <c r="D1352">
        <v>10</v>
      </c>
      <c r="E1352">
        <v>8</v>
      </c>
      <c r="F1352">
        <v>2</v>
      </c>
      <c r="G1352">
        <v>55.6</v>
      </c>
    </row>
    <row r="1353" spans="1:7">
      <c r="A1353">
        <v>113</v>
      </c>
      <c r="B1353" s="1">
        <v>46143</v>
      </c>
      <c r="C1353">
        <v>22</v>
      </c>
      <c r="D1353">
        <v>12</v>
      </c>
      <c r="E1353">
        <v>10</v>
      </c>
      <c r="F1353">
        <v>5</v>
      </c>
      <c r="G1353">
        <v>54.5</v>
      </c>
    </row>
    <row r="1354" spans="1:7">
      <c r="A1354">
        <v>113</v>
      </c>
      <c r="B1354" s="1">
        <v>46174</v>
      </c>
      <c r="C1354">
        <v>22</v>
      </c>
      <c r="D1354">
        <v>14</v>
      </c>
      <c r="E1354">
        <v>8</v>
      </c>
      <c r="F1354">
        <v>0</v>
      </c>
      <c r="G1354">
        <v>63.6</v>
      </c>
    </row>
    <row r="1355" spans="1:7">
      <c r="A1355">
        <v>113</v>
      </c>
      <c r="B1355" s="1">
        <v>46204</v>
      </c>
      <c r="C1355">
        <v>20</v>
      </c>
      <c r="D1355">
        <v>15</v>
      </c>
      <c r="E1355">
        <v>5</v>
      </c>
      <c r="F1355">
        <v>4</v>
      </c>
      <c r="G1355">
        <v>75</v>
      </c>
    </row>
    <row r="1356" spans="1:7">
      <c r="A1356">
        <v>113</v>
      </c>
      <c r="B1356" s="1">
        <v>46235</v>
      </c>
      <c r="C1356">
        <v>22</v>
      </c>
      <c r="D1356">
        <v>17</v>
      </c>
      <c r="E1356">
        <v>5</v>
      </c>
      <c r="F1356">
        <v>5</v>
      </c>
      <c r="G1356">
        <v>77.3</v>
      </c>
    </row>
    <row r="1357" spans="1:7">
      <c r="A1357">
        <v>113</v>
      </c>
      <c r="B1357" s="1">
        <v>46266</v>
      </c>
      <c r="C1357">
        <v>20</v>
      </c>
      <c r="D1357">
        <v>10</v>
      </c>
      <c r="E1357">
        <v>10</v>
      </c>
      <c r="F1357">
        <v>1</v>
      </c>
      <c r="G1357">
        <v>50</v>
      </c>
    </row>
    <row r="1358" spans="1:7">
      <c r="A1358">
        <v>114</v>
      </c>
      <c r="B1358" s="1">
        <v>45931</v>
      </c>
      <c r="C1358">
        <v>22</v>
      </c>
      <c r="D1358">
        <v>12</v>
      </c>
      <c r="E1358">
        <v>10</v>
      </c>
      <c r="F1358">
        <v>1</v>
      </c>
      <c r="G1358">
        <v>54.5</v>
      </c>
    </row>
    <row r="1359" spans="1:7">
      <c r="A1359">
        <v>114</v>
      </c>
      <c r="B1359" s="1">
        <v>45962</v>
      </c>
      <c r="C1359">
        <v>22</v>
      </c>
      <c r="D1359">
        <v>13</v>
      </c>
      <c r="E1359">
        <v>9</v>
      </c>
      <c r="F1359">
        <v>3</v>
      </c>
      <c r="G1359">
        <v>59.1</v>
      </c>
    </row>
    <row r="1360" spans="1:7">
      <c r="A1360">
        <v>114</v>
      </c>
      <c r="B1360" s="1">
        <v>45992</v>
      </c>
      <c r="C1360">
        <v>20</v>
      </c>
      <c r="D1360">
        <v>10</v>
      </c>
      <c r="E1360">
        <v>10</v>
      </c>
      <c r="F1360">
        <v>2</v>
      </c>
      <c r="G1360">
        <v>50</v>
      </c>
    </row>
    <row r="1361" spans="1:7">
      <c r="A1361">
        <v>114</v>
      </c>
      <c r="B1361" s="1">
        <v>46023</v>
      </c>
      <c r="C1361">
        <v>22</v>
      </c>
      <c r="D1361">
        <v>14</v>
      </c>
      <c r="E1361">
        <v>8</v>
      </c>
      <c r="F1361">
        <v>3</v>
      </c>
      <c r="G1361">
        <v>63.6</v>
      </c>
    </row>
    <row r="1362" spans="1:7">
      <c r="A1362">
        <v>114</v>
      </c>
      <c r="B1362" s="1">
        <v>46054</v>
      </c>
      <c r="C1362">
        <v>19</v>
      </c>
      <c r="D1362">
        <v>10</v>
      </c>
      <c r="E1362">
        <v>9</v>
      </c>
      <c r="F1362">
        <v>1</v>
      </c>
      <c r="G1362">
        <v>52.6</v>
      </c>
    </row>
    <row r="1363" spans="1:7">
      <c r="A1363">
        <v>114</v>
      </c>
      <c r="B1363" s="1">
        <v>46082</v>
      </c>
      <c r="C1363">
        <v>21</v>
      </c>
      <c r="D1363">
        <v>10</v>
      </c>
      <c r="E1363">
        <v>11</v>
      </c>
      <c r="F1363">
        <v>6</v>
      </c>
      <c r="G1363">
        <v>47.6</v>
      </c>
    </row>
    <row r="1364" spans="1:7">
      <c r="A1364">
        <v>114</v>
      </c>
      <c r="B1364" s="1">
        <v>46113</v>
      </c>
      <c r="C1364">
        <v>20</v>
      </c>
      <c r="D1364">
        <v>11</v>
      </c>
      <c r="E1364">
        <v>9</v>
      </c>
      <c r="F1364">
        <v>2</v>
      </c>
      <c r="G1364">
        <v>55</v>
      </c>
    </row>
    <row r="1365" spans="1:7">
      <c r="A1365">
        <v>114</v>
      </c>
      <c r="B1365" s="1">
        <v>46143</v>
      </c>
      <c r="C1365">
        <v>20</v>
      </c>
      <c r="D1365">
        <v>15</v>
      </c>
      <c r="E1365">
        <v>5</v>
      </c>
      <c r="F1365">
        <v>4</v>
      </c>
      <c r="G1365">
        <v>75</v>
      </c>
    </row>
    <row r="1366" spans="1:7">
      <c r="A1366">
        <v>114</v>
      </c>
      <c r="B1366" s="1">
        <v>46174</v>
      </c>
      <c r="C1366">
        <v>20</v>
      </c>
      <c r="D1366">
        <v>13</v>
      </c>
      <c r="E1366">
        <v>7</v>
      </c>
      <c r="F1366">
        <v>1</v>
      </c>
      <c r="G1366">
        <v>65</v>
      </c>
    </row>
    <row r="1367" spans="1:7">
      <c r="A1367">
        <v>114</v>
      </c>
      <c r="B1367" s="1">
        <v>46204</v>
      </c>
      <c r="C1367">
        <v>20</v>
      </c>
      <c r="D1367">
        <v>11</v>
      </c>
      <c r="E1367">
        <v>9</v>
      </c>
      <c r="F1367">
        <v>5</v>
      </c>
      <c r="G1367">
        <v>55</v>
      </c>
    </row>
    <row r="1368" spans="1:7">
      <c r="A1368">
        <v>114</v>
      </c>
      <c r="B1368" s="1">
        <v>46235</v>
      </c>
      <c r="C1368">
        <v>21</v>
      </c>
      <c r="D1368">
        <v>12</v>
      </c>
      <c r="E1368">
        <v>9</v>
      </c>
      <c r="F1368">
        <v>6</v>
      </c>
      <c r="G1368">
        <v>57.1</v>
      </c>
    </row>
    <row r="1369" spans="1:7">
      <c r="A1369">
        <v>114</v>
      </c>
      <c r="B1369" s="1">
        <v>46266</v>
      </c>
      <c r="C1369">
        <v>21</v>
      </c>
      <c r="D1369">
        <v>13</v>
      </c>
      <c r="E1369">
        <v>8</v>
      </c>
      <c r="F1369">
        <v>0</v>
      </c>
      <c r="G1369">
        <v>61.9</v>
      </c>
    </row>
    <row r="1370" spans="1:7">
      <c r="A1370">
        <v>115</v>
      </c>
      <c r="B1370" s="1">
        <v>45931</v>
      </c>
      <c r="C1370">
        <v>19</v>
      </c>
      <c r="D1370">
        <v>18</v>
      </c>
      <c r="E1370">
        <v>1</v>
      </c>
      <c r="F1370">
        <v>0</v>
      </c>
      <c r="G1370">
        <v>94.7</v>
      </c>
    </row>
    <row r="1371" spans="1:7">
      <c r="A1371">
        <v>115</v>
      </c>
      <c r="B1371" s="1">
        <v>45962</v>
      </c>
      <c r="C1371">
        <v>21</v>
      </c>
      <c r="D1371">
        <v>20</v>
      </c>
      <c r="E1371">
        <v>1</v>
      </c>
      <c r="F1371">
        <v>2</v>
      </c>
      <c r="G1371">
        <v>95.2</v>
      </c>
    </row>
    <row r="1372" spans="1:7">
      <c r="A1372">
        <v>115</v>
      </c>
      <c r="B1372" s="1">
        <v>45992</v>
      </c>
      <c r="C1372">
        <v>19</v>
      </c>
      <c r="D1372">
        <v>19</v>
      </c>
      <c r="E1372">
        <v>0</v>
      </c>
      <c r="F1372">
        <v>3</v>
      </c>
      <c r="G1372">
        <v>100</v>
      </c>
    </row>
    <row r="1373" spans="1:7">
      <c r="A1373">
        <v>115</v>
      </c>
      <c r="B1373" s="1">
        <v>46023</v>
      </c>
      <c r="C1373">
        <v>18</v>
      </c>
      <c r="D1373">
        <v>18</v>
      </c>
      <c r="E1373">
        <v>0</v>
      </c>
      <c r="F1373">
        <v>3</v>
      </c>
      <c r="G1373">
        <v>100</v>
      </c>
    </row>
    <row r="1374" spans="1:7">
      <c r="A1374">
        <v>115</v>
      </c>
      <c r="B1374" s="1">
        <v>46054</v>
      </c>
      <c r="C1374">
        <v>20</v>
      </c>
      <c r="D1374">
        <v>17</v>
      </c>
      <c r="E1374">
        <v>3</v>
      </c>
      <c r="F1374">
        <v>3</v>
      </c>
      <c r="G1374">
        <v>85</v>
      </c>
    </row>
    <row r="1375" spans="1:7">
      <c r="A1375">
        <v>115</v>
      </c>
      <c r="B1375" s="1">
        <v>46082</v>
      </c>
      <c r="C1375">
        <v>21</v>
      </c>
      <c r="D1375">
        <v>21</v>
      </c>
      <c r="E1375">
        <v>0</v>
      </c>
      <c r="F1375">
        <v>0</v>
      </c>
      <c r="G1375">
        <v>100</v>
      </c>
    </row>
    <row r="1376" spans="1:7">
      <c r="A1376">
        <v>115</v>
      </c>
      <c r="B1376" s="1">
        <v>46113</v>
      </c>
      <c r="C1376">
        <v>19</v>
      </c>
      <c r="D1376">
        <v>18</v>
      </c>
      <c r="E1376">
        <v>1</v>
      </c>
      <c r="F1376">
        <v>2</v>
      </c>
      <c r="G1376">
        <v>94.7</v>
      </c>
    </row>
    <row r="1377" spans="1:7">
      <c r="A1377">
        <v>115</v>
      </c>
      <c r="B1377" s="1">
        <v>46143</v>
      </c>
      <c r="C1377">
        <v>19</v>
      </c>
      <c r="D1377">
        <v>18</v>
      </c>
      <c r="E1377">
        <v>1</v>
      </c>
      <c r="F1377">
        <v>1</v>
      </c>
      <c r="G1377">
        <v>94.7</v>
      </c>
    </row>
    <row r="1378" spans="1:7">
      <c r="A1378">
        <v>115</v>
      </c>
      <c r="B1378" s="1">
        <v>46174</v>
      </c>
      <c r="C1378">
        <v>22</v>
      </c>
      <c r="D1378">
        <v>21</v>
      </c>
      <c r="E1378">
        <v>1</v>
      </c>
      <c r="F1378">
        <v>4</v>
      </c>
      <c r="G1378">
        <v>95.5</v>
      </c>
    </row>
    <row r="1379" spans="1:7">
      <c r="A1379">
        <v>115</v>
      </c>
      <c r="B1379" s="1">
        <v>46204</v>
      </c>
      <c r="C1379">
        <v>19</v>
      </c>
      <c r="D1379">
        <v>19</v>
      </c>
      <c r="E1379">
        <v>0</v>
      </c>
      <c r="F1379">
        <v>0</v>
      </c>
      <c r="G1379">
        <v>100</v>
      </c>
    </row>
    <row r="1380" spans="1:7">
      <c r="A1380">
        <v>115</v>
      </c>
      <c r="B1380" s="1">
        <v>46235</v>
      </c>
      <c r="C1380">
        <v>22</v>
      </c>
      <c r="D1380">
        <v>22</v>
      </c>
      <c r="E1380">
        <v>0</v>
      </c>
      <c r="F1380">
        <v>0</v>
      </c>
      <c r="G1380">
        <v>100</v>
      </c>
    </row>
    <row r="1381" spans="1:7">
      <c r="A1381">
        <v>115</v>
      </c>
      <c r="B1381" s="1">
        <v>46266</v>
      </c>
      <c r="C1381">
        <v>19</v>
      </c>
      <c r="D1381">
        <v>19</v>
      </c>
      <c r="E1381">
        <v>0</v>
      </c>
      <c r="F1381">
        <v>3</v>
      </c>
      <c r="G1381">
        <v>100</v>
      </c>
    </row>
    <row r="1382" spans="1:7">
      <c r="A1382">
        <v>116</v>
      </c>
      <c r="B1382" s="1">
        <v>45931</v>
      </c>
      <c r="C1382">
        <v>18</v>
      </c>
      <c r="D1382">
        <v>18</v>
      </c>
      <c r="E1382">
        <v>0</v>
      </c>
      <c r="F1382">
        <v>0</v>
      </c>
      <c r="G1382">
        <v>100</v>
      </c>
    </row>
    <row r="1383" spans="1:7">
      <c r="A1383">
        <v>116</v>
      </c>
      <c r="B1383" s="1">
        <v>45962</v>
      </c>
      <c r="C1383">
        <v>21</v>
      </c>
      <c r="D1383">
        <v>21</v>
      </c>
      <c r="E1383">
        <v>0</v>
      </c>
      <c r="F1383">
        <v>2</v>
      </c>
      <c r="G1383">
        <v>100</v>
      </c>
    </row>
    <row r="1384" spans="1:7">
      <c r="A1384">
        <v>116</v>
      </c>
      <c r="B1384" s="1">
        <v>45992</v>
      </c>
      <c r="C1384">
        <v>22</v>
      </c>
      <c r="D1384">
        <v>21</v>
      </c>
      <c r="E1384">
        <v>1</v>
      </c>
      <c r="F1384">
        <v>2</v>
      </c>
      <c r="G1384">
        <v>95.5</v>
      </c>
    </row>
    <row r="1385" spans="1:7">
      <c r="A1385">
        <v>116</v>
      </c>
      <c r="B1385" s="1">
        <v>46023</v>
      </c>
      <c r="C1385">
        <v>19</v>
      </c>
      <c r="D1385">
        <v>19</v>
      </c>
      <c r="E1385">
        <v>0</v>
      </c>
      <c r="F1385">
        <v>0</v>
      </c>
      <c r="G1385">
        <v>100</v>
      </c>
    </row>
    <row r="1386" spans="1:7">
      <c r="A1386">
        <v>116</v>
      </c>
      <c r="B1386" s="1">
        <v>46054</v>
      </c>
      <c r="C1386">
        <v>18</v>
      </c>
      <c r="D1386">
        <v>18</v>
      </c>
      <c r="E1386">
        <v>0</v>
      </c>
      <c r="F1386">
        <v>3</v>
      </c>
      <c r="G1386">
        <v>100</v>
      </c>
    </row>
    <row r="1387" spans="1:7">
      <c r="A1387">
        <v>116</v>
      </c>
      <c r="B1387" s="1">
        <v>46082</v>
      </c>
      <c r="C1387">
        <v>21</v>
      </c>
      <c r="D1387">
        <v>20</v>
      </c>
      <c r="E1387">
        <v>1</v>
      </c>
      <c r="F1387">
        <v>2</v>
      </c>
      <c r="G1387">
        <v>95.2</v>
      </c>
    </row>
    <row r="1388" spans="1:7">
      <c r="A1388">
        <v>116</v>
      </c>
      <c r="B1388" s="1">
        <v>46113</v>
      </c>
      <c r="C1388">
        <v>22</v>
      </c>
      <c r="D1388">
        <v>22</v>
      </c>
      <c r="E1388">
        <v>0</v>
      </c>
      <c r="F1388">
        <v>0</v>
      </c>
      <c r="G1388">
        <v>100</v>
      </c>
    </row>
    <row r="1389" spans="1:7">
      <c r="A1389">
        <v>116</v>
      </c>
      <c r="B1389" s="1">
        <v>46143</v>
      </c>
      <c r="C1389">
        <v>22</v>
      </c>
      <c r="D1389">
        <v>22</v>
      </c>
      <c r="E1389">
        <v>0</v>
      </c>
      <c r="F1389">
        <v>3</v>
      </c>
      <c r="G1389">
        <v>100</v>
      </c>
    </row>
    <row r="1390" spans="1:7">
      <c r="A1390">
        <v>116</v>
      </c>
      <c r="B1390" s="1">
        <v>46174</v>
      </c>
      <c r="C1390">
        <v>20</v>
      </c>
      <c r="D1390">
        <v>12</v>
      </c>
      <c r="E1390">
        <v>8</v>
      </c>
      <c r="F1390">
        <v>6</v>
      </c>
      <c r="G1390">
        <v>60</v>
      </c>
    </row>
    <row r="1391" spans="1:7">
      <c r="A1391">
        <v>116</v>
      </c>
      <c r="B1391" s="1">
        <v>46204</v>
      </c>
      <c r="C1391">
        <v>22</v>
      </c>
      <c r="D1391">
        <v>22</v>
      </c>
      <c r="E1391">
        <v>0</v>
      </c>
      <c r="F1391">
        <v>1</v>
      </c>
      <c r="G1391">
        <v>100</v>
      </c>
    </row>
    <row r="1392" spans="1:7">
      <c r="A1392">
        <v>116</v>
      </c>
      <c r="B1392" s="1">
        <v>46235</v>
      </c>
      <c r="C1392">
        <v>19</v>
      </c>
      <c r="D1392">
        <v>17</v>
      </c>
      <c r="E1392">
        <v>2</v>
      </c>
      <c r="F1392">
        <v>2</v>
      </c>
      <c r="G1392">
        <v>89.5</v>
      </c>
    </row>
    <row r="1393" spans="1:7">
      <c r="A1393">
        <v>116</v>
      </c>
      <c r="B1393" s="1">
        <v>46266</v>
      </c>
      <c r="C1393">
        <v>20</v>
      </c>
      <c r="D1393">
        <v>20</v>
      </c>
      <c r="E1393">
        <v>0</v>
      </c>
      <c r="F1393">
        <v>0</v>
      </c>
      <c r="G1393">
        <v>100</v>
      </c>
    </row>
    <row r="1394" spans="1:7">
      <c r="A1394">
        <v>117</v>
      </c>
      <c r="B1394" s="1">
        <v>45931</v>
      </c>
      <c r="C1394">
        <v>18</v>
      </c>
      <c r="D1394">
        <v>14</v>
      </c>
      <c r="E1394">
        <v>4</v>
      </c>
      <c r="F1394">
        <v>0</v>
      </c>
      <c r="G1394">
        <v>77.8</v>
      </c>
    </row>
    <row r="1395" spans="1:7">
      <c r="A1395">
        <v>117</v>
      </c>
      <c r="B1395" s="1">
        <v>45962</v>
      </c>
      <c r="C1395">
        <v>21</v>
      </c>
      <c r="D1395">
        <v>15</v>
      </c>
      <c r="E1395">
        <v>6</v>
      </c>
      <c r="F1395">
        <v>2</v>
      </c>
      <c r="G1395">
        <v>71.400000000000006</v>
      </c>
    </row>
    <row r="1396" spans="1:7">
      <c r="A1396">
        <v>117</v>
      </c>
      <c r="B1396" s="1">
        <v>45992</v>
      </c>
      <c r="C1396">
        <v>19</v>
      </c>
      <c r="D1396">
        <v>12</v>
      </c>
      <c r="E1396">
        <v>7</v>
      </c>
      <c r="F1396">
        <v>3</v>
      </c>
      <c r="G1396">
        <v>63.2</v>
      </c>
    </row>
    <row r="1397" spans="1:7">
      <c r="A1397">
        <v>117</v>
      </c>
      <c r="B1397" s="1">
        <v>46023</v>
      </c>
      <c r="C1397">
        <v>18</v>
      </c>
      <c r="D1397">
        <v>10</v>
      </c>
      <c r="E1397">
        <v>8</v>
      </c>
      <c r="F1397">
        <v>0</v>
      </c>
      <c r="G1397">
        <v>55.6</v>
      </c>
    </row>
    <row r="1398" spans="1:7">
      <c r="A1398">
        <v>117</v>
      </c>
      <c r="B1398" s="1">
        <v>46054</v>
      </c>
      <c r="C1398">
        <v>19</v>
      </c>
      <c r="D1398">
        <v>10</v>
      </c>
      <c r="E1398">
        <v>9</v>
      </c>
      <c r="F1398">
        <v>2</v>
      </c>
      <c r="G1398">
        <v>52.6</v>
      </c>
    </row>
    <row r="1399" spans="1:7">
      <c r="A1399">
        <v>117</v>
      </c>
      <c r="B1399" s="1">
        <v>46082</v>
      </c>
      <c r="C1399">
        <v>19</v>
      </c>
      <c r="D1399">
        <v>10</v>
      </c>
      <c r="E1399">
        <v>9</v>
      </c>
      <c r="F1399">
        <v>0</v>
      </c>
      <c r="G1399">
        <v>52.6</v>
      </c>
    </row>
    <row r="1400" spans="1:7">
      <c r="A1400">
        <v>117</v>
      </c>
      <c r="B1400" s="1">
        <v>46113</v>
      </c>
      <c r="C1400">
        <v>20</v>
      </c>
      <c r="D1400">
        <v>15</v>
      </c>
      <c r="E1400">
        <v>5</v>
      </c>
      <c r="F1400">
        <v>6</v>
      </c>
      <c r="G1400">
        <v>75</v>
      </c>
    </row>
    <row r="1401" spans="1:7">
      <c r="A1401">
        <v>117</v>
      </c>
      <c r="B1401" s="1">
        <v>46143</v>
      </c>
      <c r="C1401">
        <v>20</v>
      </c>
      <c r="D1401">
        <v>13</v>
      </c>
      <c r="E1401">
        <v>7</v>
      </c>
      <c r="F1401">
        <v>5</v>
      </c>
      <c r="G1401">
        <v>65</v>
      </c>
    </row>
    <row r="1402" spans="1:7">
      <c r="A1402">
        <v>117</v>
      </c>
      <c r="B1402" s="1">
        <v>46174</v>
      </c>
      <c r="C1402">
        <v>22</v>
      </c>
      <c r="D1402">
        <v>13</v>
      </c>
      <c r="E1402">
        <v>9</v>
      </c>
      <c r="F1402">
        <v>6</v>
      </c>
      <c r="G1402">
        <v>59.1</v>
      </c>
    </row>
    <row r="1403" spans="1:7">
      <c r="A1403">
        <v>117</v>
      </c>
      <c r="B1403" s="1">
        <v>46204</v>
      </c>
      <c r="C1403">
        <v>20</v>
      </c>
      <c r="D1403">
        <v>11</v>
      </c>
      <c r="E1403">
        <v>9</v>
      </c>
      <c r="F1403">
        <v>4</v>
      </c>
      <c r="G1403">
        <v>55</v>
      </c>
    </row>
    <row r="1404" spans="1:7">
      <c r="A1404">
        <v>117</v>
      </c>
      <c r="B1404" s="1">
        <v>46235</v>
      </c>
      <c r="C1404">
        <v>19</v>
      </c>
      <c r="D1404">
        <v>16</v>
      </c>
      <c r="E1404">
        <v>3</v>
      </c>
      <c r="F1404">
        <v>3</v>
      </c>
      <c r="G1404">
        <v>84.2</v>
      </c>
    </row>
    <row r="1405" spans="1:7">
      <c r="A1405">
        <v>117</v>
      </c>
      <c r="B1405" s="1">
        <v>46266</v>
      </c>
      <c r="C1405">
        <v>20</v>
      </c>
      <c r="D1405">
        <v>13</v>
      </c>
      <c r="E1405">
        <v>7</v>
      </c>
      <c r="F1405">
        <v>4</v>
      </c>
      <c r="G1405">
        <v>65</v>
      </c>
    </row>
    <row r="1406" spans="1:7">
      <c r="A1406">
        <v>118</v>
      </c>
      <c r="B1406" s="1">
        <v>45931</v>
      </c>
      <c r="C1406">
        <v>22</v>
      </c>
      <c r="D1406">
        <v>22</v>
      </c>
      <c r="E1406">
        <v>0</v>
      </c>
      <c r="F1406">
        <v>2</v>
      </c>
      <c r="G1406">
        <v>100</v>
      </c>
    </row>
    <row r="1407" spans="1:7">
      <c r="A1407">
        <v>118</v>
      </c>
      <c r="B1407" s="1">
        <v>45962</v>
      </c>
      <c r="C1407">
        <v>22</v>
      </c>
      <c r="D1407">
        <v>20</v>
      </c>
      <c r="E1407">
        <v>2</v>
      </c>
      <c r="F1407">
        <v>1</v>
      </c>
      <c r="G1407">
        <v>90.9</v>
      </c>
    </row>
    <row r="1408" spans="1:7">
      <c r="A1408">
        <v>118</v>
      </c>
      <c r="B1408" s="1">
        <v>45992</v>
      </c>
      <c r="C1408">
        <v>21</v>
      </c>
      <c r="D1408">
        <v>21</v>
      </c>
      <c r="E1408">
        <v>0</v>
      </c>
      <c r="F1408">
        <v>2</v>
      </c>
      <c r="G1408">
        <v>100</v>
      </c>
    </row>
    <row r="1409" spans="1:7">
      <c r="A1409">
        <v>118</v>
      </c>
      <c r="B1409" s="1">
        <v>46023</v>
      </c>
      <c r="C1409">
        <v>21</v>
      </c>
      <c r="D1409">
        <v>21</v>
      </c>
      <c r="E1409">
        <v>0</v>
      </c>
      <c r="F1409">
        <v>1</v>
      </c>
      <c r="G1409">
        <v>100</v>
      </c>
    </row>
    <row r="1410" spans="1:7">
      <c r="A1410">
        <v>118</v>
      </c>
      <c r="B1410" s="1">
        <v>46054</v>
      </c>
      <c r="C1410">
        <v>19</v>
      </c>
      <c r="D1410">
        <v>16</v>
      </c>
      <c r="E1410">
        <v>3</v>
      </c>
      <c r="F1410">
        <v>5</v>
      </c>
      <c r="G1410">
        <v>84.2</v>
      </c>
    </row>
    <row r="1411" spans="1:7">
      <c r="A1411">
        <v>118</v>
      </c>
      <c r="B1411" s="1">
        <v>46082</v>
      </c>
      <c r="C1411">
        <v>22</v>
      </c>
      <c r="D1411">
        <v>22</v>
      </c>
      <c r="E1411">
        <v>0</v>
      </c>
      <c r="F1411">
        <v>0</v>
      </c>
      <c r="G1411">
        <v>100</v>
      </c>
    </row>
    <row r="1412" spans="1:7">
      <c r="A1412">
        <v>118</v>
      </c>
      <c r="B1412" s="1">
        <v>46113</v>
      </c>
      <c r="C1412">
        <v>20</v>
      </c>
      <c r="D1412">
        <v>20</v>
      </c>
      <c r="E1412">
        <v>0</v>
      </c>
      <c r="F1412">
        <v>3</v>
      </c>
      <c r="G1412">
        <v>100</v>
      </c>
    </row>
    <row r="1413" spans="1:7">
      <c r="A1413">
        <v>118</v>
      </c>
      <c r="B1413" s="1">
        <v>46143</v>
      </c>
      <c r="C1413">
        <v>20</v>
      </c>
      <c r="D1413">
        <v>20</v>
      </c>
      <c r="E1413">
        <v>0</v>
      </c>
      <c r="F1413">
        <v>1</v>
      </c>
      <c r="G1413">
        <v>100</v>
      </c>
    </row>
    <row r="1414" spans="1:7">
      <c r="A1414">
        <v>118</v>
      </c>
      <c r="B1414" s="1">
        <v>46174</v>
      </c>
      <c r="C1414">
        <v>19</v>
      </c>
      <c r="D1414">
        <v>19</v>
      </c>
      <c r="E1414">
        <v>0</v>
      </c>
      <c r="F1414">
        <v>1</v>
      </c>
      <c r="G1414">
        <v>100</v>
      </c>
    </row>
    <row r="1415" spans="1:7">
      <c r="A1415">
        <v>118</v>
      </c>
      <c r="B1415" s="1">
        <v>46204</v>
      </c>
      <c r="C1415">
        <v>22</v>
      </c>
      <c r="D1415">
        <v>22</v>
      </c>
      <c r="E1415">
        <v>0</v>
      </c>
      <c r="F1415">
        <v>3</v>
      </c>
      <c r="G1415">
        <v>100</v>
      </c>
    </row>
    <row r="1416" spans="1:7">
      <c r="A1416">
        <v>118</v>
      </c>
      <c r="B1416" s="1">
        <v>46235</v>
      </c>
      <c r="C1416">
        <v>20</v>
      </c>
      <c r="D1416">
        <v>20</v>
      </c>
      <c r="E1416">
        <v>0</v>
      </c>
      <c r="F1416">
        <v>0</v>
      </c>
      <c r="G1416">
        <v>100</v>
      </c>
    </row>
    <row r="1417" spans="1:7">
      <c r="A1417">
        <v>118</v>
      </c>
      <c r="B1417" s="1">
        <v>46266</v>
      </c>
      <c r="C1417">
        <v>22</v>
      </c>
      <c r="D1417">
        <v>22</v>
      </c>
      <c r="E1417">
        <v>0</v>
      </c>
      <c r="F1417">
        <v>0</v>
      </c>
      <c r="G1417">
        <v>100</v>
      </c>
    </row>
    <row r="1418" spans="1:7">
      <c r="A1418">
        <v>119</v>
      </c>
      <c r="B1418" s="1">
        <v>45931</v>
      </c>
      <c r="C1418">
        <v>22</v>
      </c>
      <c r="D1418">
        <v>15</v>
      </c>
      <c r="E1418">
        <v>7</v>
      </c>
      <c r="F1418">
        <v>5</v>
      </c>
      <c r="G1418">
        <v>68.2</v>
      </c>
    </row>
    <row r="1419" spans="1:7">
      <c r="A1419">
        <v>119</v>
      </c>
      <c r="B1419" s="1">
        <v>45962</v>
      </c>
      <c r="C1419">
        <v>22</v>
      </c>
      <c r="D1419">
        <v>14</v>
      </c>
      <c r="E1419">
        <v>8</v>
      </c>
      <c r="F1419">
        <v>6</v>
      </c>
      <c r="G1419">
        <v>63.6</v>
      </c>
    </row>
    <row r="1420" spans="1:7">
      <c r="A1420">
        <v>119</v>
      </c>
      <c r="B1420" s="1">
        <v>45992</v>
      </c>
      <c r="C1420">
        <v>20</v>
      </c>
      <c r="D1420">
        <v>14</v>
      </c>
      <c r="E1420">
        <v>6</v>
      </c>
      <c r="F1420">
        <v>6</v>
      </c>
      <c r="G1420">
        <v>70</v>
      </c>
    </row>
    <row r="1421" spans="1:7">
      <c r="A1421">
        <v>119</v>
      </c>
      <c r="B1421" s="1">
        <v>46023</v>
      </c>
      <c r="C1421">
        <v>22</v>
      </c>
      <c r="D1421">
        <v>12</v>
      </c>
      <c r="E1421">
        <v>10</v>
      </c>
      <c r="F1421">
        <v>0</v>
      </c>
      <c r="G1421">
        <v>54.5</v>
      </c>
    </row>
    <row r="1422" spans="1:7">
      <c r="A1422">
        <v>119</v>
      </c>
      <c r="B1422" s="1">
        <v>46054</v>
      </c>
      <c r="C1422">
        <v>18</v>
      </c>
      <c r="D1422">
        <v>10</v>
      </c>
      <c r="E1422">
        <v>8</v>
      </c>
      <c r="F1422">
        <v>6</v>
      </c>
      <c r="G1422">
        <v>55.6</v>
      </c>
    </row>
    <row r="1423" spans="1:7">
      <c r="A1423">
        <v>119</v>
      </c>
      <c r="B1423" s="1">
        <v>46082</v>
      </c>
      <c r="C1423">
        <v>19</v>
      </c>
      <c r="D1423">
        <v>13</v>
      </c>
      <c r="E1423">
        <v>6</v>
      </c>
      <c r="F1423">
        <v>6</v>
      </c>
      <c r="G1423">
        <v>68.400000000000006</v>
      </c>
    </row>
    <row r="1424" spans="1:7">
      <c r="A1424">
        <v>119</v>
      </c>
      <c r="B1424" s="1">
        <v>46113</v>
      </c>
      <c r="C1424">
        <v>21</v>
      </c>
      <c r="D1424">
        <v>11</v>
      </c>
      <c r="E1424">
        <v>10</v>
      </c>
      <c r="F1424">
        <v>5</v>
      </c>
      <c r="G1424">
        <v>52.4</v>
      </c>
    </row>
    <row r="1425" spans="1:7">
      <c r="A1425">
        <v>119</v>
      </c>
      <c r="B1425" s="1">
        <v>46143</v>
      </c>
      <c r="C1425">
        <v>20</v>
      </c>
      <c r="D1425">
        <v>12</v>
      </c>
      <c r="E1425">
        <v>8</v>
      </c>
      <c r="F1425">
        <v>2</v>
      </c>
      <c r="G1425">
        <v>60</v>
      </c>
    </row>
    <row r="1426" spans="1:7">
      <c r="A1426">
        <v>119</v>
      </c>
      <c r="B1426" s="1">
        <v>46174</v>
      </c>
      <c r="C1426">
        <v>22</v>
      </c>
      <c r="D1426">
        <v>15</v>
      </c>
      <c r="E1426">
        <v>7</v>
      </c>
      <c r="F1426">
        <v>3</v>
      </c>
      <c r="G1426">
        <v>68.2</v>
      </c>
    </row>
    <row r="1427" spans="1:7">
      <c r="A1427">
        <v>119</v>
      </c>
      <c r="B1427" s="1">
        <v>46204</v>
      </c>
      <c r="C1427">
        <v>22</v>
      </c>
      <c r="D1427">
        <v>17</v>
      </c>
      <c r="E1427">
        <v>5</v>
      </c>
      <c r="F1427">
        <v>6</v>
      </c>
      <c r="G1427">
        <v>77.3</v>
      </c>
    </row>
    <row r="1428" spans="1:7">
      <c r="A1428">
        <v>119</v>
      </c>
      <c r="B1428" s="1">
        <v>46235</v>
      </c>
      <c r="C1428">
        <v>20</v>
      </c>
      <c r="D1428">
        <v>15</v>
      </c>
      <c r="E1428">
        <v>5</v>
      </c>
      <c r="F1428">
        <v>6</v>
      </c>
      <c r="G1428">
        <v>75</v>
      </c>
    </row>
    <row r="1429" spans="1:7">
      <c r="A1429">
        <v>119</v>
      </c>
      <c r="B1429" s="1">
        <v>46266</v>
      </c>
      <c r="C1429">
        <v>19</v>
      </c>
      <c r="D1429">
        <v>10</v>
      </c>
      <c r="E1429">
        <v>9</v>
      </c>
      <c r="F1429">
        <v>1</v>
      </c>
      <c r="G1429">
        <v>52.6</v>
      </c>
    </row>
    <row r="1430" spans="1:7">
      <c r="A1430">
        <v>120</v>
      </c>
      <c r="B1430" s="1">
        <v>45931</v>
      </c>
      <c r="C1430">
        <v>19</v>
      </c>
      <c r="D1430">
        <v>10</v>
      </c>
      <c r="E1430">
        <v>9</v>
      </c>
      <c r="F1430">
        <v>2</v>
      </c>
      <c r="G1430">
        <v>52.6</v>
      </c>
    </row>
    <row r="1431" spans="1:7">
      <c r="A1431">
        <v>120</v>
      </c>
      <c r="B1431" s="1">
        <v>45962</v>
      </c>
      <c r="C1431">
        <v>18</v>
      </c>
      <c r="D1431">
        <v>12</v>
      </c>
      <c r="E1431">
        <v>6</v>
      </c>
      <c r="F1431">
        <v>3</v>
      </c>
      <c r="G1431">
        <v>66.7</v>
      </c>
    </row>
    <row r="1432" spans="1:7">
      <c r="A1432">
        <v>120</v>
      </c>
      <c r="B1432" s="1">
        <v>45992</v>
      </c>
      <c r="C1432">
        <v>22</v>
      </c>
      <c r="D1432">
        <v>17</v>
      </c>
      <c r="E1432">
        <v>5</v>
      </c>
      <c r="F1432">
        <v>0</v>
      </c>
      <c r="G1432">
        <v>77.3</v>
      </c>
    </row>
    <row r="1433" spans="1:7">
      <c r="A1433">
        <v>120</v>
      </c>
      <c r="B1433" s="1">
        <v>46023</v>
      </c>
      <c r="C1433">
        <v>19</v>
      </c>
      <c r="D1433">
        <v>15</v>
      </c>
      <c r="E1433">
        <v>4</v>
      </c>
      <c r="F1433">
        <v>5</v>
      </c>
      <c r="G1433">
        <v>78.900000000000006</v>
      </c>
    </row>
    <row r="1434" spans="1:7">
      <c r="A1434">
        <v>120</v>
      </c>
      <c r="B1434" s="1">
        <v>46054</v>
      </c>
      <c r="C1434">
        <v>21</v>
      </c>
      <c r="D1434">
        <v>19</v>
      </c>
      <c r="E1434">
        <v>2</v>
      </c>
      <c r="F1434">
        <v>5</v>
      </c>
      <c r="G1434">
        <v>90.5</v>
      </c>
    </row>
    <row r="1435" spans="1:7">
      <c r="A1435">
        <v>120</v>
      </c>
      <c r="B1435" s="1">
        <v>46082</v>
      </c>
      <c r="C1435">
        <v>22</v>
      </c>
      <c r="D1435">
        <v>18</v>
      </c>
      <c r="E1435">
        <v>4</v>
      </c>
      <c r="F1435">
        <v>5</v>
      </c>
      <c r="G1435">
        <v>81.8</v>
      </c>
    </row>
    <row r="1436" spans="1:7">
      <c r="A1436">
        <v>120</v>
      </c>
      <c r="B1436" s="1">
        <v>46113</v>
      </c>
      <c r="C1436">
        <v>21</v>
      </c>
      <c r="D1436">
        <v>19</v>
      </c>
      <c r="E1436">
        <v>2</v>
      </c>
      <c r="F1436">
        <v>4</v>
      </c>
      <c r="G1436">
        <v>90.5</v>
      </c>
    </row>
    <row r="1437" spans="1:7">
      <c r="A1437">
        <v>120</v>
      </c>
      <c r="B1437" s="1">
        <v>46143</v>
      </c>
      <c r="C1437">
        <v>20</v>
      </c>
      <c r="D1437">
        <v>13</v>
      </c>
      <c r="E1437">
        <v>7</v>
      </c>
      <c r="F1437">
        <v>5</v>
      </c>
      <c r="G1437">
        <v>65</v>
      </c>
    </row>
    <row r="1438" spans="1:7">
      <c r="A1438">
        <v>120</v>
      </c>
      <c r="B1438" s="1">
        <v>46174</v>
      </c>
      <c r="C1438">
        <v>21</v>
      </c>
      <c r="D1438">
        <v>17</v>
      </c>
      <c r="E1438">
        <v>4</v>
      </c>
      <c r="F1438">
        <v>1</v>
      </c>
      <c r="G1438">
        <v>81</v>
      </c>
    </row>
    <row r="1439" spans="1:7">
      <c r="A1439">
        <v>120</v>
      </c>
      <c r="B1439" s="1">
        <v>46204</v>
      </c>
      <c r="C1439">
        <v>18</v>
      </c>
      <c r="D1439">
        <v>15</v>
      </c>
      <c r="E1439">
        <v>3</v>
      </c>
      <c r="F1439">
        <v>1</v>
      </c>
      <c r="G1439">
        <v>83.3</v>
      </c>
    </row>
    <row r="1440" spans="1:7">
      <c r="A1440">
        <v>120</v>
      </c>
      <c r="B1440" s="1">
        <v>46235</v>
      </c>
      <c r="C1440">
        <v>18</v>
      </c>
      <c r="D1440">
        <v>13</v>
      </c>
      <c r="E1440">
        <v>5</v>
      </c>
      <c r="F1440">
        <v>1</v>
      </c>
      <c r="G1440">
        <v>72.2</v>
      </c>
    </row>
    <row r="1441" spans="1:7">
      <c r="A1441">
        <v>120</v>
      </c>
      <c r="B1441" s="1">
        <v>46266</v>
      </c>
      <c r="C1441">
        <v>18</v>
      </c>
      <c r="D1441">
        <v>17</v>
      </c>
      <c r="E1441">
        <v>1</v>
      </c>
      <c r="F1441">
        <v>1</v>
      </c>
      <c r="G1441">
        <v>94.4</v>
      </c>
    </row>
    <row r="1442" spans="1:7">
      <c r="A1442">
        <v>121</v>
      </c>
      <c r="B1442" s="1">
        <v>45931</v>
      </c>
      <c r="C1442">
        <v>21</v>
      </c>
      <c r="D1442">
        <v>18</v>
      </c>
      <c r="E1442">
        <v>3</v>
      </c>
      <c r="F1442">
        <v>3</v>
      </c>
      <c r="G1442">
        <v>85.7</v>
      </c>
    </row>
    <row r="1443" spans="1:7">
      <c r="A1443">
        <v>121</v>
      </c>
      <c r="B1443" s="1">
        <v>45962</v>
      </c>
      <c r="C1443">
        <v>22</v>
      </c>
      <c r="D1443">
        <v>20</v>
      </c>
      <c r="E1443">
        <v>2</v>
      </c>
      <c r="F1443">
        <v>1</v>
      </c>
      <c r="G1443">
        <v>90.9</v>
      </c>
    </row>
    <row r="1444" spans="1:7">
      <c r="A1444">
        <v>121</v>
      </c>
      <c r="B1444" s="1">
        <v>45992</v>
      </c>
      <c r="C1444">
        <v>18</v>
      </c>
      <c r="D1444">
        <v>14</v>
      </c>
      <c r="E1444">
        <v>4</v>
      </c>
      <c r="F1444">
        <v>3</v>
      </c>
      <c r="G1444">
        <v>77.8</v>
      </c>
    </row>
    <row r="1445" spans="1:7">
      <c r="A1445">
        <v>121</v>
      </c>
      <c r="B1445" s="1">
        <v>46023</v>
      </c>
      <c r="C1445">
        <v>21</v>
      </c>
      <c r="D1445">
        <v>15</v>
      </c>
      <c r="E1445">
        <v>6</v>
      </c>
      <c r="F1445">
        <v>0</v>
      </c>
      <c r="G1445">
        <v>71.400000000000006</v>
      </c>
    </row>
    <row r="1446" spans="1:7">
      <c r="A1446">
        <v>121</v>
      </c>
      <c r="B1446" s="1">
        <v>46054</v>
      </c>
      <c r="C1446">
        <v>18</v>
      </c>
      <c r="D1446">
        <v>13</v>
      </c>
      <c r="E1446">
        <v>5</v>
      </c>
      <c r="F1446">
        <v>5</v>
      </c>
      <c r="G1446">
        <v>72.2</v>
      </c>
    </row>
    <row r="1447" spans="1:7">
      <c r="A1447">
        <v>121</v>
      </c>
      <c r="B1447" s="1">
        <v>46082</v>
      </c>
      <c r="C1447">
        <v>21</v>
      </c>
      <c r="D1447">
        <v>16</v>
      </c>
      <c r="E1447">
        <v>5</v>
      </c>
      <c r="F1447">
        <v>3</v>
      </c>
      <c r="G1447">
        <v>76.2</v>
      </c>
    </row>
    <row r="1448" spans="1:7">
      <c r="A1448">
        <v>121</v>
      </c>
      <c r="B1448" s="1">
        <v>46113</v>
      </c>
      <c r="C1448">
        <v>21</v>
      </c>
      <c r="D1448">
        <v>15</v>
      </c>
      <c r="E1448">
        <v>6</v>
      </c>
      <c r="F1448">
        <v>1</v>
      </c>
      <c r="G1448">
        <v>71.400000000000006</v>
      </c>
    </row>
    <row r="1449" spans="1:7">
      <c r="A1449">
        <v>121</v>
      </c>
      <c r="B1449" s="1">
        <v>46143</v>
      </c>
      <c r="C1449">
        <v>19</v>
      </c>
      <c r="D1449">
        <v>14</v>
      </c>
      <c r="E1449">
        <v>5</v>
      </c>
      <c r="F1449">
        <v>2</v>
      </c>
      <c r="G1449">
        <v>73.7</v>
      </c>
    </row>
    <row r="1450" spans="1:7">
      <c r="A1450">
        <v>121</v>
      </c>
      <c r="B1450" s="1">
        <v>46174</v>
      </c>
      <c r="C1450">
        <v>22</v>
      </c>
      <c r="D1450">
        <v>17</v>
      </c>
      <c r="E1450">
        <v>5</v>
      </c>
      <c r="F1450">
        <v>2</v>
      </c>
      <c r="G1450">
        <v>77.3</v>
      </c>
    </row>
    <row r="1451" spans="1:7">
      <c r="A1451">
        <v>121</v>
      </c>
      <c r="B1451" s="1">
        <v>46204</v>
      </c>
      <c r="C1451">
        <v>18</v>
      </c>
      <c r="D1451">
        <v>15</v>
      </c>
      <c r="E1451">
        <v>3</v>
      </c>
      <c r="F1451">
        <v>0</v>
      </c>
      <c r="G1451">
        <v>83.3</v>
      </c>
    </row>
    <row r="1452" spans="1:7">
      <c r="A1452">
        <v>121</v>
      </c>
      <c r="B1452" s="1">
        <v>46235</v>
      </c>
      <c r="C1452">
        <v>21</v>
      </c>
      <c r="D1452">
        <v>13</v>
      </c>
      <c r="E1452">
        <v>8</v>
      </c>
      <c r="F1452">
        <v>5</v>
      </c>
      <c r="G1452">
        <v>61.9</v>
      </c>
    </row>
    <row r="1453" spans="1:7">
      <c r="A1453">
        <v>121</v>
      </c>
      <c r="B1453" s="1">
        <v>46266</v>
      </c>
      <c r="C1453">
        <v>22</v>
      </c>
      <c r="D1453">
        <v>18</v>
      </c>
      <c r="E1453">
        <v>4</v>
      </c>
      <c r="F1453">
        <v>4</v>
      </c>
      <c r="G1453">
        <v>81.8</v>
      </c>
    </row>
    <row r="1454" spans="1:7">
      <c r="A1454">
        <v>122</v>
      </c>
      <c r="B1454" s="1">
        <v>45931</v>
      </c>
      <c r="C1454">
        <v>22</v>
      </c>
      <c r="D1454">
        <v>18</v>
      </c>
      <c r="E1454">
        <v>4</v>
      </c>
      <c r="F1454">
        <v>3</v>
      </c>
      <c r="G1454">
        <v>81.8</v>
      </c>
    </row>
    <row r="1455" spans="1:7">
      <c r="A1455">
        <v>122</v>
      </c>
      <c r="B1455" s="1">
        <v>45962</v>
      </c>
      <c r="C1455">
        <v>21</v>
      </c>
      <c r="D1455">
        <v>18</v>
      </c>
      <c r="E1455">
        <v>3</v>
      </c>
      <c r="F1455">
        <v>4</v>
      </c>
      <c r="G1455">
        <v>85.7</v>
      </c>
    </row>
    <row r="1456" spans="1:7">
      <c r="A1456">
        <v>122</v>
      </c>
      <c r="B1456" s="1">
        <v>45992</v>
      </c>
      <c r="C1456">
        <v>22</v>
      </c>
      <c r="D1456">
        <v>19</v>
      </c>
      <c r="E1456">
        <v>3</v>
      </c>
      <c r="F1456">
        <v>6</v>
      </c>
      <c r="G1456">
        <v>86.4</v>
      </c>
    </row>
    <row r="1457" spans="1:7">
      <c r="A1457">
        <v>122</v>
      </c>
      <c r="B1457" s="1">
        <v>46023</v>
      </c>
      <c r="C1457">
        <v>21</v>
      </c>
      <c r="D1457">
        <v>21</v>
      </c>
      <c r="E1457">
        <v>0</v>
      </c>
      <c r="F1457">
        <v>1</v>
      </c>
      <c r="G1457">
        <v>100</v>
      </c>
    </row>
    <row r="1458" spans="1:7">
      <c r="A1458">
        <v>122</v>
      </c>
      <c r="B1458" s="1">
        <v>46054</v>
      </c>
      <c r="C1458">
        <v>18</v>
      </c>
      <c r="D1458">
        <v>17</v>
      </c>
      <c r="E1458">
        <v>1</v>
      </c>
      <c r="F1458">
        <v>2</v>
      </c>
      <c r="G1458">
        <v>94.4</v>
      </c>
    </row>
    <row r="1459" spans="1:7">
      <c r="A1459">
        <v>122</v>
      </c>
      <c r="B1459" s="1">
        <v>46082</v>
      </c>
      <c r="C1459">
        <v>22</v>
      </c>
      <c r="D1459">
        <v>19</v>
      </c>
      <c r="E1459">
        <v>3</v>
      </c>
      <c r="F1459">
        <v>0</v>
      </c>
      <c r="G1459">
        <v>86.4</v>
      </c>
    </row>
    <row r="1460" spans="1:7">
      <c r="A1460">
        <v>122</v>
      </c>
      <c r="B1460" s="1">
        <v>46113</v>
      </c>
      <c r="C1460">
        <v>20</v>
      </c>
      <c r="D1460">
        <v>15</v>
      </c>
      <c r="E1460">
        <v>5</v>
      </c>
      <c r="F1460">
        <v>3</v>
      </c>
      <c r="G1460">
        <v>75</v>
      </c>
    </row>
    <row r="1461" spans="1:7">
      <c r="A1461">
        <v>122</v>
      </c>
      <c r="B1461" s="1">
        <v>46143</v>
      </c>
      <c r="C1461">
        <v>18</v>
      </c>
      <c r="D1461">
        <v>16</v>
      </c>
      <c r="E1461">
        <v>2</v>
      </c>
      <c r="F1461">
        <v>3</v>
      </c>
      <c r="G1461">
        <v>88.9</v>
      </c>
    </row>
    <row r="1462" spans="1:7">
      <c r="A1462">
        <v>122</v>
      </c>
      <c r="B1462" s="1">
        <v>46174</v>
      </c>
      <c r="C1462">
        <v>22</v>
      </c>
      <c r="D1462">
        <v>17</v>
      </c>
      <c r="E1462">
        <v>5</v>
      </c>
      <c r="F1462">
        <v>5</v>
      </c>
      <c r="G1462">
        <v>77.3</v>
      </c>
    </row>
    <row r="1463" spans="1:7">
      <c r="A1463">
        <v>122</v>
      </c>
      <c r="B1463" s="1">
        <v>46204</v>
      </c>
      <c r="C1463">
        <v>21</v>
      </c>
      <c r="D1463">
        <v>18</v>
      </c>
      <c r="E1463">
        <v>3</v>
      </c>
      <c r="F1463">
        <v>0</v>
      </c>
      <c r="G1463">
        <v>85.7</v>
      </c>
    </row>
    <row r="1464" spans="1:7">
      <c r="A1464">
        <v>122</v>
      </c>
      <c r="B1464" s="1">
        <v>46235</v>
      </c>
      <c r="C1464">
        <v>19</v>
      </c>
      <c r="D1464">
        <v>16</v>
      </c>
      <c r="E1464">
        <v>3</v>
      </c>
      <c r="F1464">
        <v>2</v>
      </c>
      <c r="G1464">
        <v>84.2</v>
      </c>
    </row>
    <row r="1465" spans="1:7">
      <c r="A1465">
        <v>122</v>
      </c>
      <c r="B1465" s="1">
        <v>46266</v>
      </c>
      <c r="C1465">
        <v>21</v>
      </c>
      <c r="D1465">
        <v>16</v>
      </c>
      <c r="E1465">
        <v>5</v>
      </c>
      <c r="F1465">
        <v>1</v>
      </c>
      <c r="G1465">
        <v>76.2</v>
      </c>
    </row>
    <row r="1466" spans="1:7">
      <c r="A1466">
        <v>123</v>
      </c>
      <c r="B1466" s="1">
        <v>45931</v>
      </c>
      <c r="C1466">
        <v>22</v>
      </c>
      <c r="D1466">
        <v>18</v>
      </c>
      <c r="E1466">
        <v>4</v>
      </c>
      <c r="F1466">
        <v>2</v>
      </c>
      <c r="G1466">
        <v>81.8</v>
      </c>
    </row>
    <row r="1467" spans="1:7">
      <c r="A1467">
        <v>123</v>
      </c>
      <c r="B1467" s="1">
        <v>45962</v>
      </c>
      <c r="C1467">
        <v>22</v>
      </c>
      <c r="D1467">
        <v>14</v>
      </c>
      <c r="E1467">
        <v>8</v>
      </c>
      <c r="F1467">
        <v>6</v>
      </c>
      <c r="G1467">
        <v>63.6</v>
      </c>
    </row>
    <row r="1468" spans="1:7">
      <c r="A1468">
        <v>123</v>
      </c>
      <c r="B1468" s="1">
        <v>45992</v>
      </c>
      <c r="C1468">
        <v>21</v>
      </c>
      <c r="D1468">
        <v>16</v>
      </c>
      <c r="E1468">
        <v>5</v>
      </c>
      <c r="F1468">
        <v>5</v>
      </c>
      <c r="G1468">
        <v>76.2</v>
      </c>
    </row>
    <row r="1469" spans="1:7">
      <c r="A1469">
        <v>123</v>
      </c>
      <c r="B1469" s="1">
        <v>46023</v>
      </c>
      <c r="C1469">
        <v>21</v>
      </c>
      <c r="D1469">
        <v>16</v>
      </c>
      <c r="E1469">
        <v>5</v>
      </c>
      <c r="F1469">
        <v>3</v>
      </c>
      <c r="G1469">
        <v>76.2</v>
      </c>
    </row>
    <row r="1470" spans="1:7">
      <c r="A1470">
        <v>123</v>
      </c>
      <c r="B1470" s="1">
        <v>46054</v>
      </c>
      <c r="C1470">
        <v>20</v>
      </c>
      <c r="D1470">
        <v>15</v>
      </c>
      <c r="E1470">
        <v>5</v>
      </c>
      <c r="F1470">
        <v>6</v>
      </c>
      <c r="G1470">
        <v>75</v>
      </c>
    </row>
    <row r="1471" spans="1:7">
      <c r="A1471">
        <v>123</v>
      </c>
      <c r="B1471" s="1">
        <v>46082</v>
      </c>
      <c r="C1471">
        <v>19</v>
      </c>
      <c r="D1471">
        <v>19</v>
      </c>
      <c r="E1471">
        <v>0</v>
      </c>
      <c r="F1471">
        <v>1</v>
      </c>
      <c r="G1471">
        <v>100</v>
      </c>
    </row>
    <row r="1472" spans="1:7">
      <c r="A1472">
        <v>123</v>
      </c>
      <c r="B1472" s="1">
        <v>46113</v>
      </c>
      <c r="C1472">
        <v>20</v>
      </c>
      <c r="D1472">
        <v>17</v>
      </c>
      <c r="E1472">
        <v>3</v>
      </c>
      <c r="F1472">
        <v>3</v>
      </c>
      <c r="G1472">
        <v>85</v>
      </c>
    </row>
    <row r="1473" spans="1:7">
      <c r="A1473">
        <v>123</v>
      </c>
      <c r="B1473" s="1">
        <v>46143</v>
      </c>
      <c r="C1473">
        <v>19</v>
      </c>
      <c r="D1473">
        <v>16</v>
      </c>
      <c r="E1473">
        <v>3</v>
      </c>
      <c r="F1473">
        <v>1</v>
      </c>
      <c r="G1473">
        <v>84.2</v>
      </c>
    </row>
    <row r="1474" spans="1:7">
      <c r="A1474">
        <v>123</v>
      </c>
      <c r="B1474" s="1">
        <v>46174</v>
      </c>
      <c r="C1474">
        <v>19</v>
      </c>
      <c r="D1474">
        <v>14</v>
      </c>
      <c r="E1474">
        <v>5</v>
      </c>
      <c r="F1474">
        <v>6</v>
      </c>
      <c r="G1474">
        <v>73.7</v>
      </c>
    </row>
    <row r="1475" spans="1:7">
      <c r="A1475">
        <v>123</v>
      </c>
      <c r="B1475" s="1">
        <v>46204</v>
      </c>
      <c r="C1475">
        <v>21</v>
      </c>
      <c r="D1475">
        <v>16</v>
      </c>
      <c r="E1475">
        <v>5</v>
      </c>
      <c r="F1475">
        <v>3</v>
      </c>
      <c r="G1475">
        <v>76.2</v>
      </c>
    </row>
    <row r="1476" spans="1:7">
      <c r="A1476">
        <v>123</v>
      </c>
      <c r="B1476" s="1">
        <v>46235</v>
      </c>
      <c r="C1476">
        <v>20</v>
      </c>
      <c r="D1476">
        <v>16</v>
      </c>
      <c r="E1476">
        <v>4</v>
      </c>
      <c r="F1476">
        <v>0</v>
      </c>
      <c r="G1476">
        <v>80</v>
      </c>
    </row>
    <row r="1477" spans="1:7">
      <c r="A1477">
        <v>123</v>
      </c>
      <c r="B1477" s="1">
        <v>46266</v>
      </c>
      <c r="C1477">
        <v>20</v>
      </c>
      <c r="D1477">
        <v>14</v>
      </c>
      <c r="E1477">
        <v>6</v>
      </c>
      <c r="F1477">
        <v>2</v>
      </c>
      <c r="G1477">
        <v>70</v>
      </c>
    </row>
    <row r="1478" spans="1:7">
      <c r="A1478">
        <v>124</v>
      </c>
      <c r="B1478" s="1">
        <v>45931</v>
      </c>
      <c r="C1478">
        <v>20</v>
      </c>
      <c r="D1478">
        <v>16</v>
      </c>
      <c r="E1478">
        <v>4</v>
      </c>
      <c r="F1478">
        <v>6</v>
      </c>
      <c r="G1478">
        <v>80</v>
      </c>
    </row>
    <row r="1479" spans="1:7">
      <c r="A1479">
        <v>124</v>
      </c>
      <c r="B1479" s="1">
        <v>45962</v>
      </c>
      <c r="C1479">
        <v>22</v>
      </c>
      <c r="D1479">
        <v>18</v>
      </c>
      <c r="E1479">
        <v>4</v>
      </c>
      <c r="F1479">
        <v>0</v>
      </c>
      <c r="G1479">
        <v>81.8</v>
      </c>
    </row>
    <row r="1480" spans="1:7">
      <c r="A1480">
        <v>124</v>
      </c>
      <c r="B1480" s="1">
        <v>45992</v>
      </c>
      <c r="C1480">
        <v>18</v>
      </c>
      <c r="D1480">
        <v>14</v>
      </c>
      <c r="E1480">
        <v>4</v>
      </c>
      <c r="F1480">
        <v>1</v>
      </c>
      <c r="G1480">
        <v>77.8</v>
      </c>
    </row>
    <row r="1481" spans="1:7">
      <c r="A1481">
        <v>124</v>
      </c>
      <c r="B1481" s="1">
        <v>46023</v>
      </c>
      <c r="C1481">
        <v>18</v>
      </c>
      <c r="D1481">
        <v>12</v>
      </c>
      <c r="E1481">
        <v>6</v>
      </c>
      <c r="F1481">
        <v>4</v>
      </c>
      <c r="G1481">
        <v>66.7</v>
      </c>
    </row>
    <row r="1482" spans="1:7">
      <c r="A1482">
        <v>124</v>
      </c>
      <c r="B1482" s="1">
        <v>46054</v>
      </c>
      <c r="C1482">
        <v>19</v>
      </c>
      <c r="D1482">
        <v>19</v>
      </c>
      <c r="E1482">
        <v>0</v>
      </c>
      <c r="F1482">
        <v>2</v>
      </c>
      <c r="G1482">
        <v>100</v>
      </c>
    </row>
    <row r="1483" spans="1:7">
      <c r="A1483">
        <v>124</v>
      </c>
      <c r="B1483" s="1">
        <v>46082</v>
      </c>
      <c r="C1483">
        <v>18</v>
      </c>
      <c r="D1483">
        <v>13</v>
      </c>
      <c r="E1483">
        <v>5</v>
      </c>
      <c r="F1483">
        <v>6</v>
      </c>
      <c r="G1483">
        <v>72.2</v>
      </c>
    </row>
    <row r="1484" spans="1:7">
      <c r="A1484">
        <v>124</v>
      </c>
      <c r="B1484" s="1">
        <v>46113</v>
      </c>
      <c r="C1484">
        <v>22</v>
      </c>
      <c r="D1484">
        <v>17</v>
      </c>
      <c r="E1484">
        <v>5</v>
      </c>
      <c r="F1484">
        <v>5</v>
      </c>
      <c r="G1484">
        <v>77.3</v>
      </c>
    </row>
    <row r="1485" spans="1:7">
      <c r="A1485">
        <v>124</v>
      </c>
      <c r="B1485" s="1">
        <v>46143</v>
      </c>
      <c r="C1485">
        <v>22</v>
      </c>
      <c r="D1485">
        <v>16</v>
      </c>
      <c r="E1485">
        <v>6</v>
      </c>
      <c r="F1485">
        <v>4</v>
      </c>
      <c r="G1485">
        <v>72.7</v>
      </c>
    </row>
    <row r="1486" spans="1:7">
      <c r="A1486">
        <v>124</v>
      </c>
      <c r="B1486" s="1">
        <v>46174</v>
      </c>
      <c r="C1486">
        <v>18</v>
      </c>
      <c r="D1486">
        <v>15</v>
      </c>
      <c r="E1486">
        <v>3</v>
      </c>
      <c r="F1486">
        <v>3</v>
      </c>
      <c r="G1486">
        <v>83.3</v>
      </c>
    </row>
    <row r="1487" spans="1:7">
      <c r="A1487">
        <v>124</v>
      </c>
      <c r="B1487" s="1">
        <v>46204</v>
      </c>
      <c r="C1487">
        <v>21</v>
      </c>
      <c r="D1487">
        <v>21</v>
      </c>
      <c r="E1487">
        <v>0</v>
      </c>
      <c r="F1487">
        <v>0</v>
      </c>
      <c r="G1487">
        <v>100</v>
      </c>
    </row>
    <row r="1488" spans="1:7">
      <c r="A1488">
        <v>124</v>
      </c>
      <c r="B1488" s="1">
        <v>46235</v>
      </c>
      <c r="C1488">
        <v>18</v>
      </c>
      <c r="D1488">
        <v>13</v>
      </c>
      <c r="E1488">
        <v>5</v>
      </c>
      <c r="F1488">
        <v>6</v>
      </c>
      <c r="G1488">
        <v>72.2</v>
      </c>
    </row>
    <row r="1489" spans="1:7">
      <c r="A1489">
        <v>124</v>
      </c>
      <c r="B1489" s="1">
        <v>46266</v>
      </c>
      <c r="C1489">
        <v>18</v>
      </c>
      <c r="D1489">
        <v>16</v>
      </c>
      <c r="E1489">
        <v>2</v>
      </c>
      <c r="F1489">
        <v>4</v>
      </c>
      <c r="G1489">
        <v>88.9</v>
      </c>
    </row>
    <row r="1490" spans="1:7">
      <c r="A1490">
        <v>125</v>
      </c>
      <c r="B1490" s="1">
        <v>45931</v>
      </c>
      <c r="C1490">
        <v>18</v>
      </c>
      <c r="D1490">
        <v>11</v>
      </c>
      <c r="E1490">
        <v>7</v>
      </c>
      <c r="F1490">
        <v>0</v>
      </c>
      <c r="G1490">
        <v>61.1</v>
      </c>
    </row>
    <row r="1491" spans="1:7">
      <c r="A1491">
        <v>125</v>
      </c>
      <c r="B1491" s="1">
        <v>45962</v>
      </c>
      <c r="C1491">
        <v>19</v>
      </c>
      <c r="D1491">
        <v>11</v>
      </c>
      <c r="E1491">
        <v>8</v>
      </c>
      <c r="F1491">
        <v>2</v>
      </c>
      <c r="G1491">
        <v>57.9</v>
      </c>
    </row>
    <row r="1492" spans="1:7">
      <c r="A1492">
        <v>125</v>
      </c>
      <c r="B1492" s="1">
        <v>45992</v>
      </c>
      <c r="C1492">
        <v>19</v>
      </c>
      <c r="D1492">
        <v>12</v>
      </c>
      <c r="E1492">
        <v>7</v>
      </c>
      <c r="F1492">
        <v>6</v>
      </c>
      <c r="G1492">
        <v>63.2</v>
      </c>
    </row>
    <row r="1493" spans="1:7">
      <c r="A1493">
        <v>125</v>
      </c>
      <c r="B1493" s="1">
        <v>46023</v>
      </c>
      <c r="C1493">
        <v>22</v>
      </c>
      <c r="D1493">
        <v>17</v>
      </c>
      <c r="E1493">
        <v>5</v>
      </c>
      <c r="F1493">
        <v>3</v>
      </c>
      <c r="G1493">
        <v>77.3</v>
      </c>
    </row>
    <row r="1494" spans="1:7">
      <c r="A1494">
        <v>125</v>
      </c>
      <c r="B1494" s="1">
        <v>46054</v>
      </c>
      <c r="C1494">
        <v>18</v>
      </c>
      <c r="D1494">
        <v>10</v>
      </c>
      <c r="E1494">
        <v>8</v>
      </c>
      <c r="F1494">
        <v>6</v>
      </c>
      <c r="G1494">
        <v>55.6</v>
      </c>
    </row>
    <row r="1495" spans="1:7">
      <c r="A1495">
        <v>125</v>
      </c>
      <c r="B1495" s="1">
        <v>46082</v>
      </c>
      <c r="C1495">
        <v>19</v>
      </c>
      <c r="D1495">
        <v>10</v>
      </c>
      <c r="E1495">
        <v>9</v>
      </c>
      <c r="F1495">
        <v>0</v>
      </c>
      <c r="G1495">
        <v>52.6</v>
      </c>
    </row>
    <row r="1496" spans="1:7">
      <c r="A1496">
        <v>125</v>
      </c>
      <c r="B1496" s="1">
        <v>46113</v>
      </c>
      <c r="C1496">
        <v>19</v>
      </c>
      <c r="D1496">
        <v>13</v>
      </c>
      <c r="E1496">
        <v>6</v>
      </c>
      <c r="F1496">
        <v>6</v>
      </c>
      <c r="G1496">
        <v>68.400000000000006</v>
      </c>
    </row>
    <row r="1497" spans="1:7">
      <c r="A1497">
        <v>125</v>
      </c>
      <c r="B1497" s="1">
        <v>46143</v>
      </c>
      <c r="C1497">
        <v>18</v>
      </c>
      <c r="D1497">
        <v>10</v>
      </c>
      <c r="E1497">
        <v>8</v>
      </c>
      <c r="F1497">
        <v>1</v>
      </c>
      <c r="G1497">
        <v>55.6</v>
      </c>
    </row>
    <row r="1498" spans="1:7">
      <c r="A1498">
        <v>125</v>
      </c>
      <c r="B1498" s="1">
        <v>46174</v>
      </c>
      <c r="C1498">
        <v>21</v>
      </c>
      <c r="D1498">
        <v>14</v>
      </c>
      <c r="E1498">
        <v>7</v>
      </c>
      <c r="F1498">
        <v>0</v>
      </c>
      <c r="G1498">
        <v>66.7</v>
      </c>
    </row>
    <row r="1499" spans="1:7">
      <c r="A1499">
        <v>125</v>
      </c>
      <c r="B1499" s="1">
        <v>46204</v>
      </c>
      <c r="C1499">
        <v>20</v>
      </c>
      <c r="D1499">
        <v>10</v>
      </c>
      <c r="E1499">
        <v>10</v>
      </c>
      <c r="F1499">
        <v>2</v>
      </c>
      <c r="G1499">
        <v>50</v>
      </c>
    </row>
    <row r="1500" spans="1:7">
      <c r="A1500">
        <v>125</v>
      </c>
      <c r="B1500" s="1">
        <v>46235</v>
      </c>
      <c r="C1500">
        <v>21</v>
      </c>
      <c r="D1500">
        <v>15</v>
      </c>
      <c r="E1500">
        <v>6</v>
      </c>
      <c r="F1500">
        <v>1</v>
      </c>
      <c r="G1500">
        <v>71.400000000000006</v>
      </c>
    </row>
    <row r="1501" spans="1:7">
      <c r="A1501">
        <v>125</v>
      </c>
      <c r="B1501" s="1">
        <v>46266</v>
      </c>
      <c r="C1501">
        <v>22</v>
      </c>
      <c r="D1501">
        <v>12</v>
      </c>
      <c r="E1501">
        <v>10</v>
      </c>
      <c r="F1501">
        <v>3</v>
      </c>
      <c r="G1501">
        <v>54.5</v>
      </c>
    </row>
    <row r="1502" spans="1:7">
      <c r="A1502">
        <v>126</v>
      </c>
      <c r="B1502" s="1">
        <v>45931</v>
      </c>
      <c r="C1502">
        <v>19</v>
      </c>
      <c r="D1502">
        <v>17</v>
      </c>
      <c r="E1502">
        <v>2</v>
      </c>
      <c r="F1502">
        <v>3</v>
      </c>
      <c r="G1502">
        <v>89.5</v>
      </c>
    </row>
    <row r="1503" spans="1:7">
      <c r="A1503">
        <v>126</v>
      </c>
      <c r="B1503" s="1">
        <v>45962</v>
      </c>
      <c r="C1503">
        <v>21</v>
      </c>
      <c r="D1503">
        <v>18</v>
      </c>
      <c r="E1503">
        <v>3</v>
      </c>
      <c r="F1503">
        <v>6</v>
      </c>
      <c r="G1503">
        <v>85.7</v>
      </c>
    </row>
    <row r="1504" spans="1:7">
      <c r="A1504">
        <v>126</v>
      </c>
      <c r="B1504" s="1">
        <v>45992</v>
      </c>
      <c r="C1504">
        <v>22</v>
      </c>
      <c r="D1504">
        <v>20</v>
      </c>
      <c r="E1504">
        <v>2</v>
      </c>
      <c r="F1504">
        <v>0</v>
      </c>
      <c r="G1504">
        <v>90.9</v>
      </c>
    </row>
    <row r="1505" spans="1:7">
      <c r="A1505">
        <v>126</v>
      </c>
      <c r="B1505" s="1">
        <v>46023</v>
      </c>
      <c r="C1505">
        <v>21</v>
      </c>
      <c r="D1505">
        <v>21</v>
      </c>
      <c r="E1505">
        <v>0</v>
      </c>
      <c r="F1505">
        <v>1</v>
      </c>
      <c r="G1505">
        <v>100</v>
      </c>
    </row>
    <row r="1506" spans="1:7">
      <c r="A1506">
        <v>126</v>
      </c>
      <c r="B1506" s="1">
        <v>46054</v>
      </c>
      <c r="C1506">
        <v>18</v>
      </c>
      <c r="D1506">
        <v>17</v>
      </c>
      <c r="E1506">
        <v>1</v>
      </c>
      <c r="F1506">
        <v>0</v>
      </c>
      <c r="G1506">
        <v>94.4</v>
      </c>
    </row>
    <row r="1507" spans="1:7">
      <c r="A1507">
        <v>126</v>
      </c>
      <c r="B1507" s="1">
        <v>46082</v>
      </c>
      <c r="C1507">
        <v>18</v>
      </c>
      <c r="D1507">
        <v>18</v>
      </c>
      <c r="E1507">
        <v>0</v>
      </c>
      <c r="F1507">
        <v>2</v>
      </c>
      <c r="G1507">
        <v>100</v>
      </c>
    </row>
    <row r="1508" spans="1:7">
      <c r="A1508">
        <v>126</v>
      </c>
      <c r="B1508" s="1">
        <v>46113</v>
      </c>
      <c r="C1508">
        <v>20</v>
      </c>
      <c r="D1508">
        <v>20</v>
      </c>
      <c r="E1508">
        <v>0</v>
      </c>
      <c r="F1508">
        <v>3</v>
      </c>
      <c r="G1508">
        <v>100</v>
      </c>
    </row>
    <row r="1509" spans="1:7">
      <c r="A1509">
        <v>126</v>
      </c>
      <c r="B1509" s="1">
        <v>46143</v>
      </c>
      <c r="C1509">
        <v>18</v>
      </c>
      <c r="D1509">
        <v>15</v>
      </c>
      <c r="E1509">
        <v>3</v>
      </c>
      <c r="F1509">
        <v>3</v>
      </c>
      <c r="G1509">
        <v>83.3</v>
      </c>
    </row>
    <row r="1510" spans="1:7">
      <c r="A1510">
        <v>126</v>
      </c>
      <c r="B1510" s="1">
        <v>46174</v>
      </c>
      <c r="C1510">
        <v>18</v>
      </c>
      <c r="D1510">
        <v>18</v>
      </c>
      <c r="E1510">
        <v>0</v>
      </c>
      <c r="F1510">
        <v>0</v>
      </c>
      <c r="G1510">
        <v>100</v>
      </c>
    </row>
    <row r="1511" spans="1:7">
      <c r="A1511">
        <v>126</v>
      </c>
      <c r="B1511" s="1">
        <v>46204</v>
      </c>
      <c r="C1511">
        <v>22</v>
      </c>
      <c r="D1511">
        <v>22</v>
      </c>
      <c r="E1511">
        <v>0</v>
      </c>
      <c r="F1511">
        <v>2</v>
      </c>
      <c r="G1511">
        <v>100</v>
      </c>
    </row>
    <row r="1512" spans="1:7">
      <c r="A1512">
        <v>126</v>
      </c>
      <c r="B1512" s="1">
        <v>46235</v>
      </c>
      <c r="C1512">
        <v>21</v>
      </c>
      <c r="D1512">
        <v>21</v>
      </c>
      <c r="E1512">
        <v>0</v>
      </c>
      <c r="F1512">
        <v>2</v>
      </c>
      <c r="G1512">
        <v>100</v>
      </c>
    </row>
    <row r="1513" spans="1:7">
      <c r="A1513">
        <v>126</v>
      </c>
      <c r="B1513" s="1">
        <v>46266</v>
      </c>
      <c r="C1513">
        <v>20</v>
      </c>
      <c r="D1513">
        <v>17</v>
      </c>
      <c r="E1513">
        <v>3</v>
      </c>
      <c r="F1513">
        <v>2</v>
      </c>
      <c r="G1513">
        <v>85</v>
      </c>
    </row>
    <row r="1514" spans="1:7">
      <c r="A1514">
        <v>127</v>
      </c>
      <c r="B1514" s="1">
        <v>45931</v>
      </c>
      <c r="C1514">
        <v>18</v>
      </c>
      <c r="D1514">
        <v>11</v>
      </c>
      <c r="E1514">
        <v>7</v>
      </c>
      <c r="F1514">
        <v>4</v>
      </c>
      <c r="G1514">
        <v>61.1</v>
      </c>
    </row>
    <row r="1515" spans="1:7">
      <c r="A1515">
        <v>127</v>
      </c>
      <c r="B1515" s="1">
        <v>45962</v>
      </c>
      <c r="C1515">
        <v>19</v>
      </c>
      <c r="D1515">
        <v>18</v>
      </c>
      <c r="E1515">
        <v>1</v>
      </c>
      <c r="F1515">
        <v>3</v>
      </c>
      <c r="G1515">
        <v>94.7</v>
      </c>
    </row>
    <row r="1516" spans="1:7">
      <c r="A1516">
        <v>127</v>
      </c>
      <c r="B1516" s="1">
        <v>45992</v>
      </c>
      <c r="C1516">
        <v>21</v>
      </c>
      <c r="D1516">
        <v>18</v>
      </c>
      <c r="E1516">
        <v>3</v>
      </c>
      <c r="F1516">
        <v>4</v>
      </c>
      <c r="G1516">
        <v>85.7</v>
      </c>
    </row>
    <row r="1517" spans="1:7">
      <c r="A1517">
        <v>127</v>
      </c>
      <c r="B1517" s="1">
        <v>46023</v>
      </c>
      <c r="C1517">
        <v>22</v>
      </c>
      <c r="D1517">
        <v>20</v>
      </c>
      <c r="E1517">
        <v>2</v>
      </c>
      <c r="F1517">
        <v>5</v>
      </c>
      <c r="G1517">
        <v>90.9</v>
      </c>
    </row>
    <row r="1518" spans="1:7">
      <c r="A1518">
        <v>127</v>
      </c>
      <c r="B1518" s="1">
        <v>46054</v>
      </c>
      <c r="C1518">
        <v>21</v>
      </c>
      <c r="D1518">
        <v>17</v>
      </c>
      <c r="E1518">
        <v>4</v>
      </c>
      <c r="F1518">
        <v>6</v>
      </c>
      <c r="G1518">
        <v>81</v>
      </c>
    </row>
    <row r="1519" spans="1:7">
      <c r="A1519">
        <v>127</v>
      </c>
      <c r="B1519" s="1">
        <v>46082</v>
      </c>
      <c r="C1519">
        <v>21</v>
      </c>
      <c r="D1519">
        <v>20</v>
      </c>
      <c r="E1519">
        <v>1</v>
      </c>
      <c r="F1519">
        <v>1</v>
      </c>
      <c r="G1519">
        <v>95.2</v>
      </c>
    </row>
    <row r="1520" spans="1:7">
      <c r="A1520">
        <v>127</v>
      </c>
      <c r="B1520" s="1">
        <v>46113</v>
      </c>
      <c r="C1520">
        <v>20</v>
      </c>
      <c r="D1520">
        <v>13</v>
      </c>
      <c r="E1520">
        <v>7</v>
      </c>
      <c r="F1520">
        <v>3</v>
      </c>
      <c r="G1520">
        <v>65</v>
      </c>
    </row>
    <row r="1521" spans="1:7">
      <c r="A1521">
        <v>127</v>
      </c>
      <c r="B1521" s="1">
        <v>46143</v>
      </c>
      <c r="C1521">
        <v>19</v>
      </c>
      <c r="D1521">
        <v>13</v>
      </c>
      <c r="E1521">
        <v>6</v>
      </c>
      <c r="F1521">
        <v>4</v>
      </c>
      <c r="G1521">
        <v>68.400000000000006</v>
      </c>
    </row>
    <row r="1522" spans="1:7">
      <c r="A1522">
        <v>127</v>
      </c>
      <c r="B1522" s="1">
        <v>46174</v>
      </c>
      <c r="C1522">
        <v>22</v>
      </c>
      <c r="D1522">
        <v>17</v>
      </c>
      <c r="E1522">
        <v>5</v>
      </c>
      <c r="F1522">
        <v>4</v>
      </c>
      <c r="G1522">
        <v>77.3</v>
      </c>
    </row>
    <row r="1523" spans="1:7">
      <c r="A1523">
        <v>127</v>
      </c>
      <c r="B1523" s="1">
        <v>46204</v>
      </c>
      <c r="C1523">
        <v>20</v>
      </c>
      <c r="D1523">
        <v>14</v>
      </c>
      <c r="E1523">
        <v>6</v>
      </c>
      <c r="F1523">
        <v>4</v>
      </c>
      <c r="G1523">
        <v>70</v>
      </c>
    </row>
    <row r="1524" spans="1:7">
      <c r="A1524">
        <v>127</v>
      </c>
      <c r="B1524" s="1">
        <v>46235</v>
      </c>
      <c r="C1524">
        <v>20</v>
      </c>
      <c r="D1524">
        <v>15</v>
      </c>
      <c r="E1524">
        <v>5</v>
      </c>
      <c r="F1524">
        <v>0</v>
      </c>
      <c r="G1524">
        <v>75</v>
      </c>
    </row>
    <row r="1525" spans="1:7">
      <c r="A1525">
        <v>127</v>
      </c>
      <c r="B1525" s="1">
        <v>46266</v>
      </c>
      <c r="C1525">
        <v>22</v>
      </c>
      <c r="D1525">
        <v>18</v>
      </c>
      <c r="E1525">
        <v>4</v>
      </c>
      <c r="F1525">
        <v>4</v>
      </c>
      <c r="G1525">
        <v>81.8</v>
      </c>
    </row>
    <row r="1526" spans="1:7">
      <c r="A1526">
        <v>128</v>
      </c>
      <c r="B1526" s="1">
        <v>45931</v>
      </c>
      <c r="C1526">
        <v>20</v>
      </c>
      <c r="D1526">
        <v>16</v>
      </c>
      <c r="E1526">
        <v>4</v>
      </c>
      <c r="F1526">
        <v>5</v>
      </c>
      <c r="G1526">
        <v>80</v>
      </c>
    </row>
    <row r="1527" spans="1:7">
      <c r="A1527">
        <v>128</v>
      </c>
      <c r="B1527" s="1">
        <v>45962</v>
      </c>
      <c r="C1527">
        <v>21</v>
      </c>
      <c r="D1527">
        <v>13</v>
      </c>
      <c r="E1527">
        <v>8</v>
      </c>
      <c r="F1527">
        <v>4</v>
      </c>
      <c r="G1527">
        <v>61.9</v>
      </c>
    </row>
    <row r="1528" spans="1:7">
      <c r="A1528">
        <v>128</v>
      </c>
      <c r="B1528" s="1">
        <v>45992</v>
      </c>
      <c r="C1528">
        <v>18</v>
      </c>
      <c r="D1528">
        <v>14</v>
      </c>
      <c r="E1528">
        <v>4</v>
      </c>
      <c r="F1528">
        <v>2</v>
      </c>
      <c r="G1528">
        <v>77.8</v>
      </c>
    </row>
    <row r="1529" spans="1:7">
      <c r="A1529">
        <v>128</v>
      </c>
      <c r="B1529" s="1">
        <v>46023</v>
      </c>
      <c r="C1529">
        <v>22</v>
      </c>
      <c r="D1529">
        <v>22</v>
      </c>
      <c r="E1529">
        <v>0</v>
      </c>
      <c r="F1529">
        <v>2</v>
      </c>
      <c r="G1529">
        <v>100</v>
      </c>
    </row>
    <row r="1530" spans="1:7">
      <c r="A1530">
        <v>128</v>
      </c>
      <c r="B1530" s="1">
        <v>46054</v>
      </c>
      <c r="C1530">
        <v>18</v>
      </c>
      <c r="D1530">
        <v>11</v>
      </c>
      <c r="E1530">
        <v>7</v>
      </c>
      <c r="F1530">
        <v>0</v>
      </c>
      <c r="G1530">
        <v>61.1</v>
      </c>
    </row>
    <row r="1531" spans="1:7">
      <c r="A1531">
        <v>128</v>
      </c>
      <c r="B1531" s="1">
        <v>46082</v>
      </c>
      <c r="C1531">
        <v>21</v>
      </c>
      <c r="D1531">
        <v>16</v>
      </c>
      <c r="E1531">
        <v>5</v>
      </c>
      <c r="F1531">
        <v>2</v>
      </c>
      <c r="G1531">
        <v>76.2</v>
      </c>
    </row>
    <row r="1532" spans="1:7">
      <c r="A1532">
        <v>128</v>
      </c>
      <c r="B1532" s="1">
        <v>46113</v>
      </c>
      <c r="C1532">
        <v>22</v>
      </c>
      <c r="D1532">
        <v>18</v>
      </c>
      <c r="E1532">
        <v>4</v>
      </c>
      <c r="F1532">
        <v>1</v>
      </c>
      <c r="G1532">
        <v>81.8</v>
      </c>
    </row>
    <row r="1533" spans="1:7">
      <c r="A1533">
        <v>128</v>
      </c>
      <c r="B1533" s="1">
        <v>46143</v>
      </c>
      <c r="C1533">
        <v>22</v>
      </c>
      <c r="D1533">
        <v>20</v>
      </c>
      <c r="E1533">
        <v>2</v>
      </c>
      <c r="F1533">
        <v>4</v>
      </c>
      <c r="G1533">
        <v>90.9</v>
      </c>
    </row>
    <row r="1534" spans="1:7">
      <c r="A1534">
        <v>128</v>
      </c>
      <c r="B1534" s="1">
        <v>46174</v>
      </c>
      <c r="C1534">
        <v>22</v>
      </c>
      <c r="D1534">
        <v>17</v>
      </c>
      <c r="E1534">
        <v>5</v>
      </c>
      <c r="F1534">
        <v>2</v>
      </c>
      <c r="G1534">
        <v>77.3</v>
      </c>
    </row>
    <row r="1535" spans="1:7">
      <c r="A1535">
        <v>128</v>
      </c>
      <c r="B1535" s="1">
        <v>46204</v>
      </c>
      <c r="C1535">
        <v>20</v>
      </c>
      <c r="D1535">
        <v>17</v>
      </c>
      <c r="E1535">
        <v>3</v>
      </c>
      <c r="F1535">
        <v>5</v>
      </c>
      <c r="G1535">
        <v>85</v>
      </c>
    </row>
    <row r="1536" spans="1:7">
      <c r="A1536">
        <v>128</v>
      </c>
      <c r="B1536" s="1">
        <v>46235</v>
      </c>
      <c r="C1536">
        <v>22</v>
      </c>
      <c r="D1536">
        <v>19</v>
      </c>
      <c r="E1536">
        <v>3</v>
      </c>
      <c r="F1536">
        <v>4</v>
      </c>
      <c r="G1536">
        <v>86.4</v>
      </c>
    </row>
    <row r="1537" spans="1:7">
      <c r="A1537">
        <v>128</v>
      </c>
      <c r="B1537" s="1">
        <v>46266</v>
      </c>
      <c r="C1537">
        <v>19</v>
      </c>
      <c r="D1537">
        <v>17</v>
      </c>
      <c r="E1537">
        <v>2</v>
      </c>
      <c r="F1537">
        <v>0</v>
      </c>
      <c r="G1537">
        <v>89.5</v>
      </c>
    </row>
    <row r="1538" spans="1:7">
      <c r="A1538">
        <v>129</v>
      </c>
      <c r="B1538" s="1">
        <v>45931</v>
      </c>
      <c r="C1538">
        <v>20</v>
      </c>
      <c r="D1538">
        <v>20</v>
      </c>
      <c r="E1538">
        <v>0</v>
      </c>
      <c r="F1538">
        <v>2</v>
      </c>
      <c r="G1538">
        <v>100</v>
      </c>
    </row>
    <row r="1539" spans="1:7">
      <c r="A1539">
        <v>129</v>
      </c>
      <c r="B1539" s="1">
        <v>45962</v>
      </c>
      <c r="C1539">
        <v>21</v>
      </c>
      <c r="D1539">
        <v>21</v>
      </c>
      <c r="E1539">
        <v>0</v>
      </c>
      <c r="F1539">
        <v>0</v>
      </c>
      <c r="G1539">
        <v>100</v>
      </c>
    </row>
    <row r="1540" spans="1:7">
      <c r="A1540">
        <v>129</v>
      </c>
      <c r="B1540" s="1">
        <v>45992</v>
      </c>
      <c r="C1540">
        <v>19</v>
      </c>
      <c r="D1540">
        <v>19</v>
      </c>
      <c r="E1540">
        <v>0</v>
      </c>
      <c r="F1540">
        <v>0</v>
      </c>
      <c r="G1540">
        <v>100</v>
      </c>
    </row>
    <row r="1541" spans="1:7">
      <c r="A1541">
        <v>129</v>
      </c>
      <c r="B1541" s="1">
        <v>46023</v>
      </c>
      <c r="C1541">
        <v>18</v>
      </c>
      <c r="D1541">
        <v>18</v>
      </c>
      <c r="E1541">
        <v>0</v>
      </c>
      <c r="F1541">
        <v>0</v>
      </c>
      <c r="G1541">
        <v>100</v>
      </c>
    </row>
    <row r="1542" spans="1:7">
      <c r="A1542">
        <v>129</v>
      </c>
      <c r="B1542" s="1">
        <v>46054</v>
      </c>
      <c r="C1542">
        <v>21</v>
      </c>
      <c r="D1542">
        <v>19</v>
      </c>
      <c r="E1542">
        <v>2</v>
      </c>
      <c r="F1542">
        <v>3</v>
      </c>
      <c r="G1542">
        <v>90.5</v>
      </c>
    </row>
    <row r="1543" spans="1:7">
      <c r="A1543">
        <v>129</v>
      </c>
      <c r="B1543" s="1">
        <v>46082</v>
      </c>
      <c r="C1543">
        <v>18</v>
      </c>
      <c r="D1543">
        <v>18</v>
      </c>
      <c r="E1543">
        <v>0</v>
      </c>
      <c r="F1543">
        <v>2</v>
      </c>
      <c r="G1543">
        <v>100</v>
      </c>
    </row>
    <row r="1544" spans="1:7">
      <c r="A1544">
        <v>129</v>
      </c>
      <c r="B1544" s="1">
        <v>46113</v>
      </c>
      <c r="C1544">
        <v>22</v>
      </c>
      <c r="D1544">
        <v>22</v>
      </c>
      <c r="E1544">
        <v>0</v>
      </c>
      <c r="F1544">
        <v>3</v>
      </c>
      <c r="G1544">
        <v>100</v>
      </c>
    </row>
    <row r="1545" spans="1:7">
      <c r="A1545">
        <v>129</v>
      </c>
      <c r="B1545" s="1">
        <v>46143</v>
      </c>
      <c r="C1545">
        <v>20</v>
      </c>
      <c r="D1545">
        <v>19</v>
      </c>
      <c r="E1545">
        <v>1</v>
      </c>
      <c r="F1545">
        <v>4</v>
      </c>
      <c r="G1545">
        <v>95</v>
      </c>
    </row>
    <row r="1546" spans="1:7">
      <c r="A1546">
        <v>129</v>
      </c>
      <c r="B1546" s="1">
        <v>46174</v>
      </c>
      <c r="C1546">
        <v>21</v>
      </c>
      <c r="D1546">
        <v>21</v>
      </c>
      <c r="E1546">
        <v>0</v>
      </c>
      <c r="F1546">
        <v>3</v>
      </c>
      <c r="G1546">
        <v>100</v>
      </c>
    </row>
    <row r="1547" spans="1:7">
      <c r="A1547">
        <v>129</v>
      </c>
      <c r="B1547" s="1">
        <v>46204</v>
      </c>
      <c r="C1547">
        <v>21</v>
      </c>
      <c r="D1547">
        <v>21</v>
      </c>
      <c r="E1547">
        <v>0</v>
      </c>
      <c r="F1547">
        <v>1</v>
      </c>
      <c r="G1547">
        <v>100</v>
      </c>
    </row>
    <row r="1548" spans="1:7">
      <c r="A1548">
        <v>129</v>
      </c>
      <c r="B1548" s="1">
        <v>46235</v>
      </c>
      <c r="C1548">
        <v>19</v>
      </c>
      <c r="D1548">
        <v>19</v>
      </c>
      <c r="E1548">
        <v>0</v>
      </c>
      <c r="F1548">
        <v>3</v>
      </c>
      <c r="G1548">
        <v>100</v>
      </c>
    </row>
    <row r="1549" spans="1:7">
      <c r="A1549">
        <v>129</v>
      </c>
      <c r="B1549" s="1">
        <v>46266</v>
      </c>
      <c r="C1549">
        <v>19</v>
      </c>
      <c r="D1549">
        <v>19</v>
      </c>
      <c r="E1549">
        <v>0</v>
      </c>
      <c r="F1549">
        <v>0</v>
      </c>
      <c r="G1549">
        <v>100</v>
      </c>
    </row>
    <row r="1550" spans="1:7">
      <c r="A1550">
        <v>130</v>
      </c>
      <c r="B1550" s="1">
        <v>45931</v>
      </c>
      <c r="C1550">
        <v>19</v>
      </c>
      <c r="D1550">
        <v>18</v>
      </c>
      <c r="E1550">
        <v>1</v>
      </c>
      <c r="F1550">
        <v>1</v>
      </c>
      <c r="G1550">
        <v>94.7</v>
      </c>
    </row>
    <row r="1551" spans="1:7">
      <c r="A1551">
        <v>130</v>
      </c>
      <c r="B1551" s="1">
        <v>45962</v>
      </c>
      <c r="C1551">
        <v>22</v>
      </c>
      <c r="D1551">
        <v>21</v>
      </c>
      <c r="E1551">
        <v>1</v>
      </c>
      <c r="F1551">
        <v>2</v>
      </c>
      <c r="G1551">
        <v>95.5</v>
      </c>
    </row>
    <row r="1552" spans="1:7">
      <c r="A1552">
        <v>130</v>
      </c>
      <c r="B1552" s="1">
        <v>45992</v>
      </c>
      <c r="C1552">
        <v>18</v>
      </c>
      <c r="D1552">
        <v>18</v>
      </c>
      <c r="E1552">
        <v>0</v>
      </c>
      <c r="F1552">
        <v>0</v>
      </c>
      <c r="G1552">
        <v>100</v>
      </c>
    </row>
    <row r="1553" spans="1:7">
      <c r="A1553">
        <v>130</v>
      </c>
      <c r="B1553" s="1">
        <v>46023</v>
      </c>
      <c r="C1553">
        <v>20</v>
      </c>
      <c r="D1553">
        <v>20</v>
      </c>
      <c r="E1553">
        <v>0</v>
      </c>
      <c r="F1553">
        <v>2</v>
      </c>
      <c r="G1553">
        <v>100</v>
      </c>
    </row>
    <row r="1554" spans="1:7">
      <c r="A1554">
        <v>130</v>
      </c>
      <c r="B1554" s="1">
        <v>46054</v>
      </c>
      <c r="C1554">
        <v>18</v>
      </c>
      <c r="D1554">
        <v>18</v>
      </c>
      <c r="E1554">
        <v>0</v>
      </c>
      <c r="F1554">
        <v>2</v>
      </c>
      <c r="G1554">
        <v>100</v>
      </c>
    </row>
    <row r="1555" spans="1:7">
      <c r="A1555">
        <v>130</v>
      </c>
      <c r="B1555" s="1">
        <v>46082</v>
      </c>
      <c r="C1555">
        <v>20</v>
      </c>
      <c r="D1555">
        <v>19</v>
      </c>
      <c r="E1555">
        <v>1</v>
      </c>
      <c r="F1555">
        <v>2</v>
      </c>
      <c r="G1555">
        <v>95</v>
      </c>
    </row>
    <row r="1556" spans="1:7">
      <c r="A1556">
        <v>130</v>
      </c>
      <c r="B1556" s="1">
        <v>46113</v>
      </c>
      <c r="C1556">
        <v>20</v>
      </c>
      <c r="D1556">
        <v>20</v>
      </c>
      <c r="E1556">
        <v>0</v>
      </c>
      <c r="F1556">
        <v>1</v>
      </c>
      <c r="G1556">
        <v>100</v>
      </c>
    </row>
    <row r="1557" spans="1:7">
      <c r="A1557">
        <v>130</v>
      </c>
      <c r="B1557" s="1">
        <v>46143</v>
      </c>
      <c r="C1557">
        <v>22</v>
      </c>
      <c r="D1557">
        <v>21</v>
      </c>
      <c r="E1557">
        <v>1</v>
      </c>
      <c r="F1557">
        <v>3</v>
      </c>
      <c r="G1557">
        <v>95.5</v>
      </c>
    </row>
    <row r="1558" spans="1:7">
      <c r="A1558">
        <v>130</v>
      </c>
      <c r="B1558" s="1">
        <v>46174</v>
      </c>
      <c r="C1558">
        <v>18</v>
      </c>
      <c r="D1558">
        <v>15</v>
      </c>
      <c r="E1558">
        <v>3</v>
      </c>
      <c r="F1558">
        <v>2</v>
      </c>
      <c r="G1558">
        <v>83.3</v>
      </c>
    </row>
    <row r="1559" spans="1:7">
      <c r="A1559">
        <v>130</v>
      </c>
      <c r="B1559" s="1">
        <v>46204</v>
      </c>
      <c r="C1559">
        <v>19</v>
      </c>
      <c r="D1559">
        <v>19</v>
      </c>
      <c r="E1559">
        <v>0</v>
      </c>
      <c r="F1559">
        <v>1</v>
      </c>
      <c r="G1559">
        <v>100</v>
      </c>
    </row>
    <row r="1560" spans="1:7">
      <c r="A1560">
        <v>130</v>
      </c>
      <c r="B1560" s="1">
        <v>46235</v>
      </c>
      <c r="C1560">
        <v>21</v>
      </c>
      <c r="D1560">
        <v>17</v>
      </c>
      <c r="E1560">
        <v>4</v>
      </c>
      <c r="F1560">
        <v>0</v>
      </c>
      <c r="G1560">
        <v>81</v>
      </c>
    </row>
    <row r="1561" spans="1:7">
      <c r="A1561">
        <v>130</v>
      </c>
      <c r="B1561" s="1">
        <v>46266</v>
      </c>
      <c r="C1561">
        <v>18</v>
      </c>
      <c r="D1561">
        <v>17</v>
      </c>
      <c r="E1561">
        <v>1</v>
      </c>
      <c r="F1561">
        <v>3</v>
      </c>
      <c r="G1561">
        <v>94.4</v>
      </c>
    </row>
    <row r="1562" spans="1:7">
      <c r="A1562">
        <v>131</v>
      </c>
      <c r="B1562" s="1">
        <v>45931</v>
      </c>
      <c r="C1562">
        <v>21</v>
      </c>
      <c r="D1562">
        <v>21</v>
      </c>
      <c r="E1562">
        <v>0</v>
      </c>
      <c r="F1562">
        <v>2</v>
      </c>
      <c r="G1562">
        <v>100</v>
      </c>
    </row>
    <row r="1563" spans="1:7">
      <c r="A1563">
        <v>131</v>
      </c>
      <c r="B1563" s="1">
        <v>45962</v>
      </c>
      <c r="C1563">
        <v>21</v>
      </c>
      <c r="D1563">
        <v>21</v>
      </c>
      <c r="E1563">
        <v>0</v>
      </c>
      <c r="F1563">
        <v>3</v>
      </c>
      <c r="G1563">
        <v>100</v>
      </c>
    </row>
    <row r="1564" spans="1:7">
      <c r="A1564">
        <v>131</v>
      </c>
      <c r="B1564" s="1">
        <v>45992</v>
      </c>
      <c r="C1564">
        <v>22</v>
      </c>
      <c r="D1564">
        <v>21</v>
      </c>
      <c r="E1564">
        <v>1</v>
      </c>
      <c r="F1564">
        <v>3</v>
      </c>
      <c r="G1564">
        <v>95.5</v>
      </c>
    </row>
    <row r="1565" spans="1:7">
      <c r="A1565">
        <v>131</v>
      </c>
      <c r="B1565" s="1">
        <v>46023</v>
      </c>
      <c r="C1565">
        <v>21</v>
      </c>
      <c r="D1565">
        <v>19</v>
      </c>
      <c r="E1565">
        <v>2</v>
      </c>
      <c r="F1565">
        <v>5</v>
      </c>
      <c r="G1565">
        <v>90.5</v>
      </c>
    </row>
    <row r="1566" spans="1:7">
      <c r="A1566">
        <v>131</v>
      </c>
      <c r="B1566" s="1">
        <v>46054</v>
      </c>
      <c r="C1566">
        <v>21</v>
      </c>
      <c r="D1566">
        <v>18</v>
      </c>
      <c r="E1566">
        <v>3</v>
      </c>
      <c r="F1566">
        <v>0</v>
      </c>
      <c r="G1566">
        <v>85.7</v>
      </c>
    </row>
    <row r="1567" spans="1:7">
      <c r="A1567">
        <v>131</v>
      </c>
      <c r="B1567" s="1">
        <v>46082</v>
      </c>
      <c r="C1567">
        <v>22</v>
      </c>
      <c r="D1567">
        <v>19</v>
      </c>
      <c r="E1567">
        <v>3</v>
      </c>
      <c r="F1567">
        <v>5</v>
      </c>
      <c r="G1567">
        <v>86.4</v>
      </c>
    </row>
    <row r="1568" spans="1:7">
      <c r="A1568">
        <v>131</v>
      </c>
      <c r="B1568" s="1">
        <v>46113</v>
      </c>
      <c r="C1568">
        <v>22</v>
      </c>
      <c r="D1568">
        <v>22</v>
      </c>
      <c r="E1568">
        <v>0</v>
      </c>
      <c r="F1568">
        <v>3</v>
      </c>
      <c r="G1568">
        <v>100</v>
      </c>
    </row>
    <row r="1569" spans="1:7">
      <c r="A1569">
        <v>131</v>
      </c>
      <c r="B1569" s="1">
        <v>46143</v>
      </c>
      <c r="C1569">
        <v>20</v>
      </c>
      <c r="D1569">
        <v>19</v>
      </c>
      <c r="E1569">
        <v>1</v>
      </c>
      <c r="F1569">
        <v>4</v>
      </c>
      <c r="G1569">
        <v>95</v>
      </c>
    </row>
    <row r="1570" spans="1:7">
      <c r="A1570">
        <v>131</v>
      </c>
      <c r="B1570" s="1">
        <v>46174</v>
      </c>
      <c r="C1570">
        <v>18</v>
      </c>
      <c r="D1570">
        <v>13</v>
      </c>
      <c r="E1570">
        <v>5</v>
      </c>
      <c r="F1570">
        <v>5</v>
      </c>
      <c r="G1570">
        <v>72.2</v>
      </c>
    </row>
    <row r="1571" spans="1:7">
      <c r="A1571">
        <v>131</v>
      </c>
      <c r="B1571" s="1">
        <v>46204</v>
      </c>
      <c r="C1571">
        <v>20</v>
      </c>
      <c r="D1571">
        <v>20</v>
      </c>
      <c r="E1571">
        <v>0</v>
      </c>
      <c r="F1571">
        <v>0</v>
      </c>
      <c r="G1571">
        <v>100</v>
      </c>
    </row>
    <row r="1572" spans="1:7">
      <c r="A1572">
        <v>131</v>
      </c>
      <c r="B1572" s="1">
        <v>46235</v>
      </c>
      <c r="C1572">
        <v>19</v>
      </c>
      <c r="D1572">
        <v>19</v>
      </c>
      <c r="E1572">
        <v>0</v>
      </c>
      <c r="F1572">
        <v>2</v>
      </c>
      <c r="G1572">
        <v>100</v>
      </c>
    </row>
    <row r="1573" spans="1:7">
      <c r="A1573">
        <v>131</v>
      </c>
      <c r="B1573" s="1">
        <v>46266</v>
      </c>
      <c r="C1573">
        <v>22</v>
      </c>
      <c r="D1573">
        <v>22</v>
      </c>
      <c r="E1573">
        <v>0</v>
      </c>
      <c r="F1573">
        <v>0</v>
      </c>
      <c r="G1573">
        <v>100</v>
      </c>
    </row>
    <row r="1574" spans="1:7">
      <c r="A1574">
        <v>132</v>
      </c>
      <c r="B1574" s="1">
        <v>45931</v>
      </c>
      <c r="C1574">
        <v>22</v>
      </c>
      <c r="D1574">
        <v>13</v>
      </c>
      <c r="E1574">
        <v>9</v>
      </c>
      <c r="F1574">
        <v>4</v>
      </c>
      <c r="G1574">
        <v>59.1</v>
      </c>
    </row>
    <row r="1575" spans="1:7">
      <c r="A1575">
        <v>132</v>
      </c>
      <c r="B1575" s="1">
        <v>45962</v>
      </c>
      <c r="C1575">
        <v>22</v>
      </c>
      <c r="D1575">
        <v>15</v>
      </c>
      <c r="E1575">
        <v>7</v>
      </c>
      <c r="F1575">
        <v>6</v>
      </c>
      <c r="G1575">
        <v>68.2</v>
      </c>
    </row>
    <row r="1576" spans="1:7">
      <c r="A1576">
        <v>132</v>
      </c>
      <c r="B1576" s="1">
        <v>45992</v>
      </c>
      <c r="C1576">
        <v>18</v>
      </c>
      <c r="D1576">
        <v>11</v>
      </c>
      <c r="E1576">
        <v>7</v>
      </c>
      <c r="F1576">
        <v>6</v>
      </c>
      <c r="G1576">
        <v>61.1</v>
      </c>
    </row>
    <row r="1577" spans="1:7">
      <c r="A1577">
        <v>132</v>
      </c>
      <c r="B1577" s="1">
        <v>46023</v>
      </c>
      <c r="C1577">
        <v>21</v>
      </c>
      <c r="D1577">
        <v>17</v>
      </c>
      <c r="E1577">
        <v>4</v>
      </c>
      <c r="F1577">
        <v>4</v>
      </c>
      <c r="G1577">
        <v>81</v>
      </c>
    </row>
    <row r="1578" spans="1:7">
      <c r="A1578">
        <v>132</v>
      </c>
      <c r="B1578" s="1">
        <v>46054</v>
      </c>
      <c r="C1578">
        <v>18</v>
      </c>
      <c r="D1578">
        <v>10</v>
      </c>
      <c r="E1578">
        <v>8</v>
      </c>
      <c r="F1578">
        <v>1</v>
      </c>
      <c r="G1578">
        <v>55.6</v>
      </c>
    </row>
    <row r="1579" spans="1:7">
      <c r="A1579">
        <v>132</v>
      </c>
      <c r="B1579" s="1">
        <v>46082</v>
      </c>
      <c r="C1579">
        <v>18</v>
      </c>
      <c r="D1579">
        <v>10</v>
      </c>
      <c r="E1579">
        <v>8</v>
      </c>
      <c r="F1579">
        <v>2</v>
      </c>
      <c r="G1579">
        <v>55.6</v>
      </c>
    </row>
    <row r="1580" spans="1:7">
      <c r="A1580">
        <v>132</v>
      </c>
      <c r="B1580" s="1">
        <v>46113</v>
      </c>
      <c r="C1580">
        <v>19</v>
      </c>
      <c r="D1580">
        <v>14</v>
      </c>
      <c r="E1580">
        <v>5</v>
      </c>
      <c r="F1580">
        <v>4</v>
      </c>
      <c r="G1580">
        <v>73.7</v>
      </c>
    </row>
    <row r="1581" spans="1:7">
      <c r="A1581">
        <v>132</v>
      </c>
      <c r="B1581" s="1">
        <v>46143</v>
      </c>
      <c r="C1581">
        <v>21</v>
      </c>
      <c r="D1581">
        <v>13</v>
      </c>
      <c r="E1581">
        <v>8</v>
      </c>
      <c r="F1581">
        <v>0</v>
      </c>
      <c r="G1581">
        <v>61.9</v>
      </c>
    </row>
    <row r="1582" spans="1:7">
      <c r="A1582">
        <v>132</v>
      </c>
      <c r="B1582" s="1">
        <v>46174</v>
      </c>
      <c r="C1582">
        <v>22</v>
      </c>
      <c r="D1582">
        <v>19</v>
      </c>
      <c r="E1582">
        <v>3</v>
      </c>
      <c r="F1582">
        <v>0</v>
      </c>
      <c r="G1582">
        <v>86.4</v>
      </c>
    </row>
    <row r="1583" spans="1:7">
      <c r="A1583">
        <v>132</v>
      </c>
      <c r="B1583" s="1">
        <v>46204</v>
      </c>
      <c r="C1583">
        <v>21</v>
      </c>
      <c r="D1583">
        <v>18</v>
      </c>
      <c r="E1583">
        <v>3</v>
      </c>
      <c r="F1583">
        <v>6</v>
      </c>
      <c r="G1583">
        <v>85.7</v>
      </c>
    </row>
    <row r="1584" spans="1:7">
      <c r="A1584">
        <v>132</v>
      </c>
      <c r="B1584" s="1">
        <v>46235</v>
      </c>
      <c r="C1584">
        <v>18</v>
      </c>
      <c r="D1584">
        <v>14</v>
      </c>
      <c r="E1584">
        <v>4</v>
      </c>
      <c r="F1584">
        <v>0</v>
      </c>
      <c r="G1584">
        <v>77.8</v>
      </c>
    </row>
    <row r="1585" spans="1:7">
      <c r="A1585">
        <v>132</v>
      </c>
      <c r="B1585" s="1">
        <v>46266</v>
      </c>
      <c r="C1585">
        <v>22</v>
      </c>
      <c r="D1585">
        <v>16</v>
      </c>
      <c r="E1585">
        <v>6</v>
      </c>
      <c r="F1585">
        <v>2</v>
      </c>
      <c r="G1585">
        <v>72.7</v>
      </c>
    </row>
    <row r="1586" spans="1:7">
      <c r="A1586">
        <v>133</v>
      </c>
      <c r="B1586" s="1">
        <v>45931</v>
      </c>
      <c r="C1586">
        <v>21</v>
      </c>
      <c r="D1586">
        <v>14</v>
      </c>
      <c r="E1586">
        <v>7</v>
      </c>
      <c r="F1586">
        <v>0</v>
      </c>
      <c r="G1586">
        <v>66.7</v>
      </c>
    </row>
    <row r="1587" spans="1:7">
      <c r="A1587">
        <v>133</v>
      </c>
      <c r="B1587" s="1">
        <v>45962</v>
      </c>
      <c r="C1587">
        <v>22</v>
      </c>
      <c r="D1587">
        <v>14</v>
      </c>
      <c r="E1587">
        <v>8</v>
      </c>
      <c r="F1587">
        <v>1</v>
      </c>
      <c r="G1587">
        <v>63.6</v>
      </c>
    </row>
    <row r="1588" spans="1:7">
      <c r="A1588">
        <v>133</v>
      </c>
      <c r="B1588" s="1">
        <v>45992</v>
      </c>
      <c r="C1588">
        <v>20</v>
      </c>
      <c r="D1588">
        <v>12</v>
      </c>
      <c r="E1588">
        <v>8</v>
      </c>
      <c r="F1588">
        <v>0</v>
      </c>
      <c r="G1588">
        <v>60</v>
      </c>
    </row>
    <row r="1589" spans="1:7">
      <c r="A1589">
        <v>133</v>
      </c>
      <c r="B1589" s="1">
        <v>46023</v>
      </c>
      <c r="C1589">
        <v>19</v>
      </c>
      <c r="D1589">
        <v>10</v>
      </c>
      <c r="E1589">
        <v>9</v>
      </c>
      <c r="F1589">
        <v>2</v>
      </c>
      <c r="G1589">
        <v>52.6</v>
      </c>
    </row>
    <row r="1590" spans="1:7">
      <c r="A1590">
        <v>133</v>
      </c>
      <c r="B1590" s="1">
        <v>46054</v>
      </c>
      <c r="C1590">
        <v>21</v>
      </c>
      <c r="D1590">
        <v>14</v>
      </c>
      <c r="E1590">
        <v>7</v>
      </c>
      <c r="F1590">
        <v>2</v>
      </c>
      <c r="G1590">
        <v>66.7</v>
      </c>
    </row>
    <row r="1591" spans="1:7">
      <c r="A1591">
        <v>133</v>
      </c>
      <c r="B1591" s="1">
        <v>46082</v>
      </c>
      <c r="C1591">
        <v>19</v>
      </c>
      <c r="D1591">
        <v>12</v>
      </c>
      <c r="E1591">
        <v>7</v>
      </c>
      <c r="F1591">
        <v>0</v>
      </c>
      <c r="G1591">
        <v>63.2</v>
      </c>
    </row>
    <row r="1592" spans="1:7">
      <c r="A1592">
        <v>133</v>
      </c>
      <c r="B1592" s="1">
        <v>46113</v>
      </c>
      <c r="C1592">
        <v>18</v>
      </c>
      <c r="D1592">
        <v>11</v>
      </c>
      <c r="E1592">
        <v>7</v>
      </c>
      <c r="F1592">
        <v>1</v>
      </c>
      <c r="G1592">
        <v>61.1</v>
      </c>
    </row>
    <row r="1593" spans="1:7">
      <c r="A1593">
        <v>133</v>
      </c>
      <c r="B1593" s="1">
        <v>46143</v>
      </c>
      <c r="C1593">
        <v>21</v>
      </c>
      <c r="D1593">
        <v>13</v>
      </c>
      <c r="E1593">
        <v>8</v>
      </c>
      <c r="F1593">
        <v>2</v>
      </c>
      <c r="G1593">
        <v>61.9</v>
      </c>
    </row>
    <row r="1594" spans="1:7">
      <c r="A1594">
        <v>133</v>
      </c>
      <c r="B1594" s="1">
        <v>46174</v>
      </c>
      <c r="C1594">
        <v>20</v>
      </c>
      <c r="D1594">
        <v>15</v>
      </c>
      <c r="E1594">
        <v>5</v>
      </c>
      <c r="F1594">
        <v>0</v>
      </c>
      <c r="G1594">
        <v>75</v>
      </c>
    </row>
    <row r="1595" spans="1:7">
      <c r="A1595">
        <v>133</v>
      </c>
      <c r="B1595" s="1">
        <v>46204</v>
      </c>
      <c r="C1595">
        <v>18</v>
      </c>
      <c r="D1595">
        <v>10</v>
      </c>
      <c r="E1595">
        <v>8</v>
      </c>
      <c r="F1595">
        <v>1</v>
      </c>
      <c r="G1595">
        <v>55.6</v>
      </c>
    </row>
    <row r="1596" spans="1:7">
      <c r="A1596">
        <v>133</v>
      </c>
      <c r="B1596" s="1">
        <v>46235</v>
      </c>
      <c r="C1596">
        <v>19</v>
      </c>
      <c r="D1596">
        <v>11</v>
      </c>
      <c r="E1596">
        <v>8</v>
      </c>
      <c r="F1596">
        <v>3</v>
      </c>
      <c r="G1596">
        <v>57.9</v>
      </c>
    </row>
    <row r="1597" spans="1:7">
      <c r="A1597">
        <v>133</v>
      </c>
      <c r="B1597" s="1">
        <v>46266</v>
      </c>
      <c r="C1597">
        <v>22</v>
      </c>
      <c r="D1597">
        <v>17</v>
      </c>
      <c r="E1597">
        <v>5</v>
      </c>
      <c r="F1597">
        <v>6</v>
      </c>
      <c r="G1597">
        <v>77.3</v>
      </c>
    </row>
    <row r="1598" spans="1:7">
      <c r="A1598">
        <v>134</v>
      </c>
      <c r="B1598" s="1">
        <v>45931</v>
      </c>
      <c r="C1598">
        <v>22</v>
      </c>
      <c r="D1598">
        <v>14</v>
      </c>
      <c r="E1598">
        <v>8</v>
      </c>
      <c r="F1598">
        <v>0</v>
      </c>
      <c r="G1598">
        <v>63.6</v>
      </c>
    </row>
    <row r="1599" spans="1:7">
      <c r="A1599">
        <v>134</v>
      </c>
      <c r="B1599" s="1">
        <v>45962</v>
      </c>
      <c r="C1599">
        <v>20</v>
      </c>
      <c r="D1599">
        <v>11</v>
      </c>
      <c r="E1599">
        <v>9</v>
      </c>
      <c r="F1599">
        <v>3</v>
      </c>
      <c r="G1599">
        <v>55</v>
      </c>
    </row>
    <row r="1600" spans="1:7">
      <c r="A1600">
        <v>134</v>
      </c>
      <c r="B1600" s="1">
        <v>45992</v>
      </c>
      <c r="C1600">
        <v>22</v>
      </c>
      <c r="D1600">
        <v>15</v>
      </c>
      <c r="E1600">
        <v>7</v>
      </c>
      <c r="F1600">
        <v>3</v>
      </c>
      <c r="G1600">
        <v>68.2</v>
      </c>
    </row>
    <row r="1601" spans="1:7">
      <c r="A1601">
        <v>134</v>
      </c>
      <c r="B1601" s="1">
        <v>46023</v>
      </c>
      <c r="C1601">
        <v>19</v>
      </c>
      <c r="D1601">
        <v>10</v>
      </c>
      <c r="E1601">
        <v>9</v>
      </c>
      <c r="F1601">
        <v>0</v>
      </c>
      <c r="G1601">
        <v>52.6</v>
      </c>
    </row>
    <row r="1602" spans="1:7">
      <c r="A1602">
        <v>134</v>
      </c>
      <c r="B1602" s="1">
        <v>46054</v>
      </c>
      <c r="C1602">
        <v>20</v>
      </c>
      <c r="D1602">
        <v>14</v>
      </c>
      <c r="E1602">
        <v>6</v>
      </c>
      <c r="F1602">
        <v>0</v>
      </c>
      <c r="G1602">
        <v>70</v>
      </c>
    </row>
    <row r="1603" spans="1:7">
      <c r="A1603">
        <v>134</v>
      </c>
      <c r="B1603" s="1">
        <v>46082</v>
      </c>
      <c r="C1603">
        <v>19</v>
      </c>
      <c r="D1603">
        <v>11</v>
      </c>
      <c r="E1603">
        <v>8</v>
      </c>
      <c r="F1603">
        <v>6</v>
      </c>
      <c r="G1603">
        <v>57.9</v>
      </c>
    </row>
    <row r="1604" spans="1:7">
      <c r="A1604">
        <v>134</v>
      </c>
      <c r="B1604" s="1">
        <v>46113</v>
      </c>
      <c r="C1604">
        <v>22</v>
      </c>
      <c r="D1604">
        <v>14</v>
      </c>
      <c r="E1604">
        <v>8</v>
      </c>
      <c r="F1604">
        <v>4</v>
      </c>
      <c r="G1604">
        <v>63.6</v>
      </c>
    </row>
    <row r="1605" spans="1:7">
      <c r="A1605">
        <v>134</v>
      </c>
      <c r="B1605" s="1">
        <v>46143</v>
      </c>
      <c r="C1605">
        <v>21</v>
      </c>
      <c r="D1605">
        <v>13</v>
      </c>
      <c r="E1605">
        <v>8</v>
      </c>
      <c r="F1605">
        <v>3</v>
      </c>
      <c r="G1605">
        <v>61.9</v>
      </c>
    </row>
    <row r="1606" spans="1:7">
      <c r="A1606">
        <v>134</v>
      </c>
      <c r="B1606" s="1">
        <v>46174</v>
      </c>
      <c r="C1606">
        <v>18</v>
      </c>
      <c r="D1606">
        <v>10</v>
      </c>
      <c r="E1606">
        <v>8</v>
      </c>
      <c r="F1606">
        <v>6</v>
      </c>
      <c r="G1606">
        <v>55.6</v>
      </c>
    </row>
    <row r="1607" spans="1:7">
      <c r="A1607">
        <v>134</v>
      </c>
      <c r="B1607" s="1">
        <v>46204</v>
      </c>
      <c r="C1607">
        <v>19</v>
      </c>
      <c r="D1607">
        <v>12</v>
      </c>
      <c r="E1607">
        <v>7</v>
      </c>
      <c r="F1607">
        <v>2</v>
      </c>
      <c r="G1607">
        <v>63.2</v>
      </c>
    </row>
    <row r="1608" spans="1:7">
      <c r="A1608">
        <v>134</v>
      </c>
      <c r="B1608" s="1">
        <v>46235</v>
      </c>
      <c r="C1608">
        <v>22</v>
      </c>
      <c r="D1608">
        <v>10</v>
      </c>
      <c r="E1608">
        <v>12</v>
      </c>
      <c r="F1608">
        <v>4</v>
      </c>
      <c r="G1608">
        <v>45.5</v>
      </c>
    </row>
    <row r="1609" spans="1:7">
      <c r="A1609">
        <v>134</v>
      </c>
      <c r="B1609" s="1">
        <v>46266</v>
      </c>
      <c r="C1609">
        <v>21</v>
      </c>
      <c r="D1609">
        <v>13</v>
      </c>
      <c r="E1609">
        <v>8</v>
      </c>
      <c r="F1609">
        <v>4</v>
      </c>
      <c r="G1609">
        <v>61.9</v>
      </c>
    </row>
    <row r="1610" spans="1:7">
      <c r="A1610">
        <v>135</v>
      </c>
      <c r="B1610" s="1">
        <v>45931</v>
      </c>
      <c r="C1610">
        <v>21</v>
      </c>
      <c r="D1610">
        <v>10</v>
      </c>
      <c r="E1610">
        <v>11</v>
      </c>
      <c r="F1610">
        <v>6</v>
      </c>
      <c r="G1610">
        <v>47.6</v>
      </c>
    </row>
    <row r="1611" spans="1:7">
      <c r="A1611">
        <v>135</v>
      </c>
      <c r="B1611" s="1">
        <v>45962</v>
      </c>
      <c r="C1611">
        <v>22</v>
      </c>
      <c r="D1611">
        <v>12</v>
      </c>
      <c r="E1611">
        <v>10</v>
      </c>
      <c r="F1611">
        <v>2</v>
      </c>
      <c r="G1611">
        <v>54.5</v>
      </c>
    </row>
    <row r="1612" spans="1:7">
      <c r="A1612">
        <v>135</v>
      </c>
      <c r="B1612" s="1">
        <v>45992</v>
      </c>
      <c r="C1612">
        <v>19</v>
      </c>
      <c r="D1612">
        <v>10</v>
      </c>
      <c r="E1612">
        <v>9</v>
      </c>
      <c r="F1612">
        <v>3</v>
      </c>
      <c r="G1612">
        <v>52.6</v>
      </c>
    </row>
    <row r="1613" spans="1:7">
      <c r="A1613">
        <v>135</v>
      </c>
      <c r="B1613" s="1">
        <v>46023</v>
      </c>
      <c r="C1613">
        <v>20</v>
      </c>
      <c r="D1613">
        <v>11</v>
      </c>
      <c r="E1613">
        <v>9</v>
      </c>
      <c r="F1613">
        <v>4</v>
      </c>
      <c r="G1613">
        <v>55</v>
      </c>
    </row>
    <row r="1614" spans="1:7">
      <c r="A1614">
        <v>135</v>
      </c>
      <c r="B1614" s="1">
        <v>46054</v>
      </c>
      <c r="C1614">
        <v>20</v>
      </c>
      <c r="D1614">
        <v>10</v>
      </c>
      <c r="E1614">
        <v>10</v>
      </c>
      <c r="F1614">
        <v>2</v>
      </c>
      <c r="G1614">
        <v>50</v>
      </c>
    </row>
    <row r="1615" spans="1:7">
      <c r="A1615">
        <v>135</v>
      </c>
      <c r="B1615" s="1">
        <v>46082</v>
      </c>
      <c r="C1615">
        <v>19</v>
      </c>
      <c r="D1615">
        <v>12</v>
      </c>
      <c r="E1615">
        <v>7</v>
      </c>
      <c r="F1615">
        <v>4</v>
      </c>
      <c r="G1615">
        <v>63.2</v>
      </c>
    </row>
    <row r="1616" spans="1:7">
      <c r="A1616">
        <v>135</v>
      </c>
      <c r="B1616" s="1">
        <v>46113</v>
      </c>
      <c r="C1616">
        <v>22</v>
      </c>
      <c r="D1616">
        <v>13</v>
      </c>
      <c r="E1616">
        <v>9</v>
      </c>
      <c r="F1616">
        <v>4</v>
      </c>
      <c r="G1616">
        <v>59.1</v>
      </c>
    </row>
    <row r="1617" spans="1:7">
      <c r="A1617">
        <v>135</v>
      </c>
      <c r="B1617" s="1">
        <v>46143</v>
      </c>
      <c r="C1617">
        <v>22</v>
      </c>
      <c r="D1617">
        <v>12</v>
      </c>
      <c r="E1617">
        <v>10</v>
      </c>
      <c r="F1617">
        <v>0</v>
      </c>
      <c r="G1617">
        <v>54.5</v>
      </c>
    </row>
    <row r="1618" spans="1:7">
      <c r="A1618">
        <v>135</v>
      </c>
      <c r="B1618" s="1">
        <v>46174</v>
      </c>
      <c r="C1618">
        <v>20</v>
      </c>
      <c r="D1618">
        <v>10</v>
      </c>
      <c r="E1618">
        <v>10</v>
      </c>
      <c r="F1618">
        <v>6</v>
      </c>
      <c r="G1618">
        <v>50</v>
      </c>
    </row>
    <row r="1619" spans="1:7">
      <c r="A1619">
        <v>135</v>
      </c>
      <c r="B1619" s="1">
        <v>46204</v>
      </c>
      <c r="C1619">
        <v>19</v>
      </c>
      <c r="D1619">
        <v>10</v>
      </c>
      <c r="E1619">
        <v>9</v>
      </c>
      <c r="F1619">
        <v>5</v>
      </c>
      <c r="G1619">
        <v>52.6</v>
      </c>
    </row>
    <row r="1620" spans="1:7">
      <c r="A1620">
        <v>135</v>
      </c>
      <c r="B1620" s="1">
        <v>46235</v>
      </c>
      <c r="C1620">
        <v>22</v>
      </c>
      <c r="D1620">
        <v>10</v>
      </c>
      <c r="E1620">
        <v>12</v>
      </c>
      <c r="F1620">
        <v>1</v>
      </c>
      <c r="G1620">
        <v>45.5</v>
      </c>
    </row>
    <row r="1621" spans="1:7">
      <c r="A1621">
        <v>135</v>
      </c>
      <c r="B1621" s="1">
        <v>46266</v>
      </c>
      <c r="C1621">
        <v>22</v>
      </c>
      <c r="D1621">
        <v>13</v>
      </c>
      <c r="E1621">
        <v>9</v>
      </c>
      <c r="F1621">
        <v>4</v>
      </c>
      <c r="G1621">
        <v>59.1</v>
      </c>
    </row>
    <row r="1622" spans="1:7">
      <c r="A1622">
        <v>136</v>
      </c>
      <c r="B1622" s="1">
        <v>45931</v>
      </c>
      <c r="C1622">
        <v>20</v>
      </c>
      <c r="D1622">
        <v>11</v>
      </c>
      <c r="E1622">
        <v>9</v>
      </c>
      <c r="F1622">
        <v>5</v>
      </c>
      <c r="G1622">
        <v>55</v>
      </c>
    </row>
    <row r="1623" spans="1:7">
      <c r="A1623">
        <v>136</v>
      </c>
      <c r="B1623" s="1">
        <v>45962</v>
      </c>
      <c r="C1623">
        <v>20</v>
      </c>
      <c r="D1623">
        <v>18</v>
      </c>
      <c r="E1623">
        <v>2</v>
      </c>
      <c r="F1623">
        <v>5</v>
      </c>
      <c r="G1623">
        <v>90</v>
      </c>
    </row>
    <row r="1624" spans="1:7">
      <c r="A1624">
        <v>136</v>
      </c>
      <c r="B1624" s="1">
        <v>45992</v>
      </c>
      <c r="C1624">
        <v>21</v>
      </c>
      <c r="D1624">
        <v>16</v>
      </c>
      <c r="E1624">
        <v>5</v>
      </c>
      <c r="F1624">
        <v>2</v>
      </c>
      <c r="G1624">
        <v>76.2</v>
      </c>
    </row>
    <row r="1625" spans="1:7">
      <c r="A1625">
        <v>136</v>
      </c>
      <c r="B1625" s="1">
        <v>46023</v>
      </c>
      <c r="C1625">
        <v>20</v>
      </c>
      <c r="D1625">
        <v>12</v>
      </c>
      <c r="E1625">
        <v>8</v>
      </c>
      <c r="F1625">
        <v>1</v>
      </c>
      <c r="G1625">
        <v>60</v>
      </c>
    </row>
    <row r="1626" spans="1:7">
      <c r="A1626">
        <v>136</v>
      </c>
      <c r="B1626" s="1">
        <v>46054</v>
      </c>
      <c r="C1626">
        <v>21</v>
      </c>
      <c r="D1626">
        <v>14</v>
      </c>
      <c r="E1626">
        <v>7</v>
      </c>
      <c r="F1626">
        <v>5</v>
      </c>
      <c r="G1626">
        <v>66.7</v>
      </c>
    </row>
    <row r="1627" spans="1:7">
      <c r="A1627">
        <v>136</v>
      </c>
      <c r="B1627" s="1">
        <v>46082</v>
      </c>
      <c r="C1627">
        <v>19</v>
      </c>
      <c r="D1627">
        <v>14</v>
      </c>
      <c r="E1627">
        <v>5</v>
      </c>
      <c r="F1627">
        <v>5</v>
      </c>
      <c r="G1627">
        <v>73.7</v>
      </c>
    </row>
    <row r="1628" spans="1:7">
      <c r="A1628">
        <v>136</v>
      </c>
      <c r="B1628" s="1">
        <v>46113</v>
      </c>
      <c r="C1628">
        <v>18</v>
      </c>
      <c r="D1628">
        <v>13</v>
      </c>
      <c r="E1628">
        <v>5</v>
      </c>
      <c r="F1628">
        <v>0</v>
      </c>
      <c r="G1628">
        <v>72.2</v>
      </c>
    </row>
    <row r="1629" spans="1:7">
      <c r="A1629">
        <v>136</v>
      </c>
      <c r="B1629" s="1">
        <v>46143</v>
      </c>
      <c r="C1629">
        <v>19</v>
      </c>
      <c r="D1629">
        <v>14</v>
      </c>
      <c r="E1629">
        <v>5</v>
      </c>
      <c r="F1629">
        <v>3</v>
      </c>
      <c r="G1629">
        <v>73.7</v>
      </c>
    </row>
    <row r="1630" spans="1:7">
      <c r="A1630">
        <v>136</v>
      </c>
      <c r="B1630" s="1">
        <v>46174</v>
      </c>
      <c r="C1630">
        <v>22</v>
      </c>
      <c r="D1630">
        <v>14</v>
      </c>
      <c r="E1630">
        <v>8</v>
      </c>
      <c r="F1630">
        <v>6</v>
      </c>
      <c r="G1630">
        <v>63.6</v>
      </c>
    </row>
    <row r="1631" spans="1:7">
      <c r="A1631">
        <v>136</v>
      </c>
      <c r="B1631" s="1">
        <v>46204</v>
      </c>
      <c r="C1631">
        <v>21</v>
      </c>
      <c r="D1631">
        <v>17</v>
      </c>
      <c r="E1631">
        <v>4</v>
      </c>
      <c r="F1631">
        <v>4</v>
      </c>
      <c r="G1631">
        <v>81</v>
      </c>
    </row>
    <row r="1632" spans="1:7">
      <c r="A1632">
        <v>136</v>
      </c>
      <c r="B1632" s="1">
        <v>46235</v>
      </c>
      <c r="C1632">
        <v>18</v>
      </c>
      <c r="D1632">
        <v>12</v>
      </c>
      <c r="E1632">
        <v>6</v>
      </c>
      <c r="F1632">
        <v>0</v>
      </c>
      <c r="G1632">
        <v>66.7</v>
      </c>
    </row>
    <row r="1633" spans="1:7">
      <c r="A1633">
        <v>136</v>
      </c>
      <c r="B1633" s="1">
        <v>46266</v>
      </c>
      <c r="C1633">
        <v>22</v>
      </c>
      <c r="D1633">
        <v>19</v>
      </c>
      <c r="E1633">
        <v>3</v>
      </c>
      <c r="F1633">
        <v>0</v>
      </c>
      <c r="G1633">
        <v>86.4</v>
      </c>
    </row>
    <row r="1634" spans="1:7">
      <c r="A1634">
        <v>137</v>
      </c>
      <c r="B1634" s="1">
        <v>45931</v>
      </c>
      <c r="C1634">
        <v>21</v>
      </c>
      <c r="D1634">
        <v>18</v>
      </c>
      <c r="E1634">
        <v>3</v>
      </c>
      <c r="F1634">
        <v>6</v>
      </c>
      <c r="G1634">
        <v>85.7</v>
      </c>
    </row>
    <row r="1635" spans="1:7">
      <c r="A1635">
        <v>137</v>
      </c>
      <c r="B1635" s="1">
        <v>45962</v>
      </c>
      <c r="C1635">
        <v>21</v>
      </c>
      <c r="D1635">
        <v>18</v>
      </c>
      <c r="E1635">
        <v>3</v>
      </c>
      <c r="F1635">
        <v>6</v>
      </c>
      <c r="G1635">
        <v>85.7</v>
      </c>
    </row>
    <row r="1636" spans="1:7">
      <c r="A1636">
        <v>137</v>
      </c>
      <c r="B1636" s="1">
        <v>45992</v>
      </c>
      <c r="C1636">
        <v>22</v>
      </c>
      <c r="D1636">
        <v>18</v>
      </c>
      <c r="E1636">
        <v>4</v>
      </c>
      <c r="F1636">
        <v>6</v>
      </c>
      <c r="G1636">
        <v>81.8</v>
      </c>
    </row>
    <row r="1637" spans="1:7">
      <c r="A1637">
        <v>137</v>
      </c>
      <c r="B1637" s="1">
        <v>46023</v>
      </c>
      <c r="C1637">
        <v>18</v>
      </c>
      <c r="D1637">
        <v>13</v>
      </c>
      <c r="E1637">
        <v>5</v>
      </c>
      <c r="F1637">
        <v>0</v>
      </c>
      <c r="G1637">
        <v>72.2</v>
      </c>
    </row>
    <row r="1638" spans="1:7">
      <c r="A1638">
        <v>137</v>
      </c>
      <c r="B1638" s="1">
        <v>46054</v>
      </c>
      <c r="C1638">
        <v>21</v>
      </c>
      <c r="D1638">
        <v>18</v>
      </c>
      <c r="E1638">
        <v>3</v>
      </c>
      <c r="F1638">
        <v>0</v>
      </c>
      <c r="G1638">
        <v>85.7</v>
      </c>
    </row>
    <row r="1639" spans="1:7">
      <c r="A1639">
        <v>137</v>
      </c>
      <c r="B1639" s="1">
        <v>46082</v>
      </c>
      <c r="C1639">
        <v>19</v>
      </c>
      <c r="D1639">
        <v>14</v>
      </c>
      <c r="E1639">
        <v>5</v>
      </c>
      <c r="F1639">
        <v>5</v>
      </c>
      <c r="G1639">
        <v>73.7</v>
      </c>
    </row>
    <row r="1640" spans="1:7">
      <c r="A1640">
        <v>137</v>
      </c>
      <c r="B1640" s="1">
        <v>46113</v>
      </c>
      <c r="C1640">
        <v>18</v>
      </c>
      <c r="D1640">
        <v>14</v>
      </c>
      <c r="E1640">
        <v>4</v>
      </c>
      <c r="F1640">
        <v>5</v>
      </c>
      <c r="G1640">
        <v>77.8</v>
      </c>
    </row>
    <row r="1641" spans="1:7">
      <c r="A1641">
        <v>137</v>
      </c>
      <c r="B1641" s="1">
        <v>46143</v>
      </c>
      <c r="C1641">
        <v>20</v>
      </c>
      <c r="D1641">
        <v>19</v>
      </c>
      <c r="E1641">
        <v>1</v>
      </c>
      <c r="F1641">
        <v>1</v>
      </c>
      <c r="G1641">
        <v>95</v>
      </c>
    </row>
    <row r="1642" spans="1:7">
      <c r="A1642">
        <v>137</v>
      </c>
      <c r="B1642" s="1">
        <v>46174</v>
      </c>
      <c r="C1642">
        <v>18</v>
      </c>
      <c r="D1642">
        <v>13</v>
      </c>
      <c r="E1642">
        <v>5</v>
      </c>
      <c r="F1642">
        <v>6</v>
      </c>
      <c r="G1642">
        <v>72.2</v>
      </c>
    </row>
    <row r="1643" spans="1:7">
      <c r="A1643">
        <v>137</v>
      </c>
      <c r="B1643" s="1">
        <v>46204</v>
      </c>
      <c r="C1643">
        <v>19</v>
      </c>
      <c r="D1643">
        <v>17</v>
      </c>
      <c r="E1643">
        <v>2</v>
      </c>
      <c r="F1643">
        <v>1</v>
      </c>
      <c r="G1643">
        <v>89.5</v>
      </c>
    </row>
    <row r="1644" spans="1:7">
      <c r="A1644">
        <v>137</v>
      </c>
      <c r="B1644" s="1">
        <v>46235</v>
      </c>
      <c r="C1644">
        <v>21</v>
      </c>
      <c r="D1644">
        <v>16</v>
      </c>
      <c r="E1644">
        <v>5</v>
      </c>
      <c r="F1644">
        <v>3</v>
      </c>
      <c r="G1644">
        <v>76.2</v>
      </c>
    </row>
    <row r="1645" spans="1:7">
      <c r="A1645">
        <v>137</v>
      </c>
      <c r="B1645" s="1">
        <v>46266</v>
      </c>
      <c r="C1645">
        <v>22</v>
      </c>
      <c r="D1645">
        <v>18</v>
      </c>
      <c r="E1645">
        <v>4</v>
      </c>
      <c r="F1645">
        <v>1</v>
      </c>
      <c r="G1645">
        <v>81.8</v>
      </c>
    </row>
    <row r="1646" spans="1:7">
      <c r="A1646">
        <v>138</v>
      </c>
      <c r="B1646" s="1">
        <v>45931</v>
      </c>
      <c r="C1646">
        <v>18</v>
      </c>
      <c r="D1646">
        <v>12</v>
      </c>
      <c r="E1646">
        <v>6</v>
      </c>
      <c r="F1646">
        <v>3</v>
      </c>
      <c r="G1646">
        <v>66.7</v>
      </c>
    </row>
    <row r="1647" spans="1:7">
      <c r="A1647">
        <v>138</v>
      </c>
      <c r="B1647" s="1">
        <v>45962</v>
      </c>
      <c r="C1647">
        <v>18</v>
      </c>
      <c r="D1647">
        <v>10</v>
      </c>
      <c r="E1647">
        <v>8</v>
      </c>
      <c r="F1647">
        <v>6</v>
      </c>
      <c r="G1647">
        <v>55.6</v>
      </c>
    </row>
    <row r="1648" spans="1:7">
      <c r="A1648">
        <v>138</v>
      </c>
      <c r="B1648" s="1">
        <v>45992</v>
      </c>
      <c r="C1648">
        <v>20</v>
      </c>
      <c r="D1648">
        <v>17</v>
      </c>
      <c r="E1648">
        <v>3</v>
      </c>
      <c r="F1648">
        <v>4</v>
      </c>
      <c r="G1648">
        <v>85</v>
      </c>
    </row>
    <row r="1649" spans="1:7">
      <c r="A1649">
        <v>138</v>
      </c>
      <c r="B1649" s="1">
        <v>46023</v>
      </c>
      <c r="C1649">
        <v>19</v>
      </c>
      <c r="D1649">
        <v>15</v>
      </c>
      <c r="E1649">
        <v>4</v>
      </c>
      <c r="F1649">
        <v>5</v>
      </c>
      <c r="G1649">
        <v>78.900000000000006</v>
      </c>
    </row>
    <row r="1650" spans="1:7">
      <c r="A1650">
        <v>138</v>
      </c>
      <c r="B1650" s="1">
        <v>46054</v>
      </c>
      <c r="C1650">
        <v>22</v>
      </c>
      <c r="D1650">
        <v>19</v>
      </c>
      <c r="E1650">
        <v>3</v>
      </c>
      <c r="F1650">
        <v>1</v>
      </c>
      <c r="G1650">
        <v>86.4</v>
      </c>
    </row>
    <row r="1651" spans="1:7">
      <c r="A1651">
        <v>138</v>
      </c>
      <c r="B1651" s="1">
        <v>46082</v>
      </c>
      <c r="C1651">
        <v>18</v>
      </c>
      <c r="D1651">
        <v>16</v>
      </c>
      <c r="E1651">
        <v>2</v>
      </c>
      <c r="F1651">
        <v>4</v>
      </c>
      <c r="G1651">
        <v>88.9</v>
      </c>
    </row>
    <row r="1652" spans="1:7">
      <c r="A1652">
        <v>138</v>
      </c>
      <c r="B1652" s="1">
        <v>46113</v>
      </c>
      <c r="C1652">
        <v>19</v>
      </c>
      <c r="D1652">
        <v>14</v>
      </c>
      <c r="E1652">
        <v>5</v>
      </c>
      <c r="F1652">
        <v>4</v>
      </c>
      <c r="G1652">
        <v>73.7</v>
      </c>
    </row>
    <row r="1653" spans="1:7">
      <c r="A1653">
        <v>138</v>
      </c>
      <c r="B1653" s="1">
        <v>46143</v>
      </c>
      <c r="C1653">
        <v>19</v>
      </c>
      <c r="D1653">
        <v>15</v>
      </c>
      <c r="E1653">
        <v>4</v>
      </c>
      <c r="F1653">
        <v>4</v>
      </c>
      <c r="G1653">
        <v>78.900000000000006</v>
      </c>
    </row>
    <row r="1654" spans="1:7">
      <c r="A1654">
        <v>138</v>
      </c>
      <c r="B1654" s="1">
        <v>46174</v>
      </c>
      <c r="C1654">
        <v>20</v>
      </c>
      <c r="D1654">
        <v>14</v>
      </c>
      <c r="E1654">
        <v>6</v>
      </c>
      <c r="F1654">
        <v>5</v>
      </c>
      <c r="G1654">
        <v>70</v>
      </c>
    </row>
    <row r="1655" spans="1:7">
      <c r="A1655">
        <v>138</v>
      </c>
      <c r="B1655" s="1">
        <v>46204</v>
      </c>
      <c r="C1655">
        <v>22</v>
      </c>
      <c r="D1655">
        <v>14</v>
      </c>
      <c r="E1655">
        <v>8</v>
      </c>
      <c r="F1655">
        <v>4</v>
      </c>
      <c r="G1655">
        <v>63.6</v>
      </c>
    </row>
    <row r="1656" spans="1:7">
      <c r="A1656">
        <v>138</v>
      </c>
      <c r="B1656" s="1">
        <v>46235</v>
      </c>
      <c r="C1656">
        <v>20</v>
      </c>
      <c r="D1656">
        <v>17</v>
      </c>
      <c r="E1656">
        <v>3</v>
      </c>
      <c r="F1656">
        <v>0</v>
      </c>
      <c r="G1656">
        <v>85</v>
      </c>
    </row>
    <row r="1657" spans="1:7">
      <c r="A1657">
        <v>138</v>
      </c>
      <c r="B1657" s="1">
        <v>46266</v>
      </c>
      <c r="C1657">
        <v>21</v>
      </c>
      <c r="D1657">
        <v>20</v>
      </c>
      <c r="E1657">
        <v>1</v>
      </c>
      <c r="F1657">
        <v>0</v>
      </c>
      <c r="G1657">
        <v>95.2</v>
      </c>
    </row>
    <row r="1658" spans="1:7">
      <c r="A1658">
        <v>139</v>
      </c>
      <c r="B1658" s="1">
        <v>45931</v>
      </c>
      <c r="C1658">
        <v>20</v>
      </c>
      <c r="D1658">
        <v>18</v>
      </c>
      <c r="E1658">
        <v>2</v>
      </c>
      <c r="F1658">
        <v>2</v>
      </c>
      <c r="G1658">
        <v>90</v>
      </c>
    </row>
    <row r="1659" spans="1:7">
      <c r="A1659">
        <v>139</v>
      </c>
      <c r="B1659" s="1">
        <v>45962</v>
      </c>
      <c r="C1659">
        <v>18</v>
      </c>
      <c r="D1659">
        <v>10</v>
      </c>
      <c r="E1659">
        <v>8</v>
      </c>
      <c r="F1659">
        <v>5</v>
      </c>
      <c r="G1659">
        <v>55.6</v>
      </c>
    </row>
    <row r="1660" spans="1:7">
      <c r="A1660">
        <v>139</v>
      </c>
      <c r="B1660" s="1">
        <v>45992</v>
      </c>
      <c r="C1660">
        <v>22</v>
      </c>
      <c r="D1660">
        <v>16</v>
      </c>
      <c r="E1660">
        <v>6</v>
      </c>
      <c r="F1660">
        <v>6</v>
      </c>
      <c r="G1660">
        <v>72.7</v>
      </c>
    </row>
    <row r="1661" spans="1:7">
      <c r="A1661">
        <v>139</v>
      </c>
      <c r="B1661" s="1">
        <v>46023</v>
      </c>
      <c r="C1661">
        <v>18</v>
      </c>
      <c r="D1661">
        <v>10</v>
      </c>
      <c r="E1661">
        <v>8</v>
      </c>
      <c r="F1661">
        <v>5</v>
      </c>
      <c r="G1661">
        <v>55.6</v>
      </c>
    </row>
    <row r="1662" spans="1:7">
      <c r="A1662">
        <v>139</v>
      </c>
      <c r="B1662" s="1">
        <v>46054</v>
      </c>
      <c r="C1662">
        <v>19</v>
      </c>
      <c r="D1662">
        <v>10</v>
      </c>
      <c r="E1662">
        <v>9</v>
      </c>
      <c r="F1662">
        <v>4</v>
      </c>
      <c r="G1662">
        <v>52.6</v>
      </c>
    </row>
    <row r="1663" spans="1:7">
      <c r="A1663">
        <v>139</v>
      </c>
      <c r="B1663" s="1">
        <v>46082</v>
      </c>
      <c r="C1663">
        <v>21</v>
      </c>
      <c r="D1663">
        <v>11</v>
      </c>
      <c r="E1663">
        <v>10</v>
      </c>
      <c r="F1663">
        <v>2</v>
      </c>
      <c r="G1663">
        <v>52.4</v>
      </c>
    </row>
    <row r="1664" spans="1:7">
      <c r="A1664">
        <v>139</v>
      </c>
      <c r="B1664" s="1">
        <v>46113</v>
      </c>
      <c r="C1664">
        <v>18</v>
      </c>
      <c r="D1664">
        <v>11</v>
      </c>
      <c r="E1664">
        <v>7</v>
      </c>
      <c r="F1664">
        <v>4</v>
      </c>
      <c r="G1664">
        <v>61.1</v>
      </c>
    </row>
    <row r="1665" spans="1:7">
      <c r="A1665">
        <v>139</v>
      </c>
      <c r="B1665" s="1">
        <v>46143</v>
      </c>
      <c r="C1665">
        <v>18</v>
      </c>
      <c r="D1665">
        <v>10</v>
      </c>
      <c r="E1665">
        <v>8</v>
      </c>
      <c r="F1665">
        <v>5</v>
      </c>
      <c r="G1665">
        <v>55.6</v>
      </c>
    </row>
    <row r="1666" spans="1:7">
      <c r="A1666">
        <v>139</v>
      </c>
      <c r="B1666" s="1">
        <v>46174</v>
      </c>
      <c r="C1666">
        <v>19</v>
      </c>
      <c r="D1666">
        <v>10</v>
      </c>
      <c r="E1666">
        <v>9</v>
      </c>
      <c r="F1666">
        <v>0</v>
      </c>
      <c r="G1666">
        <v>52.6</v>
      </c>
    </row>
    <row r="1667" spans="1:7">
      <c r="A1667">
        <v>139</v>
      </c>
      <c r="B1667" s="1">
        <v>46204</v>
      </c>
      <c r="C1667">
        <v>19</v>
      </c>
      <c r="D1667">
        <v>11</v>
      </c>
      <c r="E1667">
        <v>8</v>
      </c>
      <c r="F1667">
        <v>1</v>
      </c>
      <c r="G1667">
        <v>57.9</v>
      </c>
    </row>
    <row r="1668" spans="1:7">
      <c r="A1668">
        <v>139</v>
      </c>
      <c r="B1668" s="1">
        <v>46235</v>
      </c>
      <c r="C1668">
        <v>19</v>
      </c>
      <c r="D1668">
        <v>11</v>
      </c>
      <c r="E1668">
        <v>8</v>
      </c>
      <c r="F1668">
        <v>5</v>
      </c>
      <c r="G1668">
        <v>57.9</v>
      </c>
    </row>
    <row r="1669" spans="1:7">
      <c r="A1669">
        <v>139</v>
      </c>
      <c r="B1669" s="1">
        <v>46266</v>
      </c>
      <c r="C1669">
        <v>18</v>
      </c>
      <c r="D1669">
        <v>10</v>
      </c>
      <c r="E1669">
        <v>8</v>
      </c>
      <c r="F1669">
        <v>0</v>
      </c>
      <c r="G1669">
        <v>55.6</v>
      </c>
    </row>
    <row r="1670" spans="1:7">
      <c r="A1670">
        <v>140</v>
      </c>
      <c r="B1670" s="1">
        <v>45931</v>
      </c>
      <c r="C1670">
        <v>21</v>
      </c>
      <c r="D1670">
        <v>14</v>
      </c>
      <c r="E1670">
        <v>7</v>
      </c>
      <c r="F1670">
        <v>6</v>
      </c>
      <c r="G1670">
        <v>66.7</v>
      </c>
    </row>
    <row r="1671" spans="1:7">
      <c r="A1671">
        <v>140</v>
      </c>
      <c r="B1671" s="1">
        <v>45962</v>
      </c>
      <c r="C1671">
        <v>20</v>
      </c>
      <c r="D1671">
        <v>12</v>
      </c>
      <c r="E1671">
        <v>8</v>
      </c>
      <c r="F1671">
        <v>6</v>
      </c>
      <c r="G1671">
        <v>60</v>
      </c>
    </row>
    <row r="1672" spans="1:7">
      <c r="A1672">
        <v>140</v>
      </c>
      <c r="B1672" s="1">
        <v>45992</v>
      </c>
      <c r="C1672">
        <v>20</v>
      </c>
      <c r="D1672">
        <v>12</v>
      </c>
      <c r="E1672">
        <v>8</v>
      </c>
      <c r="F1672">
        <v>2</v>
      </c>
      <c r="G1672">
        <v>60</v>
      </c>
    </row>
    <row r="1673" spans="1:7">
      <c r="A1673">
        <v>140</v>
      </c>
      <c r="B1673" s="1">
        <v>46023</v>
      </c>
      <c r="C1673">
        <v>18</v>
      </c>
      <c r="D1673">
        <v>10</v>
      </c>
      <c r="E1673">
        <v>8</v>
      </c>
      <c r="F1673">
        <v>6</v>
      </c>
      <c r="G1673">
        <v>55.6</v>
      </c>
    </row>
    <row r="1674" spans="1:7">
      <c r="A1674">
        <v>140</v>
      </c>
      <c r="B1674" s="1">
        <v>46054</v>
      </c>
      <c r="C1674">
        <v>20</v>
      </c>
      <c r="D1674">
        <v>14</v>
      </c>
      <c r="E1674">
        <v>6</v>
      </c>
      <c r="F1674">
        <v>0</v>
      </c>
      <c r="G1674">
        <v>70</v>
      </c>
    </row>
    <row r="1675" spans="1:7">
      <c r="A1675">
        <v>140</v>
      </c>
      <c r="B1675" s="1">
        <v>46082</v>
      </c>
      <c r="C1675">
        <v>22</v>
      </c>
      <c r="D1675">
        <v>14</v>
      </c>
      <c r="E1675">
        <v>8</v>
      </c>
      <c r="F1675">
        <v>4</v>
      </c>
      <c r="G1675">
        <v>63.6</v>
      </c>
    </row>
    <row r="1676" spans="1:7">
      <c r="A1676">
        <v>140</v>
      </c>
      <c r="B1676" s="1">
        <v>46113</v>
      </c>
      <c r="C1676">
        <v>21</v>
      </c>
      <c r="D1676">
        <v>13</v>
      </c>
      <c r="E1676">
        <v>8</v>
      </c>
      <c r="F1676">
        <v>4</v>
      </c>
      <c r="G1676">
        <v>61.9</v>
      </c>
    </row>
    <row r="1677" spans="1:7">
      <c r="A1677">
        <v>140</v>
      </c>
      <c r="B1677" s="1">
        <v>46143</v>
      </c>
      <c r="C1677">
        <v>18</v>
      </c>
      <c r="D1677">
        <v>13</v>
      </c>
      <c r="E1677">
        <v>5</v>
      </c>
      <c r="F1677">
        <v>0</v>
      </c>
      <c r="G1677">
        <v>72.2</v>
      </c>
    </row>
    <row r="1678" spans="1:7">
      <c r="A1678">
        <v>140</v>
      </c>
      <c r="B1678" s="1">
        <v>46174</v>
      </c>
      <c r="C1678">
        <v>18</v>
      </c>
      <c r="D1678">
        <v>10</v>
      </c>
      <c r="E1678">
        <v>8</v>
      </c>
      <c r="F1678">
        <v>6</v>
      </c>
      <c r="G1678">
        <v>55.6</v>
      </c>
    </row>
    <row r="1679" spans="1:7">
      <c r="A1679">
        <v>140</v>
      </c>
      <c r="B1679" s="1">
        <v>46204</v>
      </c>
      <c r="C1679">
        <v>18</v>
      </c>
      <c r="D1679">
        <v>11</v>
      </c>
      <c r="E1679">
        <v>7</v>
      </c>
      <c r="F1679">
        <v>6</v>
      </c>
      <c r="G1679">
        <v>61.1</v>
      </c>
    </row>
    <row r="1680" spans="1:7">
      <c r="A1680">
        <v>140</v>
      </c>
      <c r="B1680" s="1">
        <v>46235</v>
      </c>
      <c r="C1680">
        <v>19</v>
      </c>
      <c r="D1680">
        <v>10</v>
      </c>
      <c r="E1680">
        <v>9</v>
      </c>
      <c r="F1680">
        <v>0</v>
      </c>
      <c r="G1680">
        <v>52.6</v>
      </c>
    </row>
    <row r="1681" spans="1:7">
      <c r="A1681">
        <v>140</v>
      </c>
      <c r="B1681" s="1">
        <v>46266</v>
      </c>
      <c r="C1681">
        <v>20</v>
      </c>
      <c r="D1681">
        <v>11</v>
      </c>
      <c r="E1681">
        <v>9</v>
      </c>
      <c r="F1681">
        <v>4</v>
      </c>
      <c r="G1681">
        <v>55</v>
      </c>
    </row>
    <row r="1682" spans="1:7">
      <c r="A1682">
        <v>141</v>
      </c>
      <c r="B1682" s="1">
        <v>45931</v>
      </c>
      <c r="C1682">
        <v>21</v>
      </c>
      <c r="D1682">
        <v>14</v>
      </c>
      <c r="E1682">
        <v>7</v>
      </c>
      <c r="F1682">
        <v>4</v>
      </c>
      <c r="G1682">
        <v>66.7</v>
      </c>
    </row>
    <row r="1683" spans="1:7">
      <c r="A1683">
        <v>141</v>
      </c>
      <c r="B1683" s="1">
        <v>45962</v>
      </c>
      <c r="C1683">
        <v>18</v>
      </c>
      <c r="D1683">
        <v>13</v>
      </c>
      <c r="E1683">
        <v>5</v>
      </c>
      <c r="F1683">
        <v>2</v>
      </c>
      <c r="G1683">
        <v>72.2</v>
      </c>
    </row>
    <row r="1684" spans="1:7">
      <c r="A1684">
        <v>141</v>
      </c>
      <c r="B1684" s="1">
        <v>45992</v>
      </c>
      <c r="C1684">
        <v>21</v>
      </c>
      <c r="D1684">
        <v>19</v>
      </c>
      <c r="E1684">
        <v>2</v>
      </c>
      <c r="F1684">
        <v>3</v>
      </c>
      <c r="G1684">
        <v>90.5</v>
      </c>
    </row>
    <row r="1685" spans="1:7">
      <c r="A1685">
        <v>141</v>
      </c>
      <c r="B1685" s="1">
        <v>46023</v>
      </c>
      <c r="C1685">
        <v>19</v>
      </c>
      <c r="D1685">
        <v>13</v>
      </c>
      <c r="E1685">
        <v>6</v>
      </c>
      <c r="F1685">
        <v>6</v>
      </c>
      <c r="G1685">
        <v>68.400000000000006</v>
      </c>
    </row>
    <row r="1686" spans="1:7">
      <c r="A1686">
        <v>141</v>
      </c>
      <c r="B1686" s="1">
        <v>46054</v>
      </c>
      <c r="C1686">
        <v>22</v>
      </c>
      <c r="D1686">
        <v>17</v>
      </c>
      <c r="E1686">
        <v>5</v>
      </c>
      <c r="F1686">
        <v>3</v>
      </c>
      <c r="G1686">
        <v>77.3</v>
      </c>
    </row>
    <row r="1687" spans="1:7">
      <c r="A1687">
        <v>141</v>
      </c>
      <c r="B1687" s="1">
        <v>46082</v>
      </c>
      <c r="C1687">
        <v>21</v>
      </c>
      <c r="D1687">
        <v>20</v>
      </c>
      <c r="E1687">
        <v>1</v>
      </c>
      <c r="F1687">
        <v>3</v>
      </c>
      <c r="G1687">
        <v>95.2</v>
      </c>
    </row>
    <row r="1688" spans="1:7">
      <c r="A1688">
        <v>141</v>
      </c>
      <c r="B1688" s="1">
        <v>46113</v>
      </c>
      <c r="C1688">
        <v>21</v>
      </c>
      <c r="D1688">
        <v>15</v>
      </c>
      <c r="E1688">
        <v>6</v>
      </c>
      <c r="F1688">
        <v>2</v>
      </c>
      <c r="G1688">
        <v>71.400000000000006</v>
      </c>
    </row>
    <row r="1689" spans="1:7">
      <c r="A1689">
        <v>141</v>
      </c>
      <c r="B1689" s="1">
        <v>46143</v>
      </c>
      <c r="C1689">
        <v>18</v>
      </c>
      <c r="D1689">
        <v>16</v>
      </c>
      <c r="E1689">
        <v>2</v>
      </c>
      <c r="F1689">
        <v>3</v>
      </c>
      <c r="G1689">
        <v>88.9</v>
      </c>
    </row>
    <row r="1690" spans="1:7">
      <c r="A1690">
        <v>141</v>
      </c>
      <c r="B1690" s="1">
        <v>46174</v>
      </c>
      <c r="C1690">
        <v>22</v>
      </c>
      <c r="D1690">
        <v>19</v>
      </c>
      <c r="E1690">
        <v>3</v>
      </c>
      <c r="F1690">
        <v>0</v>
      </c>
      <c r="G1690">
        <v>86.4</v>
      </c>
    </row>
    <row r="1691" spans="1:7">
      <c r="A1691">
        <v>141</v>
      </c>
      <c r="B1691" s="1">
        <v>46204</v>
      </c>
      <c r="C1691">
        <v>18</v>
      </c>
      <c r="D1691">
        <v>13</v>
      </c>
      <c r="E1691">
        <v>5</v>
      </c>
      <c r="F1691">
        <v>4</v>
      </c>
      <c r="G1691">
        <v>72.2</v>
      </c>
    </row>
    <row r="1692" spans="1:7">
      <c r="A1692">
        <v>141</v>
      </c>
      <c r="B1692" s="1">
        <v>46235</v>
      </c>
      <c r="C1692">
        <v>18</v>
      </c>
      <c r="D1692">
        <v>17</v>
      </c>
      <c r="E1692">
        <v>1</v>
      </c>
      <c r="F1692">
        <v>4</v>
      </c>
      <c r="G1692">
        <v>94.4</v>
      </c>
    </row>
    <row r="1693" spans="1:7">
      <c r="A1693">
        <v>141</v>
      </c>
      <c r="B1693" s="1">
        <v>46266</v>
      </c>
      <c r="C1693">
        <v>19</v>
      </c>
      <c r="D1693">
        <v>17</v>
      </c>
      <c r="E1693">
        <v>2</v>
      </c>
      <c r="F1693">
        <v>5</v>
      </c>
      <c r="G1693">
        <v>89.5</v>
      </c>
    </row>
    <row r="1694" spans="1:7">
      <c r="A1694">
        <v>142</v>
      </c>
      <c r="B1694" s="1">
        <v>45931</v>
      </c>
      <c r="C1694">
        <v>22</v>
      </c>
      <c r="D1694">
        <v>18</v>
      </c>
      <c r="E1694">
        <v>4</v>
      </c>
      <c r="F1694">
        <v>5</v>
      </c>
      <c r="G1694">
        <v>81.8</v>
      </c>
    </row>
    <row r="1695" spans="1:7">
      <c r="A1695">
        <v>142</v>
      </c>
      <c r="B1695" s="1">
        <v>45962</v>
      </c>
      <c r="C1695">
        <v>22</v>
      </c>
      <c r="D1695">
        <v>16</v>
      </c>
      <c r="E1695">
        <v>6</v>
      </c>
      <c r="F1695">
        <v>3</v>
      </c>
      <c r="G1695">
        <v>72.7</v>
      </c>
    </row>
    <row r="1696" spans="1:7">
      <c r="A1696">
        <v>142</v>
      </c>
      <c r="B1696" s="1">
        <v>45992</v>
      </c>
      <c r="C1696">
        <v>19</v>
      </c>
      <c r="D1696">
        <v>15</v>
      </c>
      <c r="E1696">
        <v>4</v>
      </c>
      <c r="F1696">
        <v>0</v>
      </c>
      <c r="G1696">
        <v>78.900000000000006</v>
      </c>
    </row>
    <row r="1697" spans="1:7">
      <c r="A1697">
        <v>142</v>
      </c>
      <c r="B1697" s="1">
        <v>46023</v>
      </c>
      <c r="C1697">
        <v>19</v>
      </c>
      <c r="D1697">
        <v>12</v>
      </c>
      <c r="E1697">
        <v>7</v>
      </c>
      <c r="F1697">
        <v>2</v>
      </c>
      <c r="G1697">
        <v>63.2</v>
      </c>
    </row>
    <row r="1698" spans="1:7">
      <c r="A1698">
        <v>142</v>
      </c>
      <c r="B1698" s="1">
        <v>46054</v>
      </c>
      <c r="C1698">
        <v>22</v>
      </c>
      <c r="D1698">
        <v>22</v>
      </c>
      <c r="E1698">
        <v>0</v>
      </c>
      <c r="F1698">
        <v>2</v>
      </c>
      <c r="G1698">
        <v>100</v>
      </c>
    </row>
    <row r="1699" spans="1:7">
      <c r="A1699">
        <v>142</v>
      </c>
      <c r="B1699" s="1">
        <v>46082</v>
      </c>
      <c r="C1699">
        <v>20</v>
      </c>
      <c r="D1699">
        <v>14</v>
      </c>
      <c r="E1699">
        <v>6</v>
      </c>
      <c r="F1699">
        <v>4</v>
      </c>
      <c r="G1699">
        <v>70</v>
      </c>
    </row>
    <row r="1700" spans="1:7">
      <c r="A1700">
        <v>142</v>
      </c>
      <c r="B1700" s="1">
        <v>46113</v>
      </c>
      <c r="C1700">
        <v>22</v>
      </c>
      <c r="D1700">
        <v>18</v>
      </c>
      <c r="E1700">
        <v>4</v>
      </c>
      <c r="F1700">
        <v>2</v>
      </c>
      <c r="G1700">
        <v>81.8</v>
      </c>
    </row>
    <row r="1701" spans="1:7">
      <c r="A1701">
        <v>142</v>
      </c>
      <c r="B1701" s="1">
        <v>46143</v>
      </c>
      <c r="C1701">
        <v>22</v>
      </c>
      <c r="D1701">
        <v>19</v>
      </c>
      <c r="E1701">
        <v>3</v>
      </c>
      <c r="F1701">
        <v>2</v>
      </c>
      <c r="G1701">
        <v>86.4</v>
      </c>
    </row>
    <row r="1702" spans="1:7">
      <c r="A1702">
        <v>142</v>
      </c>
      <c r="B1702" s="1">
        <v>46174</v>
      </c>
      <c r="C1702">
        <v>20</v>
      </c>
      <c r="D1702">
        <v>16</v>
      </c>
      <c r="E1702">
        <v>4</v>
      </c>
      <c r="F1702">
        <v>4</v>
      </c>
      <c r="G1702">
        <v>80</v>
      </c>
    </row>
    <row r="1703" spans="1:7">
      <c r="A1703">
        <v>142</v>
      </c>
      <c r="B1703" s="1">
        <v>46204</v>
      </c>
      <c r="C1703">
        <v>19</v>
      </c>
      <c r="D1703">
        <v>15</v>
      </c>
      <c r="E1703">
        <v>4</v>
      </c>
      <c r="F1703">
        <v>0</v>
      </c>
      <c r="G1703">
        <v>78.900000000000006</v>
      </c>
    </row>
    <row r="1704" spans="1:7">
      <c r="A1704">
        <v>142</v>
      </c>
      <c r="B1704" s="1">
        <v>46235</v>
      </c>
      <c r="C1704">
        <v>19</v>
      </c>
      <c r="D1704">
        <v>19</v>
      </c>
      <c r="E1704">
        <v>0</v>
      </c>
      <c r="F1704">
        <v>0</v>
      </c>
      <c r="G1704">
        <v>100</v>
      </c>
    </row>
    <row r="1705" spans="1:7">
      <c r="A1705">
        <v>142</v>
      </c>
      <c r="B1705" s="1">
        <v>46266</v>
      </c>
      <c r="C1705">
        <v>21</v>
      </c>
      <c r="D1705">
        <v>17</v>
      </c>
      <c r="E1705">
        <v>4</v>
      </c>
      <c r="F1705">
        <v>2</v>
      </c>
      <c r="G1705">
        <v>81</v>
      </c>
    </row>
    <row r="1706" spans="1:7">
      <c r="A1706">
        <v>143</v>
      </c>
      <c r="B1706" s="1">
        <v>45931</v>
      </c>
      <c r="C1706">
        <v>19</v>
      </c>
      <c r="D1706">
        <v>10</v>
      </c>
      <c r="E1706">
        <v>9</v>
      </c>
      <c r="F1706">
        <v>1</v>
      </c>
      <c r="G1706">
        <v>52.6</v>
      </c>
    </row>
    <row r="1707" spans="1:7">
      <c r="A1707">
        <v>143</v>
      </c>
      <c r="B1707" s="1">
        <v>45962</v>
      </c>
      <c r="C1707">
        <v>18</v>
      </c>
      <c r="D1707">
        <v>10</v>
      </c>
      <c r="E1707">
        <v>8</v>
      </c>
      <c r="F1707">
        <v>2</v>
      </c>
      <c r="G1707">
        <v>55.6</v>
      </c>
    </row>
    <row r="1708" spans="1:7">
      <c r="A1708">
        <v>143</v>
      </c>
      <c r="B1708" s="1">
        <v>45992</v>
      </c>
      <c r="C1708">
        <v>19</v>
      </c>
      <c r="D1708">
        <v>12</v>
      </c>
      <c r="E1708">
        <v>7</v>
      </c>
      <c r="F1708">
        <v>3</v>
      </c>
      <c r="G1708">
        <v>63.2</v>
      </c>
    </row>
    <row r="1709" spans="1:7">
      <c r="A1709">
        <v>143</v>
      </c>
      <c r="B1709" s="1">
        <v>46023</v>
      </c>
      <c r="C1709">
        <v>22</v>
      </c>
      <c r="D1709">
        <v>16</v>
      </c>
      <c r="E1709">
        <v>6</v>
      </c>
      <c r="F1709">
        <v>5</v>
      </c>
      <c r="G1709">
        <v>72.7</v>
      </c>
    </row>
    <row r="1710" spans="1:7">
      <c r="A1710">
        <v>143</v>
      </c>
      <c r="B1710" s="1">
        <v>46054</v>
      </c>
      <c r="C1710">
        <v>20</v>
      </c>
      <c r="D1710">
        <v>10</v>
      </c>
      <c r="E1710">
        <v>10</v>
      </c>
      <c r="F1710">
        <v>2</v>
      </c>
      <c r="G1710">
        <v>50</v>
      </c>
    </row>
    <row r="1711" spans="1:7">
      <c r="A1711">
        <v>143</v>
      </c>
      <c r="B1711" s="1">
        <v>46082</v>
      </c>
      <c r="C1711">
        <v>22</v>
      </c>
      <c r="D1711">
        <v>16</v>
      </c>
      <c r="E1711">
        <v>6</v>
      </c>
      <c r="F1711">
        <v>2</v>
      </c>
      <c r="G1711">
        <v>72.7</v>
      </c>
    </row>
    <row r="1712" spans="1:7">
      <c r="A1712">
        <v>143</v>
      </c>
      <c r="B1712" s="1">
        <v>46113</v>
      </c>
      <c r="C1712">
        <v>21</v>
      </c>
      <c r="D1712">
        <v>13</v>
      </c>
      <c r="E1712">
        <v>8</v>
      </c>
      <c r="F1712">
        <v>6</v>
      </c>
      <c r="G1712">
        <v>61.9</v>
      </c>
    </row>
    <row r="1713" spans="1:7">
      <c r="A1713">
        <v>143</v>
      </c>
      <c r="B1713" s="1">
        <v>46143</v>
      </c>
      <c r="C1713">
        <v>18</v>
      </c>
      <c r="D1713">
        <v>10</v>
      </c>
      <c r="E1713">
        <v>8</v>
      </c>
      <c r="F1713">
        <v>3</v>
      </c>
      <c r="G1713">
        <v>55.6</v>
      </c>
    </row>
    <row r="1714" spans="1:7">
      <c r="A1714">
        <v>143</v>
      </c>
      <c r="B1714" s="1">
        <v>46174</v>
      </c>
      <c r="C1714">
        <v>19</v>
      </c>
      <c r="D1714">
        <v>10</v>
      </c>
      <c r="E1714">
        <v>9</v>
      </c>
      <c r="F1714">
        <v>5</v>
      </c>
      <c r="G1714">
        <v>52.6</v>
      </c>
    </row>
    <row r="1715" spans="1:7">
      <c r="A1715">
        <v>143</v>
      </c>
      <c r="B1715" s="1">
        <v>46204</v>
      </c>
      <c r="C1715">
        <v>19</v>
      </c>
      <c r="D1715">
        <v>12</v>
      </c>
      <c r="E1715">
        <v>7</v>
      </c>
      <c r="F1715">
        <v>3</v>
      </c>
      <c r="G1715">
        <v>63.2</v>
      </c>
    </row>
    <row r="1716" spans="1:7">
      <c r="A1716">
        <v>143</v>
      </c>
      <c r="B1716" s="1">
        <v>46235</v>
      </c>
      <c r="C1716">
        <v>22</v>
      </c>
      <c r="D1716">
        <v>13</v>
      </c>
      <c r="E1716">
        <v>9</v>
      </c>
      <c r="F1716">
        <v>6</v>
      </c>
      <c r="G1716">
        <v>59.1</v>
      </c>
    </row>
    <row r="1717" spans="1:7">
      <c r="A1717">
        <v>143</v>
      </c>
      <c r="B1717" s="1">
        <v>46266</v>
      </c>
      <c r="C1717">
        <v>20</v>
      </c>
      <c r="D1717">
        <v>10</v>
      </c>
      <c r="E1717">
        <v>10</v>
      </c>
      <c r="F1717">
        <v>6</v>
      </c>
      <c r="G1717">
        <v>50</v>
      </c>
    </row>
    <row r="1718" spans="1:7">
      <c r="A1718">
        <v>144</v>
      </c>
      <c r="B1718" s="1">
        <v>45931</v>
      </c>
      <c r="C1718">
        <v>21</v>
      </c>
      <c r="D1718">
        <v>16</v>
      </c>
      <c r="E1718">
        <v>5</v>
      </c>
      <c r="F1718">
        <v>0</v>
      </c>
      <c r="G1718">
        <v>76.2</v>
      </c>
    </row>
    <row r="1719" spans="1:7">
      <c r="A1719">
        <v>144</v>
      </c>
      <c r="B1719" s="1">
        <v>45962</v>
      </c>
      <c r="C1719">
        <v>20</v>
      </c>
      <c r="D1719">
        <v>14</v>
      </c>
      <c r="E1719">
        <v>6</v>
      </c>
      <c r="F1719">
        <v>0</v>
      </c>
      <c r="G1719">
        <v>70</v>
      </c>
    </row>
    <row r="1720" spans="1:7">
      <c r="A1720">
        <v>144</v>
      </c>
      <c r="B1720" s="1">
        <v>45992</v>
      </c>
      <c r="C1720">
        <v>18</v>
      </c>
      <c r="D1720">
        <v>14</v>
      </c>
      <c r="E1720">
        <v>4</v>
      </c>
      <c r="F1720">
        <v>1</v>
      </c>
      <c r="G1720">
        <v>77.8</v>
      </c>
    </row>
    <row r="1721" spans="1:7">
      <c r="A1721">
        <v>144</v>
      </c>
      <c r="B1721" s="1">
        <v>46023</v>
      </c>
      <c r="C1721">
        <v>20</v>
      </c>
      <c r="D1721">
        <v>13</v>
      </c>
      <c r="E1721">
        <v>7</v>
      </c>
      <c r="F1721">
        <v>3</v>
      </c>
      <c r="G1721">
        <v>65</v>
      </c>
    </row>
    <row r="1722" spans="1:7">
      <c r="A1722">
        <v>144</v>
      </c>
      <c r="B1722" s="1">
        <v>46054</v>
      </c>
      <c r="C1722">
        <v>19</v>
      </c>
      <c r="D1722">
        <v>17</v>
      </c>
      <c r="E1722">
        <v>2</v>
      </c>
      <c r="F1722">
        <v>2</v>
      </c>
      <c r="G1722">
        <v>89.5</v>
      </c>
    </row>
    <row r="1723" spans="1:7">
      <c r="A1723">
        <v>144</v>
      </c>
      <c r="B1723" s="1">
        <v>46082</v>
      </c>
      <c r="C1723">
        <v>18</v>
      </c>
      <c r="D1723">
        <v>16</v>
      </c>
      <c r="E1723">
        <v>2</v>
      </c>
      <c r="F1723">
        <v>0</v>
      </c>
      <c r="G1723">
        <v>88.9</v>
      </c>
    </row>
    <row r="1724" spans="1:7">
      <c r="A1724">
        <v>144</v>
      </c>
      <c r="B1724" s="1">
        <v>46113</v>
      </c>
      <c r="C1724">
        <v>19</v>
      </c>
      <c r="D1724">
        <v>14</v>
      </c>
      <c r="E1724">
        <v>5</v>
      </c>
      <c r="F1724">
        <v>2</v>
      </c>
      <c r="G1724">
        <v>73.7</v>
      </c>
    </row>
    <row r="1725" spans="1:7">
      <c r="A1725">
        <v>144</v>
      </c>
      <c r="B1725" s="1">
        <v>46143</v>
      </c>
      <c r="C1725">
        <v>19</v>
      </c>
      <c r="D1725">
        <v>13</v>
      </c>
      <c r="E1725">
        <v>6</v>
      </c>
      <c r="F1725">
        <v>2</v>
      </c>
      <c r="G1725">
        <v>68.400000000000006</v>
      </c>
    </row>
    <row r="1726" spans="1:7">
      <c r="A1726">
        <v>144</v>
      </c>
      <c r="B1726" s="1">
        <v>46174</v>
      </c>
      <c r="C1726">
        <v>22</v>
      </c>
      <c r="D1726">
        <v>17</v>
      </c>
      <c r="E1726">
        <v>5</v>
      </c>
      <c r="F1726">
        <v>1</v>
      </c>
      <c r="G1726">
        <v>77.3</v>
      </c>
    </row>
    <row r="1727" spans="1:7">
      <c r="A1727">
        <v>144</v>
      </c>
      <c r="B1727" s="1">
        <v>46204</v>
      </c>
      <c r="C1727">
        <v>20</v>
      </c>
      <c r="D1727">
        <v>14</v>
      </c>
      <c r="E1727">
        <v>6</v>
      </c>
      <c r="F1727">
        <v>0</v>
      </c>
      <c r="G1727">
        <v>70</v>
      </c>
    </row>
    <row r="1728" spans="1:7">
      <c r="A1728">
        <v>144</v>
      </c>
      <c r="B1728" s="1">
        <v>46235</v>
      </c>
      <c r="C1728">
        <v>18</v>
      </c>
      <c r="D1728">
        <v>12</v>
      </c>
      <c r="E1728">
        <v>6</v>
      </c>
      <c r="F1728">
        <v>5</v>
      </c>
      <c r="G1728">
        <v>66.7</v>
      </c>
    </row>
    <row r="1729" spans="1:7">
      <c r="A1729">
        <v>144</v>
      </c>
      <c r="B1729" s="1">
        <v>46266</v>
      </c>
      <c r="C1729">
        <v>18</v>
      </c>
      <c r="D1729">
        <v>14</v>
      </c>
      <c r="E1729">
        <v>4</v>
      </c>
      <c r="F1729">
        <v>2</v>
      </c>
      <c r="G1729">
        <v>77.8</v>
      </c>
    </row>
    <row r="1730" spans="1:7">
      <c r="A1730">
        <v>145</v>
      </c>
      <c r="B1730" s="1">
        <v>45931</v>
      </c>
      <c r="C1730">
        <v>19</v>
      </c>
      <c r="D1730">
        <v>14</v>
      </c>
      <c r="E1730">
        <v>5</v>
      </c>
      <c r="F1730">
        <v>6</v>
      </c>
      <c r="G1730">
        <v>73.7</v>
      </c>
    </row>
    <row r="1731" spans="1:7">
      <c r="A1731">
        <v>145</v>
      </c>
      <c r="B1731" s="1">
        <v>45962</v>
      </c>
      <c r="C1731">
        <v>20</v>
      </c>
      <c r="D1731">
        <v>13</v>
      </c>
      <c r="E1731">
        <v>7</v>
      </c>
      <c r="F1731">
        <v>5</v>
      </c>
      <c r="G1731">
        <v>65</v>
      </c>
    </row>
    <row r="1732" spans="1:7">
      <c r="A1732">
        <v>145</v>
      </c>
      <c r="B1732" s="1">
        <v>45992</v>
      </c>
      <c r="C1732">
        <v>19</v>
      </c>
      <c r="D1732">
        <v>10</v>
      </c>
      <c r="E1732">
        <v>9</v>
      </c>
      <c r="F1732">
        <v>4</v>
      </c>
      <c r="G1732">
        <v>52.6</v>
      </c>
    </row>
    <row r="1733" spans="1:7">
      <c r="A1733">
        <v>145</v>
      </c>
      <c r="B1733" s="1">
        <v>46023</v>
      </c>
      <c r="C1733">
        <v>21</v>
      </c>
      <c r="D1733">
        <v>17</v>
      </c>
      <c r="E1733">
        <v>4</v>
      </c>
      <c r="F1733">
        <v>5</v>
      </c>
      <c r="G1733">
        <v>81</v>
      </c>
    </row>
    <row r="1734" spans="1:7">
      <c r="A1734">
        <v>145</v>
      </c>
      <c r="B1734" s="1">
        <v>46054</v>
      </c>
      <c r="C1734">
        <v>18</v>
      </c>
      <c r="D1734">
        <v>10</v>
      </c>
      <c r="E1734">
        <v>8</v>
      </c>
      <c r="F1734">
        <v>1</v>
      </c>
      <c r="G1734">
        <v>55.6</v>
      </c>
    </row>
    <row r="1735" spans="1:7">
      <c r="A1735">
        <v>145</v>
      </c>
      <c r="B1735" s="1">
        <v>46082</v>
      </c>
      <c r="C1735">
        <v>19</v>
      </c>
      <c r="D1735">
        <v>10</v>
      </c>
      <c r="E1735">
        <v>9</v>
      </c>
      <c r="F1735">
        <v>1</v>
      </c>
      <c r="G1735">
        <v>52.6</v>
      </c>
    </row>
    <row r="1736" spans="1:7">
      <c r="A1736">
        <v>145</v>
      </c>
      <c r="B1736" s="1">
        <v>46113</v>
      </c>
      <c r="C1736">
        <v>22</v>
      </c>
      <c r="D1736">
        <v>17</v>
      </c>
      <c r="E1736">
        <v>5</v>
      </c>
      <c r="F1736">
        <v>4</v>
      </c>
      <c r="G1736">
        <v>77.3</v>
      </c>
    </row>
    <row r="1737" spans="1:7">
      <c r="A1737">
        <v>145</v>
      </c>
      <c r="B1737" s="1">
        <v>46143</v>
      </c>
      <c r="C1737">
        <v>21</v>
      </c>
      <c r="D1737">
        <v>14</v>
      </c>
      <c r="E1737">
        <v>7</v>
      </c>
      <c r="F1737">
        <v>5</v>
      </c>
      <c r="G1737">
        <v>66.7</v>
      </c>
    </row>
    <row r="1738" spans="1:7">
      <c r="A1738">
        <v>145</v>
      </c>
      <c r="B1738" s="1">
        <v>46174</v>
      </c>
      <c r="C1738">
        <v>19</v>
      </c>
      <c r="D1738">
        <v>10</v>
      </c>
      <c r="E1738">
        <v>9</v>
      </c>
      <c r="F1738">
        <v>4</v>
      </c>
      <c r="G1738">
        <v>52.6</v>
      </c>
    </row>
    <row r="1739" spans="1:7">
      <c r="A1739">
        <v>145</v>
      </c>
      <c r="B1739" s="1">
        <v>46204</v>
      </c>
      <c r="C1739">
        <v>19</v>
      </c>
      <c r="D1739">
        <v>15</v>
      </c>
      <c r="E1739">
        <v>4</v>
      </c>
      <c r="F1739">
        <v>6</v>
      </c>
      <c r="G1739">
        <v>78.900000000000006</v>
      </c>
    </row>
    <row r="1740" spans="1:7">
      <c r="A1740">
        <v>145</v>
      </c>
      <c r="B1740" s="1">
        <v>46235</v>
      </c>
      <c r="C1740">
        <v>22</v>
      </c>
      <c r="D1740">
        <v>16</v>
      </c>
      <c r="E1740">
        <v>6</v>
      </c>
      <c r="F1740">
        <v>1</v>
      </c>
      <c r="G1740">
        <v>72.7</v>
      </c>
    </row>
    <row r="1741" spans="1:7">
      <c r="A1741">
        <v>145</v>
      </c>
      <c r="B1741" s="1">
        <v>46266</v>
      </c>
      <c r="C1741">
        <v>18</v>
      </c>
      <c r="D1741">
        <v>11</v>
      </c>
      <c r="E1741">
        <v>7</v>
      </c>
      <c r="F1741">
        <v>5</v>
      </c>
      <c r="G1741">
        <v>61.1</v>
      </c>
    </row>
    <row r="1742" spans="1:7">
      <c r="A1742">
        <v>146</v>
      </c>
      <c r="B1742" s="1">
        <v>45931</v>
      </c>
      <c r="C1742">
        <v>20</v>
      </c>
      <c r="D1742">
        <v>16</v>
      </c>
      <c r="E1742">
        <v>4</v>
      </c>
      <c r="F1742">
        <v>4</v>
      </c>
      <c r="G1742">
        <v>80</v>
      </c>
    </row>
    <row r="1743" spans="1:7">
      <c r="A1743">
        <v>146</v>
      </c>
      <c r="B1743" s="1">
        <v>45962</v>
      </c>
      <c r="C1743">
        <v>21</v>
      </c>
      <c r="D1743">
        <v>21</v>
      </c>
      <c r="E1743">
        <v>0</v>
      </c>
      <c r="F1743">
        <v>1</v>
      </c>
      <c r="G1743">
        <v>100</v>
      </c>
    </row>
    <row r="1744" spans="1:7">
      <c r="A1744">
        <v>146</v>
      </c>
      <c r="B1744" s="1">
        <v>45992</v>
      </c>
      <c r="C1744">
        <v>18</v>
      </c>
      <c r="D1744">
        <v>16</v>
      </c>
      <c r="E1744">
        <v>2</v>
      </c>
      <c r="F1744">
        <v>4</v>
      </c>
      <c r="G1744">
        <v>88.9</v>
      </c>
    </row>
    <row r="1745" spans="1:7">
      <c r="A1745">
        <v>146</v>
      </c>
      <c r="B1745" s="1">
        <v>46023</v>
      </c>
      <c r="C1745">
        <v>18</v>
      </c>
      <c r="D1745">
        <v>18</v>
      </c>
      <c r="E1745">
        <v>0</v>
      </c>
      <c r="F1745">
        <v>1</v>
      </c>
      <c r="G1745">
        <v>100</v>
      </c>
    </row>
    <row r="1746" spans="1:7">
      <c r="A1746">
        <v>146</v>
      </c>
      <c r="B1746" s="1">
        <v>46054</v>
      </c>
      <c r="C1746">
        <v>22</v>
      </c>
      <c r="D1746">
        <v>22</v>
      </c>
      <c r="E1746">
        <v>0</v>
      </c>
      <c r="F1746">
        <v>2</v>
      </c>
      <c r="G1746">
        <v>100</v>
      </c>
    </row>
    <row r="1747" spans="1:7">
      <c r="A1747">
        <v>146</v>
      </c>
      <c r="B1747" s="1">
        <v>46082</v>
      </c>
      <c r="C1747">
        <v>21</v>
      </c>
      <c r="D1747">
        <v>17</v>
      </c>
      <c r="E1747">
        <v>4</v>
      </c>
      <c r="F1747">
        <v>4</v>
      </c>
      <c r="G1747">
        <v>81</v>
      </c>
    </row>
    <row r="1748" spans="1:7">
      <c r="A1748">
        <v>146</v>
      </c>
      <c r="B1748" s="1">
        <v>46113</v>
      </c>
      <c r="C1748">
        <v>21</v>
      </c>
      <c r="D1748">
        <v>19</v>
      </c>
      <c r="E1748">
        <v>2</v>
      </c>
      <c r="F1748">
        <v>4</v>
      </c>
      <c r="G1748">
        <v>90.5</v>
      </c>
    </row>
    <row r="1749" spans="1:7">
      <c r="A1749">
        <v>146</v>
      </c>
      <c r="B1749" s="1">
        <v>46143</v>
      </c>
      <c r="C1749">
        <v>21</v>
      </c>
      <c r="D1749">
        <v>17</v>
      </c>
      <c r="E1749">
        <v>4</v>
      </c>
      <c r="F1749">
        <v>5</v>
      </c>
      <c r="G1749">
        <v>81</v>
      </c>
    </row>
    <row r="1750" spans="1:7">
      <c r="A1750">
        <v>146</v>
      </c>
      <c r="B1750" s="1">
        <v>46174</v>
      </c>
      <c r="C1750">
        <v>21</v>
      </c>
      <c r="D1750">
        <v>21</v>
      </c>
      <c r="E1750">
        <v>0</v>
      </c>
      <c r="F1750">
        <v>0</v>
      </c>
      <c r="G1750">
        <v>100</v>
      </c>
    </row>
    <row r="1751" spans="1:7">
      <c r="A1751">
        <v>146</v>
      </c>
      <c r="B1751" s="1">
        <v>46204</v>
      </c>
      <c r="C1751">
        <v>19</v>
      </c>
      <c r="D1751">
        <v>17</v>
      </c>
      <c r="E1751">
        <v>2</v>
      </c>
      <c r="F1751">
        <v>1</v>
      </c>
      <c r="G1751">
        <v>89.5</v>
      </c>
    </row>
    <row r="1752" spans="1:7">
      <c r="A1752">
        <v>146</v>
      </c>
      <c r="B1752" s="1">
        <v>46235</v>
      </c>
      <c r="C1752">
        <v>19</v>
      </c>
      <c r="D1752">
        <v>19</v>
      </c>
      <c r="E1752">
        <v>0</v>
      </c>
      <c r="F1752">
        <v>1</v>
      </c>
      <c r="G1752">
        <v>100</v>
      </c>
    </row>
    <row r="1753" spans="1:7">
      <c r="A1753">
        <v>146</v>
      </c>
      <c r="B1753" s="1">
        <v>46266</v>
      </c>
      <c r="C1753">
        <v>20</v>
      </c>
      <c r="D1753">
        <v>18</v>
      </c>
      <c r="E1753">
        <v>2</v>
      </c>
      <c r="F1753">
        <v>3</v>
      </c>
      <c r="G1753">
        <v>90</v>
      </c>
    </row>
    <row r="1754" spans="1:7">
      <c r="A1754">
        <v>147</v>
      </c>
      <c r="B1754" s="1">
        <v>45931</v>
      </c>
      <c r="C1754">
        <v>21</v>
      </c>
      <c r="D1754">
        <v>20</v>
      </c>
      <c r="E1754">
        <v>1</v>
      </c>
      <c r="F1754">
        <v>2</v>
      </c>
      <c r="G1754">
        <v>95.2</v>
      </c>
    </row>
    <row r="1755" spans="1:7">
      <c r="A1755">
        <v>147</v>
      </c>
      <c r="B1755" s="1">
        <v>45962</v>
      </c>
      <c r="C1755">
        <v>20</v>
      </c>
      <c r="D1755">
        <v>17</v>
      </c>
      <c r="E1755">
        <v>3</v>
      </c>
      <c r="F1755">
        <v>4</v>
      </c>
      <c r="G1755">
        <v>85</v>
      </c>
    </row>
    <row r="1756" spans="1:7">
      <c r="A1756">
        <v>147</v>
      </c>
      <c r="B1756" s="1">
        <v>45992</v>
      </c>
      <c r="C1756">
        <v>18</v>
      </c>
      <c r="D1756">
        <v>12</v>
      </c>
      <c r="E1756">
        <v>6</v>
      </c>
      <c r="F1756">
        <v>3</v>
      </c>
      <c r="G1756">
        <v>66.7</v>
      </c>
    </row>
    <row r="1757" spans="1:7">
      <c r="A1757">
        <v>147</v>
      </c>
      <c r="B1757" s="1">
        <v>46023</v>
      </c>
      <c r="C1757">
        <v>22</v>
      </c>
      <c r="D1757">
        <v>16</v>
      </c>
      <c r="E1757">
        <v>6</v>
      </c>
      <c r="F1757">
        <v>2</v>
      </c>
      <c r="G1757">
        <v>72.7</v>
      </c>
    </row>
    <row r="1758" spans="1:7">
      <c r="A1758">
        <v>147</v>
      </c>
      <c r="B1758" s="1">
        <v>46054</v>
      </c>
      <c r="C1758">
        <v>19</v>
      </c>
      <c r="D1758">
        <v>16</v>
      </c>
      <c r="E1758">
        <v>3</v>
      </c>
      <c r="F1758">
        <v>4</v>
      </c>
      <c r="G1758">
        <v>84.2</v>
      </c>
    </row>
    <row r="1759" spans="1:7">
      <c r="A1759">
        <v>147</v>
      </c>
      <c r="B1759" s="1">
        <v>46082</v>
      </c>
      <c r="C1759">
        <v>20</v>
      </c>
      <c r="D1759">
        <v>16</v>
      </c>
      <c r="E1759">
        <v>4</v>
      </c>
      <c r="F1759">
        <v>3</v>
      </c>
      <c r="G1759">
        <v>80</v>
      </c>
    </row>
    <row r="1760" spans="1:7">
      <c r="A1760">
        <v>147</v>
      </c>
      <c r="B1760" s="1">
        <v>46113</v>
      </c>
      <c r="C1760">
        <v>21</v>
      </c>
      <c r="D1760">
        <v>18</v>
      </c>
      <c r="E1760">
        <v>3</v>
      </c>
      <c r="F1760">
        <v>6</v>
      </c>
      <c r="G1760">
        <v>85.7</v>
      </c>
    </row>
    <row r="1761" spans="1:7">
      <c r="A1761">
        <v>147</v>
      </c>
      <c r="B1761" s="1">
        <v>46143</v>
      </c>
      <c r="C1761">
        <v>21</v>
      </c>
      <c r="D1761">
        <v>15</v>
      </c>
      <c r="E1761">
        <v>6</v>
      </c>
      <c r="F1761">
        <v>2</v>
      </c>
      <c r="G1761">
        <v>71.400000000000006</v>
      </c>
    </row>
    <row r="1762" spans="1:7">
      <c r="A1762">
        <v>147</v>
      </c>
      <c r="B1762" s="1">
        <v>46174</v>
      </c>
      <c r="C1762">
        <v>20</v>
      </c>
      <c r="D1762">
        <v>16</v>
      </c>
      <c r="E1762">
        <v>4</v>
      </c>
      <c r="F1762">
        <v>1</v>
      </c>
      <c r="G1762">
        <v>80</v>
      </c>
    </row>
    <row r="1763" spans="1:7">
      <c r="A1763">
        <v>147</v>
      </c>
      <c r="B1763" s="1">
        <v>46204</v>
      </c>
      <c r="C1763">
        <v>20</v>
      </c>
      <c r="D1763">
        <v>14</v>
      </c>
      <c r="E1763">
        <v>6</v>
      </c>
      <c r="F1763">
        <v>5</v>
      </c>
      <c r="G1763">
        <v>70</v>
      </c>
    </row>
    <row r="1764" spans="1:7">
      <c r="A1764">
        <v>147</v>
      </c>
      <c r="B1764" s="1">
        <v>46235</v>
      </c>
      <c r="C1764">
        <v>18</v>
      </c>
      <c r="D1764">
        <v>13</v>
      </c>
      <c r="E1764">
        <v>5</v>
      </c>
      <c r="F1764">
        <v>6</v>
      </c>
      <c r="G1764">
        <v>72.2</v>
      </c>
    </row>
    <row r="1765" spans="1:7">
      <c r="A1765">
        <v>147</v>
      </c>
      <c r="B1765" s="1">
        <v>46266</v>
      </c>
      <c r="C1765">
        <v>22</v>
      </c>
      <c r="D1765">
        <v>16</v>
      </c>
      <c r="E1765">
        <v>6</v>
      </c>
      <c r="F1765">
        <v>4</v>
      </c>
      <c r="G1765">
        <v>72.7</v>
      </c>
    </row>
    <row r="1766" spans="1:7">
      <c r="A1766">
        <v>148</v>
      </c>
      <c r="B1766" s="1">
        <v>45931</v>
      </c>
      <c r="C1766">
        <v>22</v>
      </c>
      <c r="D1766">
        <v>22</v>
      </c>
      <c r="E1766">
        <v>0</v>
      </c>
      <c r="F1766">
        <v>1</v>
      </c>
      <c r="G1766">
        <v>100</v>
      </c>
    </row>
    <row r="1767" spans="1:7">
      <c r="A1767">
        <v>148</v>
      </c>
      <c r="B1767" s="1">
        <v>45962</v>
      </c>
      <c r="C1767">
        <v>18</v>
      </c>
      <c r="D1767">
        <v>18</v>
      </c>
      <c r="E1767">
        <v>0</v>
      </c>
      <c r="F1767">
        <v>0</v>
      </c>
      <c r="G1767">
        <v>100</v>
      </c>
    </row>
    <row r="1768" spans="1:7">
      <c r="A1768">
        <v>148</v>
      </c>
      <c r="B1768" s="1">
        <v>45992</v>
      </c>
      <c r="C1768">
        <v>18</v>
      </c>
      <c r="D1768">
        <v>18</v>
      </c>
      <c r="E1768">
        <v>0</v>
      </c>
      <c r="F1768">
        <v>2</v>
      </c>
      <c r="G1768">
        <v>100</v>
      </c>
    </row>
    <row r="1769" spans="1:7">
      <c r="A1769">
        <v>148</v>
      </c>
      <c r="B1769" s="1">
        <v>46023</v>
      </c>
      <c r="C1769">
        <v>19</v>
      </c>
      <c r="D1769">
        <v>16</v>
      </c>
      <c r="E1769">
        <v>3</v>
      </c>
      <c r="F1769">
        <v>5</v>
      </c>
      <c r="G1769">
        <v>84.2</v>
      </c>
    </row>
    <row r="1770" spans="1:7">
      <c r="A1770">
        <v>148</v>
      </c>
      <c r="B1770" s="1">
        <v>46054</v>
      </c>
      <c r="C1770">
        <v>20</v>
      </c>
      <c r="D1770">
        <v>19</v>
      </c>
      <c r="E1770">
        <v>1</v>
      </c>
      <c r="F1770">
        <v>2</v>
      </c>
      <c r="G1770">
        <v>95</v>
      </c>
    </row>
    <row r="1771" spans="1:7">
      <c r="A1771">
        <v>148</v>
      </c>
      <c r="B1771" s="1">
        <v>46082</v>
      </c>
      <c r="C1771">
        <v>19</v>
      </c>
      <c r="D1771">
        <v>15</v>
      </c>
      <c r="E1771">
        <v>4</v>
      </c>
      <c r="F1771">
        <v>5</v>
      </c>
      <c r="G1771">
        <v>78.900000000000006</v>
      </c>
    </row>
    <row r="1772" spans="1:7">
      <c r="A1772">
        <v>148</v>
      </c>
      <c r="B1772" s="1">
        <v>46113</v>
      </c>
      <c r="C1772">
        <v>22</v>
      </c>
      <c r="D1772">
        <v>14</v>
      </c>
      <c r="E1772">
        <v>8</v>
      </c>
      <c r="F1772">
        <v>6</v>
      </c>
      <c r="G1772">
        <v>63.6</v>
      </c>
    </row>
    <row r="1773" spans="1:7">
      <c r="A1773">
        <v>148</v>
      </c>
      <c r="B1773" s="1">
        <v>46143</v>
      </c>
      <c r="C1773">
        <v>22</v>
      </c>
      <c r="D1773">
        <v>21</v>
      </c>
      <c r="E1773">
        <v>1</v>
      </c>
      <c r="F1773">
        <v>2</v>
      </c>
      <c r="G1773">
        <v>95.5</v>
      </c>
    </row>
    <row r="1774" spans="1:7">
      <c r="A1774">
        <v>148</v>
      </c>
      <c r="B1774" s="1">
        <v>46174</v>
      </c>
      <c r="C1774">
        <v>18</v>
      </c>
      <c r="D1774">
        <v>17</v>
      </c>
      <c r="E1774">
        <v>1</v>
      </c>
      <c r="F1774">
        <v>2</v>
      </c>
      <c r="G1774">
        <v>94.4</v>
      </c>
    </row>
    <row r="1775" spans="1:7">
      <c r="A1775">
        <v>148</v>
      </c>
      <c r="B1775" s="1">
        <v>46204</v>
      </c>
      <c r="C1775">
        <v>21</v>
      </c>
      <c r="D1775">
        <v>21</v>
      </c>
      <c r="E1775">
        <v>0</v>
      </c>
      <c r="F1775">
        <v>3</v>
      </c>
      <c r="G1775">
        <v>100</v>
      </c>
    </row>
    <row r="1776" spans="1:7">
      <c r="A1776">
        <v>148</v>
      </c>
      <c r="B1776" s="1">
        <v>46235</v>
      </c>
      <c r="C1776">
        <v>22</v>
      </c>
      <c r="D1776">
        <v>21</v>
      </c>
      <c r="E1776">
        <v>1</v>
      </c>
      <c r="F1776">
        <v>4</v>
      </c>
      <c r="G1776">
        <v>95.5</v>
      </c>
    </row>
    <row r="1777" spans="1:7">
      <c r="A1777">
        <v>148</v>
      </c>
      <c r="B1777" s="1">
        <v>46266</v>
      </c>
      <c r="C1777">
        <v>19</v>
      </c>
      <c r="D1777">
        <v>18</v>
      </c>
      <c r="E1777">
        <v>1</v>
      </c>
      <c r="F1777">
        <v>3</v>
      </c>
      <c r="G1777">
        <v>94.7</v>
      </c>
    </row>
    <row r="1778" spans="1:7">
      <c r="A1778">
        <v>149</v>
      </c>
      <c r="B1778" s="1">
        <v>45931</v>
      </c>
      <c r="C1778">
        <v>19</v>
      </c>
      <c r="D1778">
        <v>11</v>
      </c>
      <c r="E1778">
        <v>8</v>
      </c>
      <c r="F1778">
        <v>3</v>
      </c>
      <c r="G1778">
        <v>57.9</v>
      </c>
    </row>
    <row r="1779" spans="1:7">
      <c r="A1779">
        <v>149</v>
      </c>
      <c r="B1779" s="1">
        <v>45962</v>
      </c>
      <c r="C1779">
        <v>19</v>
      </c>
      <c r="D1779">
        <v>10</v>
      </c>
      <c r="E1779">
        <v>9</v>
      </c>
      <c r="F1779">
        <v>4</v>
      </c>
      <c r="G1779">
        <v>52.6</v>
      </c>
    </row>
    <row r="1780" spans="1:7">
      <c r="A1780">
        <v>149</v>
      </c>
      <c r="B1780" s="1">
        <v>45992</v>
      </c>
      <c r="C1780">
        <v>22</v>
      </c>
      <c r="D1780">
        <v>14</v>
      </c>
      <c r="E1780">
        <v>8</v>
      </c>
      <c r="F1780">
        <v>5</v>
      </c>
      <c r="G1780">
        <v>63.6</v>
      </c>
    </row>
    <row r="1781" spans="1:7">
      <c r="A1781">
        <v>149</v>
      </c>
      <c r="B1781" s="1">
        <v>46023</v>
      </c>
      <c r="C1781">
        <v>21</v>
      </c>
      <c r="D1781">
        <v>17</v>
      </c>
      <c r="E1781">
        <v>4</v>
      </c>
      <c r="F1781">
        <v>2</v>
      </c>
      <c r="G1781">
        <v>81</v>
      </c>
    </row>
    <row r="1782" spans="1:7">
      <c r="A1782">
        <v>149</v>
      </c>
      <c r="B1782" s="1">
        <v>46054</v>
      </c>
      <c r="C1782">
        <v>18</v>
      </c>
      <c r="D1782">
        <v>11</v>
      </c>
      <c r="E1782">
        <v>7</v>
      </c>
      <c r="F1782">
        <v>6</v>
      </c>
      <c r="G1782">
        <v>61.1</v>
      </c>
    </row>
    <row r="1783" spans="1:7">
      <c r="A1783">
        <v>149</v>
      </c>
      <c r="B1783" s="1">
        <v>46082</v>
      </c>
      <c r="C1783">
        <v>21</v>
      </c>
      <c r="D1783">
        <v>12</v>
      </c>
      <c r="E1783">
        <v>9</v>
      </c>
      <c r="F1783">
        <v>1</v>
      </c>
      <c r="G1783">
        <v>57.1</v>
      </c>
    </row>
    <row r="1784" spans="1:7">
      <c r="A1784">
        <v>149</v>
      </c>
      <c r="B1784" s="1">
        <v>46113</v>
      </c>
      <c r="C1784">
        <v>21</v>
      </c>
      <c r="D1784">
        <v>16</v>
      </c>
      <c r="E1784">
        <v>5</v>
      </c>
      <c r="F1784">
        <v>2</v>
      </c>
      <c r="G1784">
        <v>76.2</v>
      </c>
    </row>
    <row r="1785" spans="1:7">
      <c r="A1785">
        <v>149</v>
      </c>
      <c r="B1785" s="1">
        <v>46143</v>
      </c>
      <c r="C1785">
        <v>19</v>
      </c>
      <c r="D1785">
        <v>11</v>
      </c>
      <c r="E1785">
        <v>8</v>
      </c>
      <c r="F1785">
        <v>4</v>
      </c>
      <c r="G1785">
        <v>57.9</v>
      </c>
    </row>
    <row r="1786" spans="1:7">
      <c r="A1786">
        <v>149</v>
      </c>
      <c r="B1786" s="1">
        <v>46174</v>
      </c>
      <c r="C1786">
        <v>19</v>
      </c>
      <c r="D1786">
        <v>13</v>
      </c>
      <c r="E1786">
        <v>6</v>
      </c>
      <c r="F1786">
        <v>3</v>
      </c>
      <c r="G1786">
        <v>68.400000000000006</v>
      </c>
    </row>
    <row r="1787" spans="1:7">
      <c r="A1787">
        <v>149</v>
      </c>
      <c r="B1787" s="1">
        <v>46204</v>
      </c>
      <c r="C1787">
        <v>20</v>
      </c>
      <c r="D1787">
        <v>10</v>
      </c>
      <c r="E1787">
        <v>10</v>
      </c>
      <c r="F1787">
        <v>2</v>
      </c>
      <c r="G1787">
        <v>50</v>
      </c>
    </row>
    <row r="1788" spans="1:7">
      <c r="A1788">
        <v>149</v>
      </c>
      <c r="B1788" s="1">
        <v>46235</v>
      </c>
      <c r="C1788">
        <v>19</v>
      </c>
      <c r="D1788">
        <v>14</v>
      </c>
      <c r="E1788">
        <v>5</v>
      </c>
      <c r="F1788">
        <v>3</v>
      </c>
      <c r="G1788">
        <v>73.7</v>
      </c>
    </row>
    <row r="1789" spans="1:7">
      <c r="A1789">
        <v>149</v>
      </c>
      <c r="B1789" s="1">
        <v>46266</v>
      </c>
      <c r="C1789">
        <v>22</v>
      </c>
      <c r="D1789">
        <v>13</v>
      </c>
      <c r="E1789">
        <v>9</v>
      </c>
      <c r="F1789">
        <v>2</v>
      </c>
      <c r="G1789">
        <v>59.1</v>
      </c>
    </row>
    <row r="1790" spans="1:7">
      <c r="A1790">
        <v>150</v>
      </c>
      <c r="B1790" s="1">
        <v>45931</v>
      </c>
      <c r="C1790">
        <v>20</v>
      </c>
      <c r="D1790">
        <v>20</v>
      </c>
      <c r="E1790">
        <v>0</v>
      </c>
      <c r="F1790">
        <v>0</v>
      </c>
      <c r="G1790">
        <v>100</v>
      </c>
    </row>
    <row r="1791" spans="1:7">
      <c r="A1791">
        <v>150</v>
      </c>
      <c r="B1791" s="1">
        <v>45962</v>
      </c>
      <c r="C1791">
        <v>19</v>
      </c>
      <c r="D1791">
        <v>19</v>
      </c>
      <c r="E1791">
        <v>0</v>
      </c>
      <c r="F1791">
        <v>1</v>
      </c>
      <c r="G1791">
        <v>100</v>
      </c>
    </row>
    <row r="1792" spans="1:7">
      <c r="A1792">
        <v>150</v>
      </c>
      <c r="B1792" s="1">
        <v>45992</v>
      </c>
      <c r="C1792">
        <v>20</v>
      </c>
      <c r="D1792">
        <v>20</v>
      </c>
      <c r="E1792">
        <v>0</v>
      </c>
      <c r="F1792">
        <v>3</v>
      </c>
      <c r="G1792">
        <v>100</v>
      </c>
    </row>
    <row r="1793" spans="1:7">
      <c r="A1793">
        <v>150</v>
      </c>
      <c r="B1793" s="1">
        <v>46023</v>
      </c>
      <c r="C1793">
        <v>21</v>
      </c>
      <c r="D1793">
        <v>21</v>
      </c>
      <c r="E1793">
        <v>0</v>
      </c>
      <c r="F1793">
        <v>1</v>
      </c>
      <c r="G1793">
        <v>100</v>
      </c>
    </row>
    <row r="1794" spans="1:7">
      <c r="A1794">
        <v>150</v>
      </c>
      <c r="B1794" s="1">
        <v>46054</v>
      </c>
      <c r="C1794">
        <v>21</v>
      </c>
      <c r="D1794">
        <v>19</v>
      </c>
      <c r="E1794">
        <v>2</v>
      </c>
      <c r="F1794">
        <v>3</v>
      </c>
      <c r="G1794">
        <v>90.5</v>
      </c>
    </row>
    <row r="1795" spans="1:7">
      <c r="A1795">
        <v>150</v>
      </c>
      <c r="B1795" s="1">
        <v>46082</v>
      </c>
      <c r="C1795">
        <v>18</v>
      </c>
      <c r="D1795">
        <v>17</v>
      </c>
      <c r="E1795">
        <v>1</v>
      </c>
      <c r="F1795">
        <v>2</v>
      </c>
      <c r="G1795">
        <v>94.4</v>
      </c>
    </row>
    <row r="1796" spans="1:7">
      <c r="A1796">
        <v>150</v>
      </c>
      <c r="B1796" s="1">
        <v>46113</v>
      </c>
      <c r="C1796">
        <v>22</v>
      </c>
      <c r="D1796">
        <v>19</v>
      </c>
      <c r="E1796">
        <v>3</v>
      </c>
      <c r="F1796">
        <v>2</v>
      </c>
      <c r="G1796">
        <v>86.4</v>
      </c>
    </row>
    <row r="1797" spans="1:7">
      <c r="A1797">
        <v>150</v>
      </c>
      <c r="B1797" s="1">
        <v>46143</v>
      </c>
      <c r="C1797">
        <v>18</v>
      </c>
      <c r="D1797">
        <v>18</v>
      </c>
      <c r="E1797">
        <v>0</v>
      </c>
      <c r="F1797">
        <v>1</v>
      </c>
      <c r="G1797">
        <v>100</v>
      </c>
    </row>
    <row r="1798" spans="1:7">
      <c r="A1798">
        <v>150</v>
      </c>
      <c r="B1798" s="1">
        <v>46174</v>
      </c>
      <c r="C1798">
        <v>18</v>
      </c>
      <c r="D1798">
        <v>18</v>
      </c>
      <c r="E1798">
        <v>0</v>
      </c>
      <c r="F1798">
        <v>3</v>
      </c>
      <c r="G1798">
        <v>100</v>
      </c>
    </row>
    <row r="1799" spans="1:7">
      <c r="A1799">
        <v>150</v>
      </c>
      <c r="B1799" s="1">
        <v>46204</v>
      </c>
      <c r="C1799">
        <v>18</v>
      </c>
      <c r="D1799">
        <v>18</v>
      </c>
      <c r="E1799">
        <v>0</v>
      </c>
      <c r="F1799">
        <v>1</v>
      </c>
      <c r="G1799">
        <v>100</v>
      </c>
    </row>
    <row r="1800" spans="1:7">
      <c r="A1800">
        <v>150</v>
      </c>
      <c r="B1800" s="1">
        <v>46235</v>
      </c>
      <c r="C1800">
        <v>19</v>
      </c>
      <c r="D1800">
        <v>14</v>
      </c>
      <c r="E1800">
        <v>5</v>
      </c>
      <c r="F1800">
        <v>2</v>
      </c>
      <c r="G1800">
        <v>73.7</v>
      </c>
    </row>
    <row r="1801" spans="1:7">
      <c r="A1801">
        <v>150</v>
      </c>
      <c r="B1801" s="1">
        <v>46266</v>
      </c>
      <c r="C1801">
        <v>19</v>
      </c>
      <c r="D1801">
        <v>17</v>
      </c>
      <c r="E1801">
        <v>2</v>
      </c>
      <c r="F1801">
        <v>1</v>
      </c>
      <c r="G1801">
        <v>89.5</v>
      </c>
    </row>
    <row r="1802" spans="1:7">
      <c r="A1802">
        <v>151</v>
      </c>
      <c r="B1802" s="1">
        <v>45931</v>
      </c>
      <c r="C1802">
        <v>20</v>
      </c>
      <c r="D1802">
        <v>18</v>
      </c>
      <c r="E1802">
        <v>2</v>
      </c>
      <c r="F1802">
        <v>0</v>
      </c>
      <c r="G1802">
        <v>90</v>
      </c>
    </row>
    <row r="1803" spans="1:7">
      <c r="A1803">
        <v>151</v>
      </c>
      <c r="B1803" s="1">
        <v>45962</v>
      </c>
      <c r="C1803">
        <v>20</v>
      </c>
      <c r="D1803">
        <v>18</v>
      </c>
      <c r="E1803">
        <v>2</v>
      </c>
      <c r="F1803">
        <v>4</v>
      </c>
      <c r="G1803">
        <v>90</v>
      </c>
    </row>
    <row r="1804" spans="1:7">
      <c r="A1804">
        <v>151</v>
      </c>
      <c r="B1804" s="1">
        <v>45992</v>
      </c>
      <c r="C1804">
        <v>18</v>
      </c>
      <c r="D1804">
        <v>14</v>
      </c>
      <c r="E1804">
        <v>4</v>
      </c>
      <c r="F1804">
        <v>3</v>
      </c>
      <c r="G1804">
        <v>77.8</v>
      </c>
    </row>
    <row r="1805" spans="1:7">
      <c r="A1805">
        <v>151</v>
      </c>
      <c r="B1805" s="1">
        <v>46023</v>
      </c>
      <c r="C1805">
        <v>21</v>
      </c>
      <c r="D1805">
        <v>15</v>
      </c>
      <c r="E1805">
        <v>6</v>
      </c>
      <c r="F1805">
        <v>1</v>
      </c>
      <c r="G1805">
        <v>71.400000000000006</v>
      </c>
    </row>
    <row r="1806" spans="1:7">
      <c r="A1806">
        <v>151</v>
      </c>
      <c r="B1806" s="1">
        <v>46054</v>
      </c>
      <c r="C1806">
        <v>18</v>
      </c>
      <c r="D1806">
        <v>14</v>
      </c>
      <c r="E1806">
        <v>4</v>
      </c>
      <c r="F1806">
        <v>5</v>
      </c>
      <c r="G1806">
        <v>77.8</v>
      </c>
    </row>
    <row r="1807" spans="1:7">
      <c r="A1807">
        <v>151</v>
      </c>
      <c r="B1807" s="1">
        <v>46082</v>
      </c>
      <c r="C1807">
        <v>18</v>
      </c>
      <c r="D1807">
        <v>14</v>
      </c>
      <c r="E1807">
        <v>4</v>
      </c>
      <c r="F1807">
        <v>3</v>
      </c>
      <c r="G1807">
        <v>77.8</v>
      </c>
    </row>
    <row r="1808" spans="1:7">
      <c r="A1808">
        <v>151</v>
      </c>
      <c r="B1808" s="1">
        <v>46113</v>
      </c>
      <c r="C1808">
        <v>19</v>
      </c>
      <c r="D1808">
        <v>16</v>
      </c>
      <c r="E1808">
        <v>3</v>
      </c>
      <c r="F1808">
        <v>3</v>
      </c>
      <c r="G1808">
        <v>84.2</v>
      </c>
    </row>
    <row r="1809" spans="1:7">
      <c r="A1809">
        <v>151</v>
      </c>
      <c r="B1809" s="1">
        <v>46143</v>
      </c>
      <c r="C1809">
        <v>21</v>
      </c>
      <c r="D1809">
        <v>18</v>
      </c>
      <c r="E1809">
        <v>3</v>
      </c>
      <c r="F1809">
        <v>1</v>
      </c>
      <c r="G1809">
        <v>85.7</v>
      </c>
    </row>
    <row r="1810" spans="1:7">
      <c r="A1810">
        <v>151</v>
      </c>
      <c r="B1810" s="1">
        <v>46174</v>
      </c>
      <c r="C1810">
        <v>22</v>
      </c>
      <c r="D1810">
        <v>21</v>
      </c>
      <c r="E1810">
        <v>1</v>
      </c>
      <c r="F1810">
        <v>1</v>
      </c>
      <c r="G1810">
        <v>95.5</v>
      </c>
    </row>
    <row r="1811" spans="1:7">
      <c r="A1811">
        <v>151</v>
      </c>
      <c r="B1811" s="1">
        <v>46204</v>
      </c>
      <c r="C1811">
        <v>22</v>
      </c>
      <c r="D1811">
        <v>20</v>
      </c>
      <c r="E1811">
        <v>2</v>
      </c>
      <c r="F1811">
        <v>5</v>
      </c>
      <c r="G1811">
        <v>90.9</v>
      </c>
    </row>
    <row r="1812" spans="1:7">
      <c r="A1812">
        <v>151</v>
      </c>
      <c r="B1812" s="1">
        <v>46235</v>
      </c>
      <c r="C1812">
        <v>21</v>
      </c>
      <c r="D1812">
        <v>19</v>
      </c>
      <c r="E1812">
        <v>2</v>
      </c>
      <c r="F1812">
        <v>1</v>
      </c>
      <c r="G1812">
        <v>90.5</v>
      </c>
    </row>
    <row r="1813" spans="1:7">
      <c r="A1813">
        <v>151</v>
      </c>
      <c r="B1813" s="1">
        <v>46266</v>
      </c>
      <c r="C1813">
        <v>21</v>
      </c>
      <c r="D1813">
        <v>18</v>
      </c>
      <c r="E1813">
        <v>3</v>
      </c>
      <c r="F1813">
        <v>0</v>
      </c>
      <c r="G1813">
        <v>85.7</v>
      </c>
    </row>
    <row r="1814" spans="1:7">
      <c r="A1814">
        <v>152</v>
      </c>
      <c r="B1814" s="1">
        <v>45931</v>
      </c>
      <c r="C1814">
        <v>21</v>
      </c>
      <c r="D1814">
        <v>21</v>
      </c>
      <c r="E1814">
        <v>0</v>
      </c>
      <c r="F1814">
        <v>2</v>
      </c>
      <c r="G1814">
        <v>100</v>
      </c>
    </row>
    <row r="1815" spans="1:7">
      <c r="A1815">
        <v>152</v>
      </c>
      <c r="B1815" s="1">
        <v>45962</v>
      </c>
      <c r="C1815">
        <v>22</v>
      </c>
      <c r="D1815">
        <v>22</v>
      </c>
      <c r="E1815">
        <v>0</v>
      </c>
      <c r="F1815">
        <v>3</v>
      </c>
      <c r="G1815">
        <v>100</v>
      </c>
    </row>
    <row r="1816" spans="1:7">
      <c r="A1816">
        <v>152</v>
      </c>
      <c r="B1816" s="1">
        <v>45992</v>
      </c>
      <c r="C1816">
        <v>21</v>
      </c>
      <c r="D1816">
        <v>20</v>
      </c>
      <c r="E1816">
        <v>1</v>
      </c>
      <c r="F1816">
        <v>0</v>
      </c>
      <c r="G1816">
        <v>95.2</v>
      </c>
    </row>
    <row r="1817" spans="1:7">
      <c r="A1817">
        <v>152</v>
      </c>
      <c r="B1817" s="1">
        <v>46023</v>
      </c>
      <c r="C1817">
        <v>20</v>
      </c>
      <c r="D1817">
        <v>19</v>
      </c>
      <c r="E1817">
        <v>1</v>
      </c>
      <c r="F1817">
        <v>3</v>
      </c>
      <c r="G1817">
        <v>95</v>
      </c>
    </row>
    <row r="1818" spans="1:7">
      <c r="A1818">
        <v>152</v>
      </c>
      <c r="B1818" s="1">
        <v>46054</v>
      </c>
      <c r="C1818">
        <v>20</v>
      </c>
      <c r="D1818">
        <v>20</v>
      </c>
      <c r="E1818">
        <v>0</v>
      </c>
      <c r="F1818">
        <v>2</v>
      </c>
      <c r="G1818">
        <v>100</v>
      </c>
    </row>
    <row r="1819" spans="1:7">
      <c r="A1819">
        <v>152</v>
      </c>
      <c r="B1819" s="1">
        <v>46082</v>
      </c>
      <c r="C1819">
        <v>21</v>
      </c>
      <c r="D1819">
        <v>21</v>
      </c>
      <c r="E1819">
        <v>0</v>
      </c>
      <c r="F1819">
        <v>1</v>
      </c>
      <c r="G1819">
        <v>100</v>
      </c>
    </row>
    <row r="1820" spans="1:7">
      <c r="A1820">
        <v>152</v>
      </c>
      <c r="B1820" s="1">
        <v>46113</v>
      </c>
      <c r="C1820">
        <v>21</v>
      </c>
      <c r="D1820">
        <v>20</v>
      </c>
      <c r="E1820">
        <v>1</v>
      </c>
      <c r="F1820">
        <v>3</v>
      </c>
      <c r="G1820">
        <v>95.2</v>
      </c>
    </row>
    <row r="1821" spans="1:7">
      <c r="A1821">
        <v>152</v>
      </c>
      <c r="B1821" s="1">
        <v>46143</v>
      </c>
      <c r="C1821">
        <v>21</v>
      </c>
      <c r="D1821">
        <v>16</v>
      </c>
      <c r="E1821">
        <v>5</v>
      </c>
      <c r="F1821">
        <v>3</v>
      </c>
      <c r="G1821">
        <v>76.2</v>
      </c>
    </row>
    <row r="1822" spans="1:7">
      <c r="A1822">
        <v>152</v>
      </c>
      <c r="B1822" s="1">
        <v>46174</v>
      </c>
      <c r="C1822">
        <v>19</v>
      </c>
      <c r="D1822">
        <v>18</v>
      </c>
      <c r="E1822">
        <v>1</v>
      </c>
      <c r="F1822">
        <v>0</v>
      </c>
      <c r="G1822">
        <v>94.7</v>
      </c>
    </row>
    <row r="1823" spans="1:7">
      <c r="A1823">
        <v>152</v>
      </c>
      <c r="B1823" s="1">
        <v>46204</v>
      </c>
      <c r="C1823">
        <v>19</v>
      </c>
      <c r="D1823">
        <v>19</v>
      </c>
      <c r="E1823">
        <v>0</v>
      </c>
      <c r="F1823">
        <v>1</v>
      </c>
      <c r="G1823">
        <v>100</v>
      </c>
    </row>
    <row r="1824" spans="1:7">
      <c r="A1824">
        <v>152</v>
      </c>
      <c r="B1824" s="1">
        <v>46235</v>
      </c>
      <c r="C1824">
        <v>20</v>
      </c>
      <c r="D1824">
        <v>17</v>
      </c>
      <c r="E1824">
        <v>3</v>
      </c>
      <c r="F1824">
        <v>5</v>
      </c>
      <c r="G1824">
        <v>85</v>
      </c>
    </row>
    <row r="1825" spans="1:7">
      <c r="A1825">
        <v>152</v>
      </c>
      <c r="B1825" s="1">
        <v>46266</v>
      </c>
      <c r="C1825">
        <v>18</v>
      </c>
      <c r="D1825">
        <v>18</v>
      </c>
      <c r="E1825">
        <v>0</v>
      </c>
      <c r="F1825">
        <v>1</v>
      </c>
      <c r="G1825">
        <v>100</v>
      </c>
    </row>
    <row r="1826" spans="1:7">
      <c r="A1826">
        <v>153</v>
      </c>
      <c r="B1826" s="1">
        <v>45931</v>
      </c>
      <c r="C1826">
        <v>21</v>
      </c>
      <c r="D1826">
        <v>21</v>
      </c>
      <c r="E1826">
        <v>0</v>
      </c>
      <c r="F1826">
        <v>0</v>
      </c>
      <c r="G1826">
        <v>100</v>
      </c>
    </row>
    <row r="1827" spans="1:7">
      <c r="A1827">
        <v>153</v>
      </c>
      <c r="B1827" s="1">
        <v>45962</v>
      </c>
      <c r="C1827">
        <v>20</v>
      </c>
      <c r="D1827">
        <v>17</v>
      </c>
      <c r="E1827">
        <v>3</v>
      </c>
      <c r="F1827">
        <v>0</v>
      </c>
      <c r="G1827">
        <v>85</v>
      </c>
    </row>
    <row r="1828" spans="1:7">
      <c r="A1828">
        <v>153</v>
      </c>
      <c r="B1828" s="1">
        <v>45992</v>
      </c>
      <c r="C1828">
        <v>18</v>
      </c>
      <c r="D1828">
        <v>18</v>
      </c>
      <c r="E1828">
        <v>0</v>
      </c>
      <c r="F1828">
        <v>3</v>
      </c>
      <c r="G1828">
        <v>100</v>
      </c>
    </row>
    <row r="1829" spans="1:7">
      <c r="A1829">
        <v>153</v>
      </c>
      <c r="B1829" s="1">
        <v>46023</v>
      </c>
      <c r="C1829">
        <v>21</v>
      </c>
      <c r="D1829">
        <v>20</v>
      </c>
      <c r="E1829">
        <v>1</v>
      </c>
      <c r="F1829">
        <v>1</v>
      </c>
      <c r="G1829">
        <v>95.2</v>
      </c>
    </row>
    <row r="1830" spans="1:7">
      <c r="A1830">
        <v>153</v>
      </c>
      <c r="B1830" s="1">
        <v>46054</v>
      </c>
      <c r="C1830">
        <v>20</v>
      </c>
      <c r="D1830">
        <v>19</v>
      </c>
      <c r="E1830">
        <v>1</v>
      </c>
      <c r="F1830">
        <v>0</v>
      </c>
      <c r="G1830">
        <v>95</v>
      </c>
    </row>
    <row r="1831" spans="1:7">
      <c r="A1831">
        <v>153</v>
      </c>
      <c r="B1831" s="1">
        <v>46082</v>
      </c>
      <c r="C1831">
        <v>18</v>
      </c>
      <c r="D1831">
        <v>16</v>
      </c>
      <c r="E1831">
        <v>2</v>
      </c>
      <c r="F1831">
        <v>5</v>
      </c>
      <c r="G1831">
        <v>88.9</v>
      </c>
    </row>
    <row r="1832" spans="1:7">
      <c r="A1832">
        <v>153</v>
      </c>
      <c r="B1832" s="1">
        <v>46113</v>
      </c>
      <c r="C1832">
        <v>21</v>
      </c>
      <c r="D1832">
        <v>21</v>
      </c>
      <c r="E1832">
        <v>0</v>
      </c>
      <c r="F1832">
        <v>1</v>
      </c>
      <c r="G1832">
        <v>100</v>
      </c>
    </row>
    <row r="1833" spans="1:7">
      <c r="A1833">
        <v>153</v>
      </c>
      <c r="B1833" s="1">
        <v>46143</v>
      </c>
      <c r="C1833">
        <v>21</v>
      </c>
      <c r="D1833">
        <v>18</v>
      </c>
      <c r="E1833">
        <v>3</v>
      </c>
      <c r="F1833">
        <v>0</v>
      </c>
      <c r="G1833">
        <v>85.7</v>
      </c>
    </row>
    <row r="1834" spans="1:7">
      <c r="A1834">
        <v>153</v>
      </c>
      <c r="B1834" s="1">
        <v>46174</v>
      </c>
      <c r="C1834">
        <v>18</v>
      </c>
      <c r="D1834">
        <v>17</v>
      </c>
      <c r="E1834">
        <v>1</v>
      </c>
      <c r="F1834">
        <v>1</v>
      </c>
      <c r="G1834">
        <v>94.4</v>
      </c>
    </row>
    <row r="1835" spans="1:7">
      <c r="A1835">
        <v>153</v>
      </c>
      <c r="B1835" s="1">
        <v>46204</v>
      </c>
      <c r="C1835">
        <v>20</v>
      </c>
      <c r="D1835">
        <v>16</v>
      </c>
      <c r="E1835">
        <v>4</v>
      </c>
      <c r="F1835">
        <v>5</v>
      </c>
      <c r="G1835">
        <v>80</v>
      </c>
    </row>
    <row r="1836" spans="1:7">
      <c r="A1836">
        <v>153</v>
      </c>
      <c r="B1836" s="1">
        <v>46235</v>
      </c>
      <c r="C1836">
        <v>21</v>
      </c>
      <c r="D1836">
        <v>21</v>
      </c>
      <c r="E1836">
        <v>0</v>
      </c>
      <c r="F1836">
        <v>1</v>
      </c>
      <c r="G1836">
        <v>100</v>
      </c>
    </row>
    <row r="1837" spans="1:7">
      <c r="A1837">
        <v>153</v>
      </c>
      <c r="B1837" s="1">
        <v>46266</v>
      </c>
      <c r="C1837">
        <v>21</v>
      </c>
      <c r="D1837">
        <v>20</v>
      </c>
      <c r="E1837">
        <v>1</v>
      </c>
      <c r="F1837">
        <v>1</v>
      </c>
      <c r="G1837">
        <v>95.2</v>
      </c>
    </row>
    <row r="1838" spans="1:7">
      <c r="A1838">
        <v>154</v>
      </c>
      <c r="B1838" s="1">
        <v>45931</v>
      </c>
      <c r="C1838">
        <v>21</v>
      </c>
      <c r="D1838">
        <v>10</v>
      </c>
      <c r="E1838">
        <v>11</v>
      </c>
      <c r="F1838">
        <v>1</v>
      </c>
      <c r="G1838">
        <v>47.6</v>
      </c>
    </row>
    <row r="1839" spans="1:7">
      <c r="A1839">
        <v>154</v>
      </c>
      <c r="B1839" s="1">
        <v>45962</v>
      </c>
      <c r="C1839">
        <v>18</v>
      </c>
      <c r="D1839">
        <v>12</v>
      </c>
      <c r="E1839">
        <v>6</v>
      </c>
      <c r="F1839">
        <v>4</v>
      </c>
      <c r="G1839">
        <v>66.7</v>
      </c>
    </row>
    <row r="1840" spans="1:7">
      <c r="A1840">
        <v>154</v>
      </c>
      <c r="B1840" s="1">
        <v>45992</v>
      </c>
      <c r="C1840">
        <v>18</v>
      </c>
      <c r="D1840">
        <v>10</v>
      </c>
      <c r="E1840">
        <v>8</v>
      </c>
      <c r="F1840">
        <v>5</v>
      </c>
      <c r="G1840">
        <v>55.6</v>
      </c>
    </row>
    <row r="1841" spans="1:7">
      <c r="A1841">
        <v>154</v>
      </c>
      <c r="B1841" s="1">
        <v>46023</v>
      </c>
      <c r="C1841">
        <v>21</v>
      </c>
      <c r="D1841">
        <v>11</v>
      </c>
      <c r="E1841">
        <v>10</v>
      </c>
      <c r="F1841">
        <v>1</v>
      </c>
      <c r="G1841">
        <v>52.4</v>
      </c>
    </row>
    <row r="1842" spans="1:7">
      <c r="A1842">
        <v>154</v>
      </c>
      <c r="B1842" s="1">
        <v>46054</v>
      </c>
      <c r="C1842">
        <v>18</v>
      </c>
      <c r="D1842">
        <v>10</v>
      </c>
      <c r="E1842">
        <v>8</v>
      </c>
      <c r="F1842">
        <v>2</v>
      </c>
      <c r="G1842">
        <v>55.6</v>
      </c>
    </row>
    <row r="1843" spans="1:7">
      <c r="A1843">
        <v>154</v>
      </c>
      <c r="B1843" s="1">
        <v>46082</v>
      </c>
      <c r="C1843">
        <v>19</v>
      </c>
      <c r="D1843">
        <v>10</v>
      </c>
      <c r="E1843">
        <v>9</v>
      </c>
      <c r="F1843">
        <v>3</v>
      </c>
      <c r="G1843">
        <v>52.6</v>
      </c>
    </row>
    <row r="1844" spans="1:7">
      <c r="A1844">
        <v>154</v>
      </c>
      <c r="B1844" s="1">
        <v>46113</v>
      </c>
      <c r="C1844">
        <v>20</v>
      </c>
      <c r="D1844">
        <v>10</v>
      </c>
      <c r="E1844">
        <v>10</v>
      </c>
      <c r="F1844">
        <v>5</v>
      </c>
      <c r="G1844">
        <v>50</v>
      </c>
    </row>
    <row r="1845" spans="1:7">
      <c r="A1845">
        <v>154</v>
      </c>
      <c r="B1845" s="1">
        <v>46143</v>
      </c>
      <c r="C1845">
        <v>22</v>
      </c>
      <c r="D1845">
        <v>10</v>
      </c>
      <c r="E1845">
        <v>12</v>
      </c>
      <c r="F1845">
        <v>1</v>
      </c>
      <c r="G1845">
        <v>45.5</v>
      </c>
    </row>
    <row r="1846" spans="1:7">
      <c r="A1846">
        <v>154</v>
      </c>
      <c r="B1846" s="1">
        <v>46174</v>
      </c>
      <c r="C1846">
        <v>21</v>
      </c>
      <c r="D1846">
        <v>13</v>
      </c>
      <c r="E1846">
        <v>8</v>
      </c>
      <c r="F1846">
        <v>6</v>
      </c>
      <c r="G1846">
        <v>61.9</v>
      </c>
    </row>
    <row r="1847" spans="1:7">
      <c r="A1847">
        <v>154</v>
      </c>
      <c r="B1847" s="1">
        <v>46204</v>
      </c>
      <c r="C1847">
        <v>22</v>
      </c>
      <c r="D1847">
        <v>16</v>
      </c>
      <c r="E1847">
        <v>6</v>
      </c>
      <c r="F1847">
        <v>5</v>
      </c>
      <c r="G1847">
        <v>72.7</v>
      </c>
    </row>
    <row r="1848" spans="1:7">
      <c r="A1848">
        <v>154</v>
      </c>
      <c r="B1848" s="1">
        <v>46235</v>
      </c>
      <c r="C1848">
        <v>18</v>
      </c>
      <c r="D1848">
        <v>10</v>
      </c>
      <c r="E1848">
        <v>8</v>
      </c>
      <c r="F1848">
        <v>0</v>
      </c>
      <c r="G1848">
        <v>55.6</v>
      </c>
    </row>
    <row r="1849" spans="1:7">
      <c r="A1849">
        <v>154</v>
      </c>
      <c r="B1849" s="1">
        <v>46266</v>
      </c>
      <c r="C1849">
        <v>22</v>
      </c>
      <c r="D1849">
        <v>12</v>
      </c>
      <c r="E1849">
        <v>10</v>
      </c>
      <c r="F1849">
        <v>0</v>
      </c>
      <c r="G1849">
        <v>54.5</v>
      </c>
    </row>
    <row r="1850" spans="1:7">
      <c r="A1850">
        <v>155</v>
      </c>
      <c r="B1850" s="1">
        <v>45931</v>
      </c>
      <c r="C1850">
        <v>18</v>
      </c>
      <c r="D1850">
        <v>14</v>
      </c>
      <c r="E1850">
        <v>4</v>
      </c>
      <c r="F1850">
        <v>1</v>
      </c>
      <c r="G1850">
        <v>77.8</v>
      </c>
    </row>
    <row r="1851" spans="1:7">
      <c r="A1851">
        <v>155</v>
      </c>
      <c r="B1851" s="1">
        <v>45962</v>
      </c>
      <c r="C1851">
        <v>20</v>
      </c>
      <c r="D1851">
        <v>19</v>
      </c>
      <c r="E1851">
        <v>1</v>
      </c>
      <c r="F1851">
        <v>1</v>
      </c>
      <c r="G1851">
        <v>95</v>
      </c>
    </row>
    <row r="1852" spans="1:7">
      <c r="A1852">
        <v>155</v>
      </c>
      <c r="B1852" s="1">
        <v>45992</v>
      </c>
      <c r="C1852">
        <v>19</v>
      </c>
      <c r="D1852">
        <v>13</v>
      </c>
      <c r="E1852">
        <v>6</v>
      </c>
      <c r="F1852">
        <v>0</v>
      </c>
      <c r="G1852">
        <v>68.400000000000006</v>
      </c>
    </row>
    <row r="1853" spans="1:7">
      <c r="A1853">
        <v>155</v>
      </c>
      <c r="B1853" s="1">
        <v>46023</v>
      </c>
      <c r="C1853">
        <v>20</v>
      </c>
      <c r="D1853">
        <v>15</v>
      </c>
      <c r="E1853">
        <v>5</v>
      </c>
      <c r="F1853">
        <v>6</v>
      </c>
      <c r="G1853">
        <v>75</v>
      </c>
    </row>
    <row r="1854" spans="1:7">
      <c r="A1854">
        <v>155</v>
      </c>
      <c r="B1854" s="1">
        <v>46054</v>
      </c>
      <c r="C1854">
        <v>19</v>
      </c>
      <c r="D1854">
        <v>15</v>
      </c>
      <c r="E1854">
        <v>4</v>
      </c>
      <c r="F1854">
        <v>0</v>
      </c>
      <c r="G1854">
        <v>78.900000000000006</v>
      </c>
    </row>
    <row r="1855" spans="1:7">
      <c r="A1855">
        <v>155</v>
      </c>
      <c r="B1855" s="1">
        <v>46082</v>
      </c>
      <c r="C1855">
        <v>19</v>
      </c>
      <c r="D1855">
        <v>16</v>
      </c>
      <c r="E1855">
        <v>3</v>
      </c>
      <c r="F1855">
        <v>5</v>
      </c>
      <c r="G1855">
        <v>84.2</v>
      </c>
    </row>
    <row r="1856" spans="1:7">
      <c r="A1856">
        <v>155</v>
      </c>
      <c r="B1856" s="1">
        <v>46113</v>
      </c>
      <c r="C1856">
        <v>19</v>
      </c>
      <c r="D1856">
        <v>13</v>
      </c>
      <c r="E1856">
        <v>6</v>
      </c>
      <c r="F1856">
        <v>6</v>
      </c>
      <c r="G1856">
        <v>68.400000000000006</v>
      </c>
    </row>
    <row r="1857" spans="1:7">
      <c r="A1857">
        <v>155</v>
      </c>
      <c r="B1857" s="1">
        <v>46143</v>
      </c>
      <c r="C1857">
        <v>20</v>
      </c>
      <c r="D1857">
        <v>15</v>
      </c>
      <c r="E1857">
        <v>5</v>
      </c>
      <c r="F1857">
        <v>2</v>
      </c>
      <c r="G1857">
        <v>75</v>
      </c>
    </row>
    <row r="1858" spans="1:7">
      <c r="A1858">
        <v>155</v>
      </c>
      <c r="B1858" s="1">
        <v>46174</v>
      </c>
      <c r="C1858">
        <v>22</v>
      </c>
      <c r="D1858">
        <v>20</v>
      </c>
      <c r="E1858">
        <v>2</v>
      </c>
      <c r="F1858">
        <v>4</v>
      </c>
      <c r="G1858">
        <v>90.9</v>
      </c>
    </row>
    <row r="1859" spans="1:7">
      <c r="A1859">
        <v>155</v>
      </c>
      <c r="B1859" s="1">
        <v>46204</v>
      </c>
      <c r="C1859">
        <v>21</v>
      </c>
      <c r="D1859">
        <v>19</v>
      </c>
      <c r="E1859">
        <v>2</v>
      </c>
      <c r="F1859">
        <v>3</v>
      </c>
      <c r="G1859">
        <v>90.5</v>
      </c>
    </row>
    <row r="1860" spans="1:7">
      <c r="A1860">
        <v>155</v>
      </c>
      <c r="B1860" s="1">
        <v>46235</v>
      </c>
      <c r="C1860">
        <v>18</v>
      </c>
      <c r="D1860">
        <v>14</v>
      </c>
      <c r="E1860">
        <v>4</v>
      </c>
      <c r="F1860">
        <v>2</v>
      </c>
      <c r="G1860">
        <v>77.8</v>
      </c>
    </row>
    <row r="1861" spans="1:7">
      <c r="A1861">
        <v>155</v>
      </c>
      <c r="B1861" s="1">
        <v>46266</v>
      </c>
      <c r="C1861">
        <v>19</v>
      </c>
      <c r="D1861">
        <v>14</v>
      </c>
      <c r="E1861">
        <v>5</v>
      </c>
      <c r="F1861">
        <v>0</v>
      </c>
      <c r="G1861">
        <v>73.7</v>
      </c>
    </row>
    <row r="1862" spans="1:7">
      <c r="A1862">
        <v>156</v>
      </c>
      <c r="B1862" s="1">
        <v>45931</v>
      </c>
      <c r="C1862">
        <v>21</v>
      </c>
      <c r="D1862">
        <v>12</v>
      </c>
      <c r="E1862">
        <v>9</v>
      </c>
      <c r="F1862">
        <v>1</v>
      </c>
      <c r="G1862">
        <v>57.1</v>
      </c>
    </row>
    <row r="1863" spans="1:7">
      <c r="A1863">
        <v>156</v>
      </c>
      <c r="B1863" s="1">
        <v>45962</v>
      </c>
      <c r="C1863">
        <v>21</v>
      </c>
      <c r="D1863">
        <v>13</v>
      </c>
      <c r="E1863">
        <v>8</v>
      </c>
      <c r="F1863">
        <v>1</v>
      </c>
      <c r="G1863">
        <v>61.9</v>
      </c>
    </row>
    <row r="1864" spans="1:7">
      <c r="A1864">
        <v>156</v>
      </c>
      <c r="B1864" s="1">
        <v>45992</v>
      </c>
      <c r="C1864">
        <v>18</v>
      </c>
      <c r="D1864">
        <v>10</v>
      </c>
      <c r="E1864">
        <v>8</v>
      </c>
      <c r="F1864">
        <v>4</v>
      </c>
      <c r="G1864">
        <v>55.6</v>
      </c>
    </row>
    <row r="1865" spans="1:7">
      <c r="A1865">
        <v>156</v>
      </c>
      <c r="B1865" s="1">
        <v>46023</v>
      </c>
      <c r="C1865">
        <v>20</v>
      </c>
      <c r="D1865">
        <v>13</v>
      </c>
      <c r="E1865">
        <v>7</v>
      </c>
      <c r="F1865">
        <v>0</v>
      </c>
      <c r="G1865">
        <v>65</v>
      </c>
    </row>
    <row r="1866" spans="1:7">
      <c r="A1866">
        <v>156</v>
      </c>
      <c r="B1866" s="1">
        <v>46054</v>
      </c>
      <c r="C1866">
        <v>18</v>
      </c>
      <c r="D1866">
        <v>10</v>
      </c>
      <c r="E1866">
        <v>8</v>
      </c>
      <c r="F1866">
        <v>6</v>
      </c>
      <c r="G1866">
        <v>55.6</v>
      </c>
    </row>
    <row r="1867" spans="1:7">
      <c r="A1867">
        <v>156</v>
      </c>
      <c r="B1867" s="1">
        <v>46082</v>
      </c>
      <c r="C1867">
        <v>22</v>
      </c>
      <c r="D1867">
        <v>15</v>
      </c>
      <c r="E1867">
        <v>7</v>
      </c>
      <c r="F1867">
        <v>3</v>
      </c>
      <c r="G1867">
        <v>68.2</v>
      </c>
    </row>
    <row r="1868" spans="1:7">
      <c r="A1868">
        <v>156</v>
      </c>
      <c r="B1868" s="1">
        <v>46113</v>
      </c>
      <c r="C1868">
        <v>18</v>
      </c>
      <c r="D1868">
        <v>10</v>
      </c>
      <c r="E1868">
        <v>8</v>
      </c>
      <c r="F1868">
        <v>6</v>
      </c>
      <c r="G1868">
        <v>55.6</v>
      </c>
    </row>
    <row r="1869" spans="1:7">
      <c r="A1869">
        <v>156</v>
      </c>
      <c r="B1869" s="1">
        <v>46143</v>
      </c>
      <c r="C1869">
        <v>22</v>
      </c>
      <c r="D1869">
        <v>17</v>
      </c>
      <c r="E1869">
        <v>5</v>
      </c>
      <c r="F1869">
        <v>1</v>
      </c>
      <c r="G1869">
        <v>77.3</v>
      </c>
    </row>
    <row r="1870" spans="1:7">
      <c r="A1870">
        <v>156</v>
      </c>
      <c r="B1870" s="1">
        <v>46174</v>
      </c>
      <c r="C1870">
        <v>20</v>
      </c>
      <c r="D1870">
        <v>10</v>
      </c>
      <c r="E1870">
        <v>10</v>
      </c>
      <c r="F1870">
        <v>5</v>
      </c>
      <c r="G1870">
        <v>50</v>
      </c>
    </row>
    <row r="1871" spans="1:7">
      <c r="A1871">
        <v>156</v>
      </c>
      <c r="B1871" s="1">
        <v>46204</v>
      </c>
      <c r="C1871">
        <v>21</v>
      </c>
      <c r="D1871">
        <v>13</v>
      </c>
      <c r="E1871">
        <v>8</v>
      </c>
      <c r="F1871">
        <v>5</v>
      </c>
      <c r="G1871">
        <v>61.9</v>
      </c>
    </row>
    <row r="1872" spans="1:7">
      <c r="A1872">
        <v>156</v>
      </c>
      <c r="B1872" s="1">
        <v>46235</v>
      </c>
      <c r="C1872">
        <v>19</v>
      </c>
      <c r="D1872">
        <v>12</v>
      </c>
      <c r="E1872">
        <v>7</v>
      </c>
      <c r="F1872">
        <v>5</v>
      </c>
      <c r="G1872">
        <v>63.2</v>
      </c>
    </row>
    <row r="1873" spans="1:7">
      <c r="A1873">
        <v>156</v>
      </c>
      <c r="B1873" s="1">
        <v>46266</v>
      </c>
      <c r="C1873">
        <v>20</v>
      </c>
      <c r="D1873">
        <v>10</v>
      </c>
      <c r="E1873">
        <v>10</v>
      </c>
      <c r="F1873">
        <v>6</v>
      </c>
      <c r="G1873">
        <v>50</v>
      </c>
    </row>
    <row r="1874" spans="1:7">
      <c r="A1874">
        <v>157</v>
      </c>
      <c r="B1874" s="1">
        <v>45931</v>
      </c>
      <c r="C1874">
        <v>21</v>
      </c>
      <c r="D1874">
        <v>18</v>
      </c>
      <c r="E1874">
        <v>3</v>
      </c>
      <c r="F1874">
        <v>4</v>
      </c>
      <c r="G1874">
        <v>85.7</v>
      </c>
    </row>
    <row r="1875" spans="1:7">
      <c r="A1875">
        <v>157</v>
      </c>
      <c r="B1875" s="1">
        <v>45962</v>
      </c>
      <c r="C1875">
        <v>21</v>
      </c>
      <c r="D1875">
        <v>18</v>
      </c>
      <c r="E1875">
        <v>3</v>
      </c>
      <c r="F1875">
        <v>3</v>
      </c>
      <c r="G1875">
        <v>85.7</v>
      </c>
    </row>
    <row r="1876" spans="1:7">
      <c r="A1876">
        <v>157</v>
      </c>
      <c r="B1876" s="1">
        <v>45992</v>
      </c>
      <c r="C1876">
        <v>22</v>
      </c>
      <c r="D1876">
        <v>20</v>
      </c>
      <c r="E1876">
        <v>2</v>
      </c>
      <c r="F1876">
        <v>4</v>
      </c>
      <c r="G1876">
        <v>90.9</v>
      </c>
    </row>
    <row r="1877" spans="1:7">
      <c r="A1877">
        <v>157</v>
      </c>
      <c r="B1877" s="1">
        <v>46023</v>
      </c>
      <c r="C1877">
        <v>18</v>
      </c>
      <c r="D1877">
        <v>16</v>
      </c>
      <c r="E1877">
        <v>2</v>
      </c>
      <c r="F1877">
        <v>1</v>
      </c>
      <c r="G1877">
        <v>88.9</v>
      </c>
    </row>
    <row r="1878" spans="1:7">
      <c r="A1878">
        <v>157</v>
      </c>
      <c r="B1878" s="1">
        <v>46054</v>
      </c>
      <c r="C1878">
        <v>18</v>
      </c>
      <c r="D1878">
        <v>18</v>
      </c>
      <c r="E1878">
        <v>0</v>
      </c>
      <c r="F1878">
        <v>2</v>
      </c>
      <c r="G1878">
        <v>100</v>
      </c>
    </row>
    <row r="1879" spans="1:7">
      <c r="A1879">
        <v>157</v>
      </c>
      <c r="B1879" s="1">
        <v>46082</v>
      </c>
      <c r="C1879">
        <v>19</v>
      </c>
      <c r="D1879">
        <v>19</v>
      </c>
      <c r="E1879">
        <v>0</v>
      </c>
      <c r="F1879">
        <v>3</v>
      </c>
      <c r="G1879">
        <v>100</v>
      </c>
    </row>
    <row r="1880" spans="1:7">
      <c r="A1880">
        <v>157</v>
      </c>
      <c r="B1880" s="1">
        <v>46113</v>
      </c>
      <c r="C1880">
        <v>19</v>
      </c>
      <c r="D1880">
        <v>17</v>
      </c>
      <c r="E1880">
        <v>2</v>
      </c>
      <c r="F1880">
        <v>2</v>
      </c>
      <c r="G1880">
        <v>89.5</v>
      </c>
    </row>
    <row r="1881" spans="1:7">
      <c r="A1881">
        <v>157</v>
      </c>
      <c r="B1881" s="1">
        <v>46143</v>
      </c>
      <c r="C1881">
        <v>21</v>
      </c>
      <c r="D1881">
        <v>19</v>
      </c>
      <c r="E1881">
        <v>2</v>
      </c>
      <c r="F1881">
        <v>2</v>
      </c>
      <c r="G1881">
        <v>90.5</v>
      </c>
    </row>
    <row r="1882" spans="1:7">
      <c r="A1882">
        <v>157</v>
      </c>
      <c r="B1882" s="1">
        <v>46174</v>
      </c>
      <c r="C1882">
        <v>19</v>
      </c>
      <c r="D1882">
        <v>16</v>
      </c>
      <c r="E1882">
        <v>3</v>
      </c>
      <c r="F1882">
        <v>0</v>
      </c>
      <c r="G1882">
        <v>84.2</v>
      </c>
    </row>
    <row r="1883" spans="1:7">
      <c r="A1883">
        <v>157</v>
      </c>
      <c r="B1883" s="1">
        <v>46204</v>
      </c>
      <c r="C1883">
        <v>19</v>
      </c>
      <c r="D1883">
        <v>15</v>
      </c>
      <c r="E1883">
        <v>4</v>
      </c>
      <c r="F1883">
        <v>5</v>
      </c>
      <c r="G1883">
        <v>78.900000000000006</v>
      </c>
    </row>
    <row r="1884" spans="1:7">
      <c r="A1884">
        <v>157</v>
      </c>
      <c r="B1884" s="1">
        <v>46235</v>
      </c>
      <c r="C1884">
        <v>22</v>
      </c>
      <c r="D1884">
        <v>17</v>
      </c>
      <c r="E1884">
        <v>5</v>
      </c>
      <c r="F1884">
        <v>2</v>
      </c>
      <c r="G1884">
        <v>77.3</v>
      </c>
    </row>
    <row r="1885" spans="1:7">
      <c r="A1885">
        <v>157</v>
      </c>
      <c r="B1885" s="1">
        <v>46266</v>
      </c>
      <c r="C1885">
        <v>19</v>
      </c>
      <c r="D1885">
        <v>16</v>
      </c>
      <c r="E1885">
        <v>3</v>
      </c>
      <c r="F1885">
        <v>2</v>
      </c>
      <c r="G1885">
        <v>84.2</v>
      </c>
    </row>
    <row r="1886" spans="1:7">
      <c r="A1886">
        <v>158</v>
      </c>
      <c r="B1886" s="1">
        <v>45931</v>
      </c>
      <c r="C1886">
        <v>20</v>
      </c>
      <c r="D1886">
        <v>16</v>
      </c>
      <c r="E1886">
        <v>4</v>
      </c>
      <c r="F1886">
        <v>4</v>
      </c>
      <c r="G1886">
        <v>80</v>
      </c>
    </row>
    <row r="1887" spans="1:7">
      <c r="A1887">
        <v>158</v>
      </c>
      <c r="B1887" s="1">
        <v>45962</v>
      </c>
      <c r="C1887">
        <v>21</v>
      </c>
      <c r="D1887">
        <v>18</v>
      </c>
      <c r="E1887">
        <v>3</v>
      </c>
      <c r="F1887">
        <v>5</v>
      </c>
      <c r="G1887">
        <v>85.7</v>
      </c>
    </row>
    <row r="1888" spans="1:7">
      <c r="A1888">
        <v>158</v>
      </c>
      <c r="B1888" s="1">
        <v>45992</v>
      </c>
      <c r="C1888">
        <v>20</v>
      </c>
      <c r="D1888">
        <v>14</v>
      </c>
      <c r="E1888">
        <v>6</v>
      </c>
      <c r="F1888">
        <v>5</v>
      </c>
      <c r="G1888">
        <v>70</v>
      </c>
    </row>
    <row r="1889" spans="1:7">
      <c r="A1889">
        <v>158</v>
      </c>
      <c r="B1889" s="1">
        <v>46023</v>
      </c>
      <c r="C1889">
        <v>20</v>
      </c>
      <c r="D1889">
        <v>16</v>
      </c>
      <c r="E1889">
        <v>4</v>
      </c>
      <c r="F1889">
        <v>2</v>
      </c>
      <c r="G1889">
        <v>80</v>
      </c>
    </row>
    <row r="1890" spans="1:7">
      <c r="A1890">
        <v>158</v>
      </c>
      <c r="B1890" s="1">
        <v>46054</v>
      </c>
      <c r="C1890">
        <v>19</v>
      </c>
      <c r="D1890">
        <v>13</v>
      </c>
      <c r="E1890">
        <v>6</v>
      </c>
      <c r="F1890">
        <v>5</v>
      </c>
      <c r="G1890">
        <v>68.400000000000006</v>
      </c>
    </row>
    <row r="1891" spans="1:7">
      <c r="A1891">
        <v>158</v>
      </c>
      <c r="B1891" s="1">
        <v>46082</v>
      </c>
      <c r="C1891">
        <v>19</v>
      </c>
      <c r="D1891">
        <v>12</v>
      </c>
      <c r="E1891">
        <v>7</v>
      </c>
      <c r="F1891">
        <v>6</v>
      </c>
      <c r="G1891">
        <v>63.2</v>
      </c>
    </row>
    <row r="1892" spans="1:7">
      <c r="A1892">
        <v>158</v>
      </c>
      <c r="B1892" s="1">
        <v>46113</v>
      </c>
      <c r="C1892">
        <v>19</v>
      </c>
      <c r="D1892">
        <v>15</v>
      </c>
      <c r="E1892">
        <v>4</v>
      </c>
      <c r="F1892">
        <v>2</v>
      </c>
      <c r="G1892">
        <v>78.900000000000006</v>
      </c>
    </row>
    <row r="1893" spans="1:7">
      <c r="A1893">
        <v>158</v>
      </c>
      <c r="B1893" s="1">
        <v>46143</v>
      </c>
      <c r="C1893">
        <v>19</v>
      </c>
      <c r="D1893">
        <v>14</v>
      </c>
      <c r="E1893">
        <v>5</v>
      </c>
      <c r="F1893">
        <v>3</v>
      </c>
      <c r="G1893">
        <v>73.7</v>
      </c>
    </row>
    <row r="1894" spans="1:7">
      <c r="A1894">
        <v>158</v>
      </c>
      <c r="B1894" s="1">
        <v>46174</v>
      </c>
      <c r="C1894">
        <v>18</v>
      </c>
      <c r="D1894">
        <v>10</v>
      </c>
      <c r="E1894">
        <v>8</v>
      </c>
      <c r="F1894">
        <v>1</v>
      </c>
      <c r="G1894">
        <v>55.6</v>
      </c>
    </row>
    <row r="1895" spans="1:7">
      <c r="A1895">
        <v>158</v>
      </c>
      <c r="B1895" s="1">
        <v>46204</v>
      </c>
      <c r="C1895">
        <v>18</v>
      </c>
      <c r="D1895">
        <v>11</v>
      </c>
      <c r="E1895">
        <v>7</v>
      </c>
      <c r="F1895">
        <v>5</v>
      </c>
      <c r="G1895">
        <v>61.1</v>
      </c>
    </row>
    <row r="1896" spans="1:7">
      <c r="A1896">
        <v>158</v>
      </c>
      <c r="B1896" s="1">
        <v>46235</v>
      </c>
      <c r="C1896">
        <v>19</v>
      </c>
      <c r="D1896">
        <v>12</v>
      </c>
      <c r="E1896">
        <v>7</v>
      </c>
      <c r="F1896">
        <v>1</v>
      </c>
      <c r="G1896">
        <v>63.2</v>
      </c>
    </row>
    <row r="1897" spans="1:7">
      <c r="A1897">
        <v>158</v>
      </c>
      <c r="B1897" s="1">
        <v>46266</v>
      </c>
      <c r="C1897">
        <v>22</v>
      </c>
      <c r="D1897">
        <v>16</v>
      </c>
      <c r="E1897">
        <v>6</v>
      </c>
      <c r="F1897">
        <v>4</v>
      </c>
      <c r="G1897">
        <v>72.7</v>
      </c>
    </row>
    <row r="1898" spans="1:7">
      <c r="A1898">
        <v>159</v>
      </c>
      <c r="B1898" s="1">
        <v>45931</v>
      </c>
      <c r="C1898">
        <v>19</v>
      </c>
      <c r="D1898">
        <v>12</v>
      </c>
      <c r="E1898">
        <v>7</v>
      </c>
      <c r="F1898">
        <v>5</v>
      </c>
      <c r="G1898">
        <v>63.2</v>
      </c>
    </row>
    <row r="1899" spans="1:7">
      <c r="A1899">
        <v>159</v>
      </c>
      <c r="B1899" s="1">
        <v>45962</v>
      </c>
      <c r="C1899">
        <v>21</v>
      </c>
      <c r="D1899">
        <v>13</v>
      </c>
      <c r="E1899">
        <v>8</v>
      </c>
      <c r="F1899">
        <v>2</v>
      </c>
      <c r="G1899">
        <v>61.9</v>
      </c>
    </row>
    <row r="1900" spans="1:7">
      <c r="A1900">
        <v>159</v>
      </c>
      <c r="B1900" s="1">
        <v>45992</v>
      </c>
      <c r="C1900">
        <v>19</v>
      </c>
      <c r="D1900">
        <v>12</v>
      </c>
      <c r="E1900">
        <v>7</v>
      </c>
      <c r="F1900">
        <v>1</v>
      </c>
      <c r="G1900">
        <v>63.2</v>
      </c>
    </row>
    <row r="1901" spans="1:7">
      <c r="A1901">
        <v>159</v>
      </c>
      <c r="B1901" s="1">
        <v>46023</v>
      </c>
      <c r="C1901">
        <v>22</v>
      </c>
      <c r="D1901">
        <v>16</v>
      </c>
      <c r="E1901">
        <v>6</v>
      </c>
      <c r="F1901">
        <v>1</v>
      </c>
      <c r="G1901">
        <v>72.7</v>
      </c>
    </row>
    <row r="1902" spans="1:7">
      <c r="A1902">
        <v>159</v>
      </c>
      <c r="B1902" s="1">
        <v>46054</v>
      </c>
      <c r="C1902">
        <v>20</v>
      </c>
      <c r="D1902">
        <v>13</v>
      </c>
      <c r="E1902">
        <v>7</v>
      </c>
      <c r="F1902">
        <v>5</v>
      </c>
      <c r="G1902">
        <v>65</v>
      </c>
    </row>
    <row r="1903" spans="1:7">
      <c r="A1903">
        <v>159</v>
      </c>
      <c r="B1903" s="1">
        <v>46082</v>
      </c>
      <c r="C1903">
        <v>19</v>
      </c>
      <c r="D1903">
        <v>10</v>
      </c>
      <c r="E1903">
        <v>9</v>
      </c>
      <c r="F1903">
        <v>2</v>
      </c>
      <c r="G1903">
        <v>52.6</v>
      </c>
    </row>
    <row r="1904" spans="1:7">
      <c r="A1904">
        <v>159</v>
      </c>
      <c r="B1904" s="1">
        <v>46113</v>
      </c>
      <c r="C1904">
        <v>21</v>
      </c>
      <c r="D1904">
        <v>10</v>
      </c>
      <c r="E1904">
        <v>11</v>
      </c>
      <c r="F1904">
        <v>3</v>
      </c>
      <c r="G1904">
        <v>47.6</v>
      </c>
    </row>
    <row r="1905" spans="1:7">
      <c r="A1905">
        <v>159</v>
      </c>
      <c r="B1905" s="1">
        <v>46143</v>
      </c>
      <c r="C1905">
        <v>21</v>
      </c>
      <c r="D1905">
        <v>11</v>
      </c>
      <c r="E1905">
        <v>10</v>
      </c>
      <c r="F1905">
        <v>1</v>
      </c>
      <c r="G1905">
        <v>52.4</v>
      </c>
    </row>
    <row r="1906" spans="1:7">
      <c r="A1906">
        <v>159</v>
      </c>
      <c r="B1906" s="1">
        <v>46174</v>
      </c>
      <c r="C1906">
        <v>21</v>
      </c>
      <c r="D1906">
        <v>16</v>
      </c>
      <c r="E1906">
        <v>5</v>
      </c>
      <c r="F1906">
        <v>5</v>
      </c>
      <c r="G1906">
        <v>76.2</v>
      </c>
    </row>
    <row r="1907" spans="1:7">
      <c r="A1907">
        <v>159</v>
      </c>
      <c r="B1907" s="1">
        <v>46204</v>
      </c>
      <c r="C1907">
        <v>21</v>
      </c>
      <c r="D1907">
        <v>13</v>
      </c>
      <c r="E1907">
        <v>8</v>
      </c>
      <c r="F1907">
        <v>6</v>
      </c>
      <c r="G1907">
        <v>61.9</v>
      </c>
    </row>
    <row r="1908" spans="1:7">
      <c r="A1908">
        <v>159</v>
      </c>
      <c r="B1908" s="1">
        <v>46235</v>
      </c>
      <c r="C1908">
        <v>19</v>
      </c>
      <c r="D1908">
        <v>10</v>
      </c>
      <c r="E1908">
        <v>9</v>
      </c>
      <c r="F1908">
        <v>0</v>
      </c>
      <c r="G1908">
        <v>52.6</v>
      </c>
    </row>
    <row r="1909" spans="1:7">
      <c r="A1909">
        <v>159</v>
      </c>
      <c r="B1909" s="1">
        <v>46266</v>
      </c>
      <c r="C1909">
        <v>21</v>
      </c>
      <c r="D1909">
        <v>17</v>
      </c>
      <c r="E1909">
        <v>4</v>
      </c>
      <c r="F1909">
        <v>3</v>
      </c>
      <c r="G1909">
        <v>81</v>
      </c>
    </row>
    <row r="1910" spans="1:7">
      <c r="A1910">
        <v>160</v>
      </c>
      <c r="B1910" s="1">
        <v>45931</v>
      </c>
      <c r="C1910">
        <v>18</v>
      </c>
      <c r="D1910">
        <v>11</v>
      </c>
      <c r="E1910">
        <v>7</v>
      </c>
      <c r="F1910">
        <v>4</v>
      </c>
      <c r="G1910">
        <v>61.1</v>
      </c>
    </row>
    <row r="1911" spans="1:7">
      <c r="A1911">
        <v>160</v>
      </c>
      <c r="B1911" s="1">
        <v>45962</v>
      </c>
      <c r="C1911">
        <v>22</v>
      </c>
      <c r="D1911">
        <v>20</v>
      </c>
      <c r="E1911">
        <v>2</v>
      </c>
      <c r="F1911">
        <v>1</v>
      </c>
      <c r="G1911">
        <v>90.9</v>
      </c>
    </row>
    <row r="1912" spans="1:7">
      <c r="A1912">
        <v>160</v>
      </c>
      <c r="B1912" s="1">
        <v>45992</v>
      </c>
      <c r="C1912">
        <v>22</v>
      </c>
      <c r="D1912">
        <v>16</v>
      </c>
      <c r="E1912">
        <v>6</v>
      </c>
      <c r="F1912">
        <v>3</v>
      </c>
      <c r="G1912">
        <v>72.7</v>
      </c>
    </row>
    <row r="1913" spans="1:7">
      <c r="A1913">
        <v>160</v>
      </c>
      <c r="B1913" s="1">
        <v>46023</v>
      </c>
      <c r="C1913">
        <v>20</v>
      </c>
      <c r="D1913">
        <v>15</v>
      </c>
      <c r="E1913">
        <v>5</v>
      </c>
      <c r="F1913">
        <v>3</v>
      </c>
      <c r="G1913">
        <v>75</v>
      </c>
    </row>
    <row r="1914" spans="1:7">
      <c r="A1914">
        <v>160</v>
      </c>
      <c r="B1914" s="1">
        <v>46054</v>
      </c>
      <c r="C1914">
        <v>20</v>
      </c>
      <c r="D1914">
        <v>15</v>
      </c>
      <c r="E1914">
        <v>5</v>
      </c>
      <c r="F1914">
        <v>0</v>
      </c>
      <c r="G1914">
        <v>75</v>
      </c>
    </row>
    <row r="1915" spans="1:7">
      <c r="A1915">
        <v>160</v>
      </c>
      <c r="B1915" s="1">
        <v>46082</v>
      </c>
      <c r="C1915">
        <v>20</v>
      </c>
      <c r="D1915">
        <v>11</v>
      </c>
      <c r="E1915">
        <v>9</v>
      </c>
      <c r="F1915">
        <v>1</v>
      </c>
      <c r="G1915">
        <v>55</v>
      </c>
    </row>
    <row r="1916" spans="1:7">
      <c r="A1916">
        <v>160</v>
      </c>
      <c r="B1916" s="1">
        <v>46113</v>
      </c>
      <c r="C1916">
        <v>21</v>
      </c>
      <c r="D1916">
        <v>13</v>
      </c>
      <c r="E1916">
        <v>8</v>
      </c>
      <c r="F1916">
        <v>0</v>
      </c>
      <c r="G1916">
        <v>61.9</v>
      </c>
    </row>
    <row r="1917" spans="1:7">
      <c r="A1917">
        <v>160</v>
      </c>
      <c r="B1917" s="1">
        <v>46143</v>
      </c>
      <c r="C1917">
        <v>18</v>
      </c>
      <c r="D1917">
        <v>10</v>
      </c>
      <c r="E1917">
        <v>8</v>
      </c>
      <c r="F1917">
        <v>6</v>
      </c>
      <c r="G1917">
        <v>55.6</v>
      </c>
    </row>
    <row r="1918" spans="1:7">
      <c r="A1918">
        <v>160</v>
      </c>
      <c r="B1918" s="1">
        <v>46174</v>
      </c>
      <c r="C1918">
        <v>22</v>
      </c>
      <c r="D1918">
        <v>16</v>
      </c>
      <c r="E1918">
        <v>6</v>
      </c>
      <c r="F1918">
        <v>3</v>
      </c>
      <c r="G1918">
        <v>72.7</v>
      </c>
    </row>
    <row r="1919" spans="1:7">
      <c r="A1919">
        <v>160</v>
      </c>
      <c r="B1919" s="1">
        <v>46204</v>
      </c>
      <c r="C1919">
        <v>21</v>
      </c>
      <c r="D1919">
        <v>16</v>
      </c>
      <c r="E1919">
        <v>5</v>
      </c>
      <c r="F1919">
        <v>3</v>
      </c>
      <c r="G1919">
        <v>76.2</v>
      </c>
    </row>
    <row r="1920" spans="1:7">
      <c r="A1920">
        <v>160</v>
      </c>
      <c r="B1920" s="1">
        <v>46235</v>
      </c>
      <c r="C1920">
        <v>20</v>
      </c>
      <c r="D1920">
        <v>15</v>
      </c>
      <c r="E1920">
        <v>5</v>
      </c>
      <c r="F1920">
        <v>4</v>
      </c>
      <c r="G1920">
        <v>75</v>
      </c>
    </row>
    <row r="1921" spans="1:7">
      <c r="A1921">
        <v>160</v>
      </c>
      <c r="B1921" s="1">
        <v>46266</v>
      </c>
      <c r="C1921">
        <v>18</v>
      </c>
      <c r="D1921">
        <v>10</v>
      </c>
      <c r="E1921">
        <v>8</v>
      </c>
      <c r="F1921">
        <v>3</v>
      </c>
      <c r="G1921">
        <v>55.6</v>
      </c>
    </row>
    <row r="1922" spans="1:7">
      <c r="A1922">
        <v>161</v>
      </c>
      <c r="B1922" s="1">
        <v>45931</v>
      </c>
      <c r="C1922">
        <v>18</v>
      </c>
      <c r="D1922">
        <v>11</v>
      </c>
      <c r="E1922">
        <v>7</v>
      </c>
      <c r="F1922">
        <v>4</v>
      </c>
      <c r="G1922">
        <v>61.1</v>
      </c>
    </row>
    <row r="1923" spans="1:7">
      <c r="A1923">
        <v>161</v>
      </c>
      <c r="B1923" s="1">
        <v>45962</v>
      </c>
      <c r="C1923">
        <v>19</v>
      </c>
      <c r="D1923">
        <v>14</v>
      </c>
      <c r="E1923">
        <v>5</v>
      </c>
      <c r="F1923">
        <v>1</v>
      </c>
      <c r="G1923">
        <v>73.7</v>
      </c>
    </row>
    <row r="1924" spans="1:7">
      <c r="A1924">
        <v>161</v>
      </c>
      <c r="B1924" s="1">
        <v>45992</v>
      </c>
      <c r="C1924">
        <v>21</v>
      </c>
      <c r="D1924">
        <v>12</v>
      </c>
      <c r="E1924">
        <v>9</v>
      </c>
      <c r="F1924">
        <v>6</v>
      </c>
      <c r="G1924">
        <v>57.1</v>
      </c>
    </row>
    <row r="1925" spans="1:7">
      <c r="A1925">
        <v>161</v>
      </c>
      <c r="B1925" s="1">
        <v>46023</v>
      </c>
      <c r="C1925">
        <v>20</v>
      </c>
      <c r="D1925">
        <v>15</v>
      </c>
      <c r="E1925">
        <v>5</v>
      </c>
      <c r="F1925">
        <v>4</v>
      </c>
      <c r="G1925">
        <v>75</v>
      </c>
    </row>
    <row r="1926" spans="1:7">
      <c r="A1926">
        <v>161</v>
      </c>
      <c r="B1926" s="1">
        <v>46054</v>
      </c>
      <c r="C1926">
        <v>21</v>
      </c>
      <c r="D1926">
        <v>17</v>
      </c>
      <c r="E1926">
        <v>4</v>
      </c>
      <c r="F1926">
        <v>0</v>
      </c>
      <c r="G1926">
        <v>81</v>
      </c>
    </row>
    <row r="1927" spans="1:7">
      <c r="A1927">
        <v>161</v>
      </c>
      <c r="B1927" s="1">
        <v>46082</v>
      </c>
      <c r="C1927">
        <v>21</v>
      </c>
      <c r="D1927">
        <v>17</v>
      </c>
      <c r="E1927">
        <v>4</v>
      </c>
      <c r="F1927">
        <v>3</v>
      </c>
      <c r="G1927">
        <v>81</v>
      </c>
    </row>
    <row r="1928" spans="1:7">
      <c r="A1928">
        <v>161</v>
      </c>
      <c r="B1928" s="1">
        <v>46113</v>
      </c>
      <c r="C1928">
        <v>19</v>
      </c>
      <c r="D1928">
        <v>13</v>
      </c>
      <c r="E1928">
        <v>6</v>
      </c>
      <c r="F1928">
        <v>6</v>
      </c>
      <c r="G1928">
        <v>68.400000000000006</v>
      </c>
    </row>
    <row r="1929" spans="1:7">
      <c r="A1929">
        <v>161</v>
      </c>
      <c r="B1929" s="1">
        <v>46143</v>
      </c>
      <c r="C1929">
        <v>20</v>
      </c>
      <c r="D1929">
        <v>14</v>
      </c>
      <c r="E1929">
        <v>6</v>
      </c>
      <c r="F1929">
        <v>5</v>
      </c>
      <c r="G1929">
        <v>70</v>
      </c>
    </row>
    <row r="1930" spans="1:7">
      <c r="A1930">
        <v>161</v>
      </c>
      <c r="B1930" s="1">
        <v>46174</v>
      </c>
      <c r="C1930">
        <v>18</v>
      </c>
      <c r="D1930">
        <v>13</v>
      </c>
      <c r="E1930">
        <v>5</v>
      </c>
      <c r="F1930">
        <v>2</v>
      </c>
      <c r="G1930">
        <v>72.2</v>
      </c>
    </row>
    <row r="1931" spans="1:7">
      <c r="A1931">
        <v>161</v>
      </c>
      <c r="B1931" s="1">
        <v>46204</v>
      </c>
      <c r="C1931">
        <v>22</v>
      </c>
      <c r="D1931">
        <v>19</v>
      </c>
      <c r="E1931">
        <v>3</v>
      </c>
      <c r="F1931">
        <v>3</v>
      </c>
      <c r="G1931">
        <v>86.4</v>
      </c>
    </row>
    <row r="1932" spans="1:7">
      <c r="A1932">
        <v>161</v>
      </c>
      <c r="B1932" s="1">
        <v>46235</v>
      </c>
      <c r="C1932">
        <v>19</v>
      </c>
      <c r="D1932">
        <v>14</v>
      </c>
      <c r="E1932">
        <v>5</v>
      </c>
      <c r="F1932">
        <v>5</v>
      </c>
      <c r="G1932">
        <v>73.7</v>
      </c>
    </row>
    <row r="1933" spans="1:7">
      <c r="A1933">
        <v>161</v>
      </c>
      <c r="B1933" s="1">
        <v>46266</v>
      </c>
      <c r="C1933">
        <v>19</v>
      </c>
      <c r="D1933">
        <v>11</v>
      </c>
      <c r="E1933">
        <v>8</v>
      </c>
      <c r="F1933">
        <v>0</v>
      </c>
      <c r="G1933">
        <v>57.9</v>
      </c>
    </row>
    <row r="1934" spans="1:7">
      <c r="A1934">
        <v>162</v>
      </c>
      <c r="B1934" s="1">
        <v>45931</v>
      </c>
      <c r="C1934">
        <v>18</v>
      </c>
      <c r="D1934">
        <v>10</v>
      </c>
      <c r="E1934">
        <v>8</v>
      </c>
      <c r="F1934">
        <v>3</v>
      </c>
      <c r="G1934">
        <v>55.6</v>
      </c>
    </row>
    <row r="1935" spans="1:7">
      <c r="A1935">
        <v>162</v>
      </c>
      <c r="B1935" s="1">
        <v>45962</v>
      </c>
      <c r="C1935">
        <v>21</v>
      </c>
      <c r="D1935">
        <v>16</v>
      </c>
      <c r="E1935">
        <v>5</v>
      </c>
      <c r="F1935">
        <v>5</v>
      </c>
      <c r="G1935">
        <v>76.2</v>
      </c>
    </row>
    <row r="1936" spans="1:7">
      <c r="A1936">
        <v>162</v>
      </c>
      <c r="B1936" s="1">
        <v>45992</v>
      </c>
      <c r="C1936">
        <v>22</v>
      </c>
      <c r="D1936">
        <v>13</v>
      </c>
      <c r="E1936">
        <v>9</v>
      </c>
      <c r="F1936">
        <v>1</v>
      </c>
      <c r="G1936">
        <v>59.1</v>
      </c>
    </row>
    <row r="1937" spans="1:7">
      <c r="A1937">
        <v>162</v>
      </c>
      <c r="B1937" s="1">
        <v>46023</v>
      </c>
      <c r="C1937">
        <v>21</v>
      </c>
      <c r="D1937">
        <v>13</v>
      </c>
      <c r="E1937">
        <v>8</v>
      </c>
      <c r="F1937">
        <v>1</v>
      </c>
      <c r="G1937">
        <v>61.9</v>
      </c>
    </row>
    <row r="1938" spans="1:7">
      <c r="A1938">
        <v>162</v>
      </c>
      <c r="B1938" s="1">
        <v>46054</v>
      </c>
      <c r="C1938">
        <v>21</v>
      </c>
      <c r="D1938">
        <v>13</v>
      </c>
      <c r="E1938">
        <v>8</v>
      </c>
      <c r="F1938">
        <v>4</v>
      </c>
      <c r="G1938">
        <v>61.9</v>
      </c>
    </row>
    <row r="1939" spans="1:7">
      <c r="A1939">
        <v>162</v>
      </c>
      <c r="B1939" s="1">
        <v>46082</v>
      </c>
      <c r="C1939">
        <v>21</v>
      </c>
      <c r="D1939">
        <v>11</v>
      </c>
      <c r="E1939">
        <v>10</v>
      </c>
      <c r="F1939">
        <v>4</v>
      </c>
      <c r="G1939">
        <v>52.4</v>
      </c>
    </row>
    <row r="1940" spans="1:7">
      <c r="A1940">
        <v>162</v>
      </c>
      <c r="B1940" s="1">
        <v>46113</v>
      </c>
      <c r="C1940">
        <v>20</v>
      </c>
      <c r="D1940">
        <v>12</v>
      </c>
      <c r="E1940">
        <v>8</v>
      </c>
      <c r="F1940">
        <v>5</v>
      </c>
      <c r="G1940">
        <v>60</v>
      </c>
    </row>
    <row r="1941" spans="1:7">
      <c r="A1941">
        <v>162</v>
      </c>
      <c r="B1941" s="1">
        <v>46143</v>
      </c>
      <c r="C1941">
        <v>18</v>
      </c>
      <c r="D1941">
        <v>13</v>
      </c>
      <c r="E1941">
        <v>5</v>
      </c>
      <c r="F1941">
        <v>0</v>
      </c>
      <c r="G1941">
        <v>72.2</v>
      </c>
    </row>
    <row r="1942" spans="1:7">
      <c r="A1942">
        <v>162</v>
      </c>
      <c r="B1942" s="1">
        <v>46174</v>
      </c>
      <c r="C1942">
        <v>22</v>
      </c>
      <c r="D1942">
        <v>14</v>
      </c>
      <c r="E1942">
        <v>8</v>
      </c>
      <c r="F1942">
        <v>1</v>
      </c>
      <c r="G1942">
        <v>63.6</v>
      </c>
    </row>
    <row r="1943" spans="1:7">
      <c r="A1943">
        <v>162</v>
      </c>
      <c r="B1943" s="1">
        <v>46204</v>
      </c>
      <c r="C1943">
        <v>20</v>
      </c>
      <c r="D1943">
        <v>14</v>
      </c>
      <c r="E1943">
        <v>6</v>
      </c>
      <c r="F1943">
        <v>5</v>
      </c>
      <c r="G1943">
        <v>70</v>
      </c>
    </row>
    <row r="1944" spans="1:7">
      <c r="A1944">
        <v>162</v>
      </c>
      <c r="B1944" s="1">
        <v>46235</v>
      </c>
      <c r="C1944">
        <v>19</v>
      </c>
      <c r="D1944">
        <v>10</v>
      </c>
      <c r="E1944">
        <v>9</v>
      </c>
      <c r="F1944">
        <v>2</v>
      </c>
      <c r="G1944">
        <v>52.6</v>
      </c>
    </row>
    <row r="1945" spans="1:7">
      <c r="A1945">
        <v>162</v>
      </c>
      <c r="B1945" s="1">
        <v>46266</v>
      </c>
      <c r="C1945">
        <v>18</v>
      </c>
      <c r="D1945">
        <v>11</v>
      </c>
      <c r="E1945">
        <v>7</v>
      </c>
      <c r="F1945">
        <v>1</v>
      </c>
      <c r="G1945">
        <v>61.1</v>
      </c>
    </row>
    <row r="1946" spans="1:7">
      <c r="A1946">
        <v>163</v>
      </c>
      <c r="B1946" s="1">
        <v>45931</v>
      </c>
      <c r="C1946">
        <v>21</v>
      </c>
      <c r="D1946">
        <v>12</v>
      </c>
      <c r="E1946">
        <v>9</v>
      </c>
      <c r="F1946">
        <v>5</v>
      </c>
      <c r="G1946">
        <v>57.1</v>
      </c>
    </row>
    <row r="1947" spans="1:7">
      <c r="A1947">
        <v>163</v>
      </c>
      <c r="B1947" s="1">
        <v>45962</v>
      </c>
      <c r="C1947">
        <v>21</v>
      </c>
      <c r="D1947">
        <v>12</v>
      </c>
      <c r="E1947">
        <v>9</v>
      </c>
      <c r="F1947">
        <v>4</v>
      </c>
      <c r="G1947">
        <v>57.1</v>
      </c>
    </row>
    <row r="1948" spans="1:7">
      <c r="A1948">
        <v>163</v>
      </c>
      <c r="B1948" s="1">
        <v>45992</v>
      </c>
      <c r="C1948">
        <v>21</v>
      </c>
      <c r="D1948">
        <v>14</v>
      </c>
      <c r="E1948">
        <v>7</v>
      </c>
      <c r="F1948">
        <v>1</v>
      </c>
      <c r="G1948">
        <v>66.7</v>
      </c>
    </row>
    <row r="1949" spans="1:7">
      <c r="A1949">
        <v>163</v>
      </c>
      <c r="B1949" s="1">
        <v>46023</v>
      </c>
      <c r="C1949">
        <v>19</v>
      </c>
      <c r="D1949">
        <v>13</v>
      </c>
      <c r="E1949">
        <v>6</v>
      </c>
      <c r="F1949">
        <v>2</v>
      </c>
      <c r="G1949">
        <v>68.400000000000006</v>
      </c>
    </row>
    <row r="1950" spans="1:7">
      <c r="A1950">
        <v>163</v>
      </c>
      <c r="B1950" s="1">
        <v>46054</v>
      </c>
      <c r="C1950">
        <v>19</v>
      </c>
      <c r="D1950">
        <v>11</v>
      </c>
      <c r="E1950">
        <v>8</v>
      </c>
      <c r="F1950">
        <v>1</v>
      </c>
      <c r="G1950">
        <v>57.9</v>
      </c>
    </row>
    <row r="1951" spans="1:7">
      <c r="A1951">
        <v>163</v>
      </c>
      <c r="B1951" s="1">
        <v>46082</v>
      </c>
      <c r="C1951">
        <v>22</v>
      </c>
      <c r="D1951">
        <v>15</v>
      </c>
      <c r="E1951">
        <v>7</v>
      </c>
      <c r="F1951">
        <v>0</v>
      </c>
      <c r="G1951">
        <v>68.2</v>
      </c>
    </row>
    <row r="1952" spans="1:7">
      <c r="A1952">
        <v>163</v>
      </c>
      <c r="B1952" s="1">
        <v>46113</v>
      </c>
      <c r="C1952">
        <v>21</v>
      </c>
      <c r="D1952">
        <v>14</v>
      </c>
      <c r="E1952">
        <v>7</v>
      </c>
      <c r="F1952">
        <v>1</v>
      </c>
      <c r="G1952">
        <v>66.7</v>
      </c>
    </row>
    <row r="1953" spans="1:7">
      <c r="A1953">
        <v>163</v>
      </c>
      <c r="B1953" s="1">
        <v>46143</v>
      </c>
      <c r="C1953">
        <v>18</v>
      </c>
      <c r="D1953">
        <v>10</v>
      </c>
      <c r="E1953">
        <v>8</v>
      </c>
      <c r="F1953">
        <v>5</v>
      </c>
      <c r="G1953">
        <v>55.6</v>
      </c>
    </row>
    <row r="1954" spans="1:7">
      <c r="A1954">
        <v>163</v>
      </c>
      <c r="B1954" s="1">
        <v>46174</v>
      </c>
      <c r="C1954">
        <v>19</v>
      </c>
      <c r="D1954">
        <v>10</v>
      </c>
      <c r="E1954">
        <v>9</v>
      </c>
      <c r="F1954">
        <v>6</v>
      </c>
      <c r="G1954">
        <v>52.6</v>
      </c>
    </row>
    <row r="1955" spans="1:7">
      <c r="A1955">
        <v>163</v>
      </c>
      <c r="B1955" s="1">
        <v>46204</v>
      </c>
      <c r="C1955">
        <v>21</v>
      </c>
      <c r="D1955">
        <v>14</v>
      </c>
      <c r="E1955">
        <v>7</v>
      </c>
      <c r="F1955">
        <v>3</v>
      </c>
      <c r="G1955">
        <v>66.7</v>
      </c>
    </row>
    <row r="1956" spans="1:7">
      <c r="A1956">
        <v>163</v>
      </c>
      <c r="B1956" s="1">
        <v>46235</v>
      </c>
      <c r="C1956">
        <v>22</v>
      </c>
      <c r="D1956">
        <v>11</v>
      </c>
      <c r="E1956">
        <v>11</v>
      </c>
      <c r="F1956">
        <v>0</v>
      </c>
      <c r="G1956">
        <v>50</v>
      </c>
    </row>
    <row r="1957" spans="1:7">
      <c r="A1957">
        <v>163</v>
      </c>
      <c r="B1957" s="1">
        <v>46266</v>
      </c>
      <c r="C1957">
        <v>20</v>
      </c>
      <c r="D1957">
        <v>10</v>
      </c>
      <c r="E1957">
        <v>10</v>
      </c>
      <c r="F1957">
        <v>0</v>
      </c>
      <c r="G1957">
        <v>50</v>
      </c>
    </row>
    <row r="1958" spans="1:7">
      <c r="A1958">
        <v>164</v>
      </c>
      <c r="B1958" s="1">
        <v>45931</v>
      </c>
      <c r="C1958">
        <v>21</v>
      </c>
      <c r="D1958">
        <v>17</v>
      </c>
      <c r="E1958">
        <v>4</v>
      </c>
      <c r="F1958">
        <v>0</v>
      </c>
      <c r="G1958">
        <v>81</v>
      </c>
    </row>
    <row r="1959" spans="1:7">
      <c r="A1959">
        <v>164</v>
      </c>
      <c r="B1959" s="1">
        <v>45962</v>
      </c>
      <c r="C1959">
        <v>22</v>
      </c>
      <c r="D1959">
        <v>18</v>
      </c>
      <c r="E1959">
        <v>4</v>
      </c>
      <c r="F1959">
        <v>1</v>
      </c>
      <c r="G1959">
        <v>81.8</v>
      </c>
    </row>
    <row r="1960" spans="1:7">
      <c r="A1960">
        <v>164</v>
      </c>
      <c r="B1960" s="1">
        <v>45992</v>
      </c>
      <c r="C1960">
        <v>21</v>
      </c>
      <c r="D1960">
        <v>21</v>
      </c>
      <c r="E1960">
        <v>0</v>
      </c>
      <c r="F1960">
        <v>0</v>
      </c>
      <c r="G1960">
        <v>100</v>
      </c>
    </row>
    <row r="1961" spans="1:7">
      <c r="A1961">
        <v>164</v>
      </c>
      <c r="B1961" s="1">
        <v>46023</v>
      </c>
      <c r="C1961">
        <v>18</v>
      </c>
      <c r="D1961">
        <v>14</v>
      </c>
      <c r="E1961">
        <v>4</v>
      </c>
      <c r="F1961">
        <v>2</v>
      </c>
      <c r="G1961">
        <v>77.8</v>
      </c>
    </row>
    <row r="1962" spans="1:7">
      <c r="A1962">
        <v>164</v>
      </c>
      <c r="B1962" s="1">
        <v>46054</v>
      </c>
      <c r="C1962">
        <v>18</v>
      </c>
      <c r="D1962">
        <v>16</v>
      </c>
      <c r="E1962">
        <v>2</v>
      </c>
      <c r="F1962">
        <v>0</v>
      </c>
      <c r="G1962">
        <v>88.9</v>
      </c>
    </row>
    <row r="1963" spans="1:7">
      <c r="A1963">
        <v>164</v>
      </c>
      <c r="B1963" s="1">
        <v>46082</v>
      </c>
      <c r="C1963">
        <v>18</v>
      </c>
      <c r="D1963">
        <v>18</v>
      </c>
      <c r="E1963">
        <v>0</v>
      </c>
      <c r="F1963">
        <v>1</v>
      </c>
      <c r="G1963">
        <v>100</v>
      </c>
    </row>
    <row r="1964" spans="1:7">
      <c r="A1964">
        <v>164</v>
      </c>
      <c r="B1964" s="1">
        <v>46113</v>
      </c>
      <c r="C1964">
        <v>22</v>
      </c>
      <c r="D1964">
        <v>18</v>
      </c>
      <c r="E1964">
        <v>4</v>
      </c>
      <c r="F1964">
        <v>4</v>
      </c>
      <c r="G1964">
        <v>81.8</v>
      </c>
    </row>
    <row r="1965" spans="1:7">
      <c r="A1965">
        <v>164</v>
      </c>
      <c r="B1965" s="1">
        <v>46143</v>
      </c>
      <c r="C1965">
        <v>20</v>
      </c>
      <c r="D1965">
        <v>18</v>
      </c>
      <c r="E1965">
        <v>2</v>
      </c>
      <c r="F1965">
        <v>3</v>
      </c>
      <c r="G1965">
        <v>90</v>
      </c>
    </row>
    <row r="1966" spans="1:7">
      <c r="A1966">
        <v>164</v>
      </c>
      <c r="B1966" s="1">
        <v>46174</v>
      </c>
      <c r="C1966">
        <v>21</v>
      </c>
      <c r="D1966">
        <v>17</v>
      </c>
      <c r="E1966">
        <v>4</v>
      </c>
      <c r="F1966">
        <v>2</v>
      </c>
      <c r="G1966">
        <v>81</v>
      </c>
    </row>
    <row r="1967" spans="1:7">
      <c r="A1967">
        <v>164</v>
      </c>
      <c r="B1967" s="1">
        <v>46204</v>
      </c>
      <c r="C1967">
        <v>20</v>
      </c>
      <c r="D1967">
        <v>19</v>
      </c>
      <c r="E1967">
        <v>1</v>
      </c>
      <c r="F1967">
        <v>2</v>
      </c>
      <c r="G1967">
        <v>95</v>
      </c>
    </row>
    <row r="1968" spans="1:7">
      <c r="A1968">
        <v>164</v>
      </c>
      <c r="B1968" s="1">
        <v>46235</v>
      </c>
      <c r="C1968">
        <v>20</v>
      </c>
      <c r="D1968">
        <v>15</v>
      </c>
      <c r="E1968">
        <v>5</v>
      </c>
      <c r="F1968">
        <v>5</v>
      </c>
      <c r="G1968">
        <v>75</v>
      </c>
    </row>
    <row r="1969" spans="1:7">
      <c r="A1969">
        <v>164</v>
      </c>
      <c r="B1969" s="1">
        <v>46266</v>
      </c>
      <c r="C1969">
        <v>21</v>
      </c>
      <c r="D1969">
        <v>21</v>
      </c>
      <c r="E1969">
        <v>0</v>
      </c>
      <c r="F1969">
        <v>3</v>
      </c>
      <c r="G1969">
        <v>100</v>
      </c>
    </row>
    <row r="1970" spans="1:7">
      <c r="A1970">
        <v>165</v>
      </c>
      <c r="B1970" s="1">
        <v>45931</v>
      </c>
      <c r="C1970">
        <v>22</v>
      </c>
      <c r="D1970">
        <v>12</v>
      </c>
      <c r="E1970">
        <v>10</v>
      </c>
      <c r="F1970">
        <v>2</v>
      </c>
      <c r="G1970">
        <v>54.5</v>
      </c>
    </row>
    <row r="1971" spans="1:7">
      <c r="A1971">
        <v>165</v>
      </c>
      <c r="B1971" s="1">
        <v>45962</v>
      </c>
      <c r="C1971">
        <v>18</v>
      </c>
      <c r="D1971">
        <v>10</v>
      </c>
      <c r="E1971">
        <v>8</v>
      </c>
      <c r="F1971">
        <v>0</v>
      </c>
      <c r="G1971">
        <v>55.6</v>
      </c>
    </row>
    <row r="1972" spans="1:7">
      <c r="A1972">
        <v>165</v>
      </c>
      <c r="B1972" s="1">
        <v>45992</v>
      </c>
      <c r="C1972">
        <v>21</v>
      </c>
      <c r="D1972">
        <v>11</v>
      </c>
      <c r="E1972">
        <v>10</v>
      </c>
      <c r="F1972">
        <v>6</v>
      </c>
      <c r="G1972">
        <v>52.4</v>
      </c>
    </row>
    <row r="1973" spans="1:7">
      <c r="A1973">
        <v>165</v>
      </c>
      <c r="B1973" s="1">
        <v>46023</v>
      </c>
      <c r="C1973">
        <v>19</v>
      </c>
      <c r="D1973">
        <v>12</v>
      </c>
      <c r="E1973">
        <v>7</v>
      </c>
      <c r="F1973">
        <v>0</v>
      </c>
      <c r="G1973">
        <v>63.2</v>
      </c>
    </row>
    <row r="1974" spans="1:7">
      <c r="A1974">
        <v>165</v>
      </c>
      <c r="B1974" s="1">
        <v>46054</v>
      </c>
      <c r="C1974">
        <v>22</v>
      </c>
      <c r="D1974">
        <v>12</v>
      </c>
      <c r="E1974">
        <v>10</v>
      </c>
      <c r="F1974">
        <v>5</v>
      </c>
      <c r="G1974">
        <v>54.5</v>
      </c>
    </row>
    <row r="1975" spans="1:7">
      <c r="A1975">
        <v>165</v>
      </c>
      <c r="B1975" s="1">
        <v>46082</v>
      </c>
      <c r="C1975">
        <v>19</v>
      </c>
      <c r="D1975">
        <v>10</v>
      </c>
      <c r="E1975">
        <v>9</v>
      </c>
      <c r="F1975">
        <v>2</v>
      </c>
      <c r="G1975">
        <v>52.6</v>
      </c>
    </row>
    <row r="1976" spans="1:7">
      <c r="A1976">
        <v>165</v>
      </c>
      <c r="B1976" s="1">
        <v>46113</v>
      </c>
      <c r="C1976">
        <v>21</v>
      </c>
      <c r="D1976">
        <v>15</v>
      </c>
      <c r="E1976">
        <v>6</v>
      </c>
      <c r="F1976">
        <v>3</v>
      </c>
      <c r="G1976">
        <v>71.400000000000006</v>
      </c>
    </row>
    <row r="1977" spans="1:7">
      <c r="A1977">
        <v>165</v>
      </c>
      <c r="B1977" s="1">
        <v>46143</v>
      </c>
      <c r="C1977">
        <v>22</v>
      </c>
      <c r="D1977">
        <v>16</v>
      </c>
      <c r="E1977">
        <v>6</v>
      </c>
      <c r="F1977">
        <v>3</v>
      </c>
      <c r="G1977">
        <v>72.7</v>
      </c>
    </row>
    <row r="1978" spans="1:7">
      <c r="A1978">
        <v>165</v>
      </c>
      <c r="B1978" s="1">
        <v>46174</v>
      </c>
      <c r="C1978">
        <v>19</v>
      </c>
      <c r="D1978">
        <v>10</v>
      </c>
      <c r="E1978">
        <v>9</v>
      </c>
      <c r="F1978">
        <v>6</v>
      </c>
      <c r="G1978">
        <v>52.6</v>
      </c>
    </row>
    <row r="1979" spans="1:7">
      <c r="A1979">
        <v>165</v>
      </c>
      <c r="B1979" s="1">
        <v>46204</v>
      </c>
      <c r="C1979">
        <v>20</v>
      </c>
      <c r="D1979">
        <v>12</v>
      </c>
      <c r="E1979">
        <v>8</v>
      </c>
      <c r="F1979">
        <v>0</v>
      </c>
      <c r="G1979">
        <v>60</v>
      </c>
    </row>
    <row r="1980" spans="1:7">
      <c r="A1980">
        <v>165</v>
      </c>
      <c r="B1980" s="1">
        <v>46235</v>
      </c>
      <c r="C1980">
        <v>20</v>
      </c>
      <c r="D1980">
        <v>10</v>
      </c>
      <c r="E1980">
        <v>10</v>
      </c>
      <c r="F1980">
        <v>5</v>
      </c>
      <c r="G1980">
        <v>50</v>
      </c>
    </row>
    <row r="1981" spans="1:7">
      <c r="A1981">
        <v>165</v>
      </c>
      <c r="B1981" s="1">
        <v>46266</v>
      </c>
      <c r="C1981">
        <v>20</v>
      </c>
      <c r="D1981">
        <v>15</v>
      </c>
      <c r="E1981">
        <v>5</v>
      </c>
      <c r="F1981">
        <v>5</v>
      </c>
      <c r="G1981">
        <v>75</v>
      </c>
    </row>
    <row r="1982" spans="1:7">
      <c r="A1982">
        <v>166</v>
      </c>
      <c r="B1982" s="1">
        <v>45931</v>
      </c>
      <c r="C1982">
        <v>21</v>
      </c>
      <c r="D1982">
        <v>17</v>
      </c>
      <c r="E1982">
        <v>4</v>
      </c>
      <c r="F1982">
        <v>5</v>
      </c>
      <c r="G1982">
        <v>81</v>
      </c>
    </row>
    <row r="1983" spans="1:7">
      <c r="A1983">
        <v>166</v>
      </c>
      <c r="B1983" s="1">
        <v>45962</v>
      </c>
      <c r="C1983">
        <v>22</v>
      </c>
      <c r="D1983">
        <v>16</v>
      </c>
      <c r="E1983">
        <v>6</v>
      </c>
      <c r="F1983">
        <v>6</v>
      </c>
      <c r="G1983">
        <v>72.7</v>
      </c>
    </row>
    <row r="1984" spans="1:7">
      <c r="A1984">
        <v>166</v>
      </c>
      <c r="B1984" s="1">
        <v>45992</v>
      </c>
      <c r="C1984">
        <v>18</v>
      </c>
      <c r="D1984">
        <v>17</v>
      </c>
      <c r="E1984">
        <v>1</v>
      </c>
      <c r="F1984">
        <v>3</v>
      </c>
      <c r="G1984">
        <v>94.4</v>
      </c>
    </row>
    <row r="1985" spans="1:7">
      <c r="A1985">
        <v>166</v>
      </c>
      <c r="B1985" s="1">
        <v>46023</v>
      </c>
      <c r="C1985">
        <v>18</v>
      </c>
      <c r="D1985">
        <v>10</v>
      </c>
      <c r="E1985">
        <v>8</v>
      </c>
      <c r="F1985">
        <v>5</v>
      </c>
      <c r="G1985">
        <v>55.6</v>
      </c>
    </row>
    <row r="1986" spans="1:7">
      <c r="A1986">
        <v>166</v>
      </c>
      <c r="B1986" s="1">
        <v>46054</v>
      </c>
      <c r="C1986">
        <v>21</v>
      </c>
      <c r="D1986">
        <v>17</v>
      </c>
      <c r="E1986">
        <v>4</v>
      </c>
      <c r="F1986">
        <v>1</v>
      </c>
      <c r="G1986">
        <v>81</v>
      </c>
    </row>
    <row r="1987" spans="1:7">
      <c r="A1987">
        <v>166</v>
      </c>
      <c r="B1987" s="1">
        <v>46082</v>
      </c>
      <c r="C1987">
        <v>22</v>
      </c>
      <c r="D1987">
        <v>17</v>
      </c>
      <c r="E1987">
        <v>5</v>
      </c>
      <c r="F1987">
        <v>4</v>
      </c>
      <c r="G1987">
        <v>77.3</v>
      </c>
    </row>
    <row r="1988" spans="1:7">
      <c r="A1988">
        <v>166</v>
      </c>
      <c r="B1988" s="1">
        <v>46113</v>
      </c>
      <c r="C1988">
        <v>22</v>
      </c>
      <c r="D1988">
        <v>16</v>
      </c>
      <c r="E1988">
        <v>6</v>
      </c>
      <c r="F1988">
        <v>0</v>
      </c>
      <c r="G1988">
        <v>72.7</v>
      </c>
    </row>
    <row r="1989" spans="1:7">
      <c r="A1989">
        <v>166</v>
      </c>
      <c r="B1989" s="1">
        <v>46143</v>
      </c>
      <c r="C1989">
        <v>20</v>
      </c>
      <c r="D1989">
        <v>16</v>
      </c>
      <c r="E1989">
        <v>4</v>
      </c>
      <c r="F1989">
        <v>6</v>
      </c>
      <c r="G1989">
        <v>80</v>
      </c>
    </row>
    <row r="1990" spans="1:7">
      <c r="A1990">
        <v>166</v>
      </c>
      <c r="B1990" s="1">
        <v>46174</v>
      </c>
      <c r="C1990">
        <v>22</v>
      </c>
      <c r="D1990">
        <v>16</v>
      </c>
      <c r="E1990">
        <v>6</v>
      </c>
      <c r="F1990">
        <v>3</v>
      </c>
      <c r="G1990">
        <v>72.7</v>
      </c>
    </row>
    <row r="1991" spans="1:7">
      <c r="A1991">
        <v>166</v>
      </c>
      <c r="B1991" s="1">
        <v>46204</v>
      </c>
      <c r="C1991">
        <v>18</v>
      </c>
      <c r="D1991">
        <v>14</v>
      </c>
      <c r="E1991">
        <v>4</v>
      </c>
      <c r="F1991">
        <v>3</v>
      </c>
      <c r="G1991">
        <v>77.8</v>
      </c>
    </row>
    <row r="1992" spans="1:7">
      <c r="A1992">
        <v>166</v>
      </c>
      <c r="B1992" s="1">
        <v>46235</v>
      </c>
      <c r="C1992">
        <v>22</v>
      </c>
      <c r="D1992">
        <v>18</v>
      </c>
      <c r="E1992">
        <v>4</v>
      </c>
      <c r="F1992">
        <v>6</v>
      </c>
      <c r="G1992">
        <v>81.8</v>
      </c>
    </row>
    <row r="1993" spans="1:7">
      <c r="A1993">
        <v>166</v>
      </c>
      <c r="B1993" s="1">
        <v>46266</v>
      </c>
      <c r="C1993">
        <v>18</v>
      </c>
      <c r="D1993">
        <v>13</v>
      </c>
      <c r="E1993">
        <v>5</v>
      </c>
      <c r="F1993">
        <v>0</v>
      </c>
      <c r="G1993">
        <v>72.2</v>
      </c>
    </row>
    <row r="1994" spans="1:7">
      <c r="A1994">
        <v>167</v>
      </c>
      <c r="B1994" s="1">
        <v>45931</v>
      </c>
      <c r="C1994">
        <v>21</v>
      </c>
      <c r="D1994">
        <v>12</v>
      </c>
      <c r="E1994">
        <v>9</v>
      </c>
      <c r="F1994">
        <v>2</v>
      </c>
      <c r="G1994">
        <v>57.1</v>
      </c>
    </row>
    <row r="1995" spans="1:7">
      <c r="A1995">
        <v>167</v>
      </c>
      <c r="B1995" s="1">
        <v>45962</v>
      </c>
      <c r="C1995">
        <v>21</v>
      </c>
      <c r="D1995">
        <v>13</v>
      </c>
      <c r="E1995">
        <v>8</v>
      </c>
      <c r="F1995">
        <v>6</v>
      </c>
      <c r="G1995">
        <v>61.9</v>
      </c>
    </row>
    <row r="1996" spans="1:7">
      <c r="A1996">
        <v>167</v>
      </c>
      <c r="B1996" s="1">
        <v>45992</v>
      </c>
      <c r="C1996">
        <v>20</v>
      </c>
      <c r="D1996">
        <v>11</v>
      </c>
      <c r="E1996">
        <v>9</v>
      </c>
      <c r="F1996">
        <v>3</v>
      </c>
      <c r="G1996">
        <v>55</v>
      </c>
    </row>
    <row r="1997" spans="1:7">
      <c r="A1997">
        <v>167</v>
      </c>
      <c r="B1997" s="1">
        <v>46023</v>
      </c>
      <c r="C1997">
        <v>18</v>
      </c>
      <c r="D1997">
        <v>10</v>
      </c>
      <c r="E1997">
        <v>8</v>
      </c>
      <c r="F1997">
        <v>5</v>
      </c>
      <c r="G1997">
        <v>55.6</v>
      </c>
    </row>
    <row r="1998" spans="1:7">
      <c r="A1998">
        <v>167</v>
      </c>
      <c r="B1998" s="1">
        <v>46054</v>
      </c>
      <c r="C1998">
        <v>19</v>
      </c>
      <c r="D1998">
        <v>10</v>
      </c>
      <c r="E1998">
        <v>9</v>
      </c>
      <c r="F1998">
        <v>3</v>
      </c>
      <c r="G1998">
        <v>52.6</v>
      </c>
    </row>
    <row r="1999" spans="1:7">
      <c r="A1999">
        <v>167</v>
      </c>
      <c r="B1999" s="1">
        <v>46082</v>
      </c>
      <c r="C1999">
        <v>18</v>
      </c>
      <c r="D1999">
        <v>11</v>
      </c>
      <c r="E1999">
        <v>7</v>
      </c>
      <c r="F1999">
        <v>6</v>
      </c>
      <c r="G1999">
        <v>61.1</v>
      </c>
    </row>
    <row r="2000" spans="1:7">
      <c r="A2000">
        <v>167</v>
      </c>
      <c r="B2000" s="1">
        <v>46113</v>
      </c>
      <c r="C2000">
        <v>20</v>
      </c>
      <c r="D2000">
        <v>10</v>
      </c>
      <c r="E2000">
        <v>10</v>
      </c>
      <c r="F2000">
        <v>6</v>
      </c>
      <c r="G2000">
        <v>50</v>
      </c>
    </row>
    <row r="2001" spans="1:7">
      <c r="A2001">
        <v>167</v>
      </c>
      <c r="B2001" s="1">
        <v>46143</v>
      </c>
      <c r="C2001">
        <v>22</v>
      </c>
      <c r="D2001">
        <v>17</v>
      </c>
      <c r="E2001">
        <v>5</v>
      </c>
      <c r="F2001">
        <v>0</v>
      </c>
      <c r="G2001">
        <v>77.3</v>
      </c>
    </row>
    <row r="2002" spans="1:7">
      <c r="A2002">
        <v>167</v>
      </c>
      <c r="B2002" s="1">
        <v>46174</v>
      </c>
      <c r="C2002">
        <v>20</v>
      </c>
      <c r="D2002">
        <v>14</v>
      </c>
      <c r="E2002">
        <v>6</v>
      </c>
      <c r="F2002">
        <v>5</v>
      </c>
      <c r="G2002">
        <v>70</v>
      </c>
    </row>
    <row r="2003" spans="1:7">
      <c r="A2003">
        <v>167</v>
      </c>
      <c r="B2003" s="1">
        <v>46204</v>
      </c>
      <c r="C2003">
        <v>21</v>
      </c>
      <c r="D2003">
        <v>10</v>
      </c>
      <c r="E2003">
        <v>11</v>
      </c>
      <c r="F2003">
        <v>5</v>
      </c>
      <c r="G2003">
        <v>47.6</v>
      </c>
    </row>
    <row r="2004" spans="1:7">
      <c r="A2004">
        <v>167</v>
      </c>
      <c r="B2004" s="1">
        <v>46235</v>
      </c>
      <c r="C2004">
        <v>22</v>
      </c>
      <c r="D2004">
        <v>12</v>
      </c>
      <c r="E2004">
        <v>10</v>
      </c>
      <c r="F2004">
        <v>1</v>
      </c>
      <c r="G2004">
        <v>54.5</v>
      </c>
    </row>
    <row r="2005" spans="1:7">
      <c r="A2005">
        <v>167</v>
      </c>
      <c r="B2005" s="1">
        <v>46266</v>
      </c>
      <c r="C2005">
        <v>19</v>
      </c>
      <c r="D2005">
        <v>11</v>
      </c>
      <c r="E2005">
        <v>8</v>
      </c>
      <c r="F2005">
        <v>2</v>
      </c>
      <c r="G2005">
        <v>57.9</v>
      </c>
    </row>
    <row r="2006" spans="1:7">
      <c r="A2006">
        <v>168</v>
      </c>
      <c r="B2006" s="1">
        <v>45931</v>
      </c>
      <c r="C2006">
        <v>18</v>
      </c>
      <c r="D2006">
        <v>18</v>
      </c>
      <c r="E2006">
        <v>0</v>
      </c>
      <c r="F2006">
        <v>2</v>
      </c>
      <c r="G2006">
        <v>100</v>
      </c>
    </row>
    <row r="2007" spans="1:7">
      <c r="A2007">
        <v>168</v>
      </c>
      <c r="B2007" s="1">
        <v>45962</v>
      </c>
      <c r="C2007">
        <v>22</v>
      </c>
      <c r="D2007">
        <v>20</v>
      </c>
      <c r="E2007">
        <v>2</v>
      </c>
      <c r="F2007">
        <v>1</v>
      </c>
      <c r="G2007">
        <v>90.9</v>
      </c>
    </row>
    <row r="2008" spans="1:7">
      <c r="A2008">
        <v>168</v>
      </c>
      <c r="B2008" s="1">
        <v>45992</v>
      </c>
      <c r="C2008">
        <v>18</v>
      </c>
      <c r="D2008">
        <v>18</v>
      </c>
      <c r="E2008">
        <v>0</v>
      </c>
      <c r="F2008">
        <v>2</v>
      </c>
      <c r="G2008">
        <v>100</v>
      </c>
    </row>
    <row r="2009" spans="1:7">
      <c r="A2009">
        <v>168</v>
      </c>
      <c r="B2009" s="1">
        <v>46023</v>
      </c>
      <c r="C2009">
        <v>21</v>
      </c>
      <c r="D2009">
        <v>21</v>
      </c>
      <c r="E2009">
        <v>0</v>
      </c>
      <c r="F2009">
        <v>0</v>
      </c>
      <c r="G2009">
        <v>100</v>
      </c>
    </row>
    <row r="2010" spans="1:7">
      <c r="A2010">
        <v>168</v>
      </c>
      <c r="B2010" s="1">
        <v>46054</v>
      </c>
      <c r="C2010">
        <v>20</v>
      </c>
      <c r="D2010">
        <v>17</v>
      </c>
      <c r="E2010">
        <v>3</v>
      </c>
      <c r="F2010">
        <v>6</v>
      </c>
      <c r="G2010">
        <v>85</v>
      </c>
    </row>
    <row r="2011" spans="1:7">
      <c r="A2011">
        <v>168</v>
      </c>
      <c r="B2011" s="1">
        <v>46082</v>
      </c>
      <c r="C2011">
        <v>21</v>
      </c>
      <c r="D2011">
        <v>19</v>
      </c>
      <c r="E2011">
        <v>2</v>
      </c>
      <c r="F2011">
        <v>3</v>
      </c>
      <c r="G2011">
        <v>90.5</v>
      </c>
    </row>
    <row r="2012" spans="1:7">
      <c r="A2012">
        <v>168</v>
      </c>
      <c r="B2012" s="1">
        <v>46113</v>
      </c>
      <c r="C2012">
        <v>20</v>
      </c>
      <c r="D2012">
        <v>19</v>
      </c>
      <c r="E2012">
        <v>1</v>
      </c>
      <c r="F2012">
        <v>1</v>
      </c>
      <c r="G2012">
        <v>95</v>
      </c>
    </row>
    <row r="2013" spans="1:7">
      <c r="A2013">
        <v>168</v>
      </c>
      <c r="B2013" s="1">
        <v>46143</v>
      </c>
      <c r="C2013">
        <v>22</v>
      </c>
      <c r="D2013">
        <v>22</v>
      </c>
      <c r="E2013">
        <v>0</v>
      </c>
      <c r="F2013">
        <v>1</v>
      </c>
      <c r="G2013">
        <v>100</v>
      </c>
    </row>
    <row r="2014" spans="1:7">
      <c r="A2014">
        <v>168</v>
      </c>
      <c r="B2014" s="1">
        <v>46174</v>
      </c>
      <c r="C2014">
        <v>18</v>
      </c>
      <c r="D2014">
        <v>18</v>
      </c>
      <c r="E2014">
        <v>0</v>
      </c>
      <c r="F2014">
        <v>3</v>
      </c>
      <c r="G2014">
        <v>100</v>
      </c>
    </row>
    <row r="2015" spans="1:7">
      <c r="A2015">
        <v>168</v>
      </c>
      <c r="B2015" s="1">
        <v>46204</v>
      </c>
      <c r="C2015">
        <v>20</v>
      </c>
      <c r="D2015">
        <v>18</v>
      </c>
      <c r="E2015">
        <v>2</v>
      </c>
      <c r="F2015">
        <v>1</v>
      </c>
      <c r="G2015">
        <v>90</v>
      </c>
    </row>
    <row r="2016" spans="1:7">
      <c r="A2016">
        <v>168</v>
      </c>
      <c r="B2016" s="1">
        <v>46235</v>
      </c>
      <c r="C2016">
        <v>20</v>
      </c>
      <c r="D2016">
        <v>18</v>
      </c>
      <c r="E2016">
        <v>2</v>
      </c>
      <c r="F2016">
        <v>3</v>
      </c>
      <c r="G2016">
        <v>90</v>
      </c>
    </row>
    <row r="2017" spans="1:7">
      <c r="A2017">
        <v>168</v>
      </c>
      <c r="B2017" s="1">
        <v>46266</v>
      </c>
      <c r="C2017">
        <v>19</v>
      </c>
      <c r="D2017">
        <v>19</v>
      </c>
      <c r="E2017">
        <v>0</v>
      </c>
      <c r="F2017">
        <v>2</v>
      </c>
      <c r="G2017">
        <v>100</v>
      </c>
    </row>
    <row r="2018" spans="1:7">
      <c r="A2018">
        <v>169</v>
      </c>
      <c r="B2018" s="1">
        <v>45931</v>
      </c>
      <c r="C2018">
        <v>19</v>
      </c>
      <c r="D2018">
        <v>12</v>
      </c>
      <c r="E2018">
        <v>7</v>
      </c>
      <c r="F2018">
        <v>6</v>
      </c>
      <c r="G2018">
        <v>63.2</v>
      </c>
    </row>
    <row r="2019" spans="1:7">
      <c r="A2019">
        <v>169</v>
      </c>
      <c r="B2019" s="1">
        <v>45962</v>
      </c>
      <c r="C2019">
        <v>18</v>
      </c>
      <c r="D2019">
        <v>14</v>
      </c>
      <c r="E2019">
        <v>4</v>
      </c>
      <c r="F2019">
        <v>4</v>
      </c>
      <c r="G2019">
        <v>77.8</v>
      </c>
    </row>
    <row r="2020" spans="1:7">
      <c r="A2020">
        <v>169</v>
      </c>
      <c r="B2020" s="1">
        <v>45992</v>
      </c>
      <c r="C2020">
        <v>20</v>
      </c>
      <c r="D2020">
        <v>15</v>
      </c>
      <c r="E2020">
        <v>5</v>
      </c>
      <c r="F2020">
        <v>0</v>
      </c>
      <c r="G2020">
        <v>75</v>
      </c>
    </row>
    <row r="2021" spans="1:7">
      <c r="A2021">
        <v>169</v>
      </c>
      <c r="B2021" s="1">
        <v>46023</v>
      </c>
      <c r="C2021">
        <v>20</v>
      </c>
      <c r="D2021">
        <v>10</v>
      </c>
      <c r="E2021">
        <v>10</v>
      </c>
      <c r="F2021">
        <v>6</v>
      </c>
      <c r="G2021">
        <v>50</v>
      </c>
    </row>
    <row r="2022" spans="1:7">
      <c r="A2022">
        <v>169</v>
      </c>
      <c r="B2022" s="1">
        <v>46054</v>
      </c>
      <c r="C2022">
        <v>22</v>
      </c>
      <c r="D2022">
        <v>18</v>
      </c>
      <c r="E2022">
        <v>4</v>
      </c>
      <c r="F2022">
        <v>3</v>
      </c>
      <c r="G2022">
        <v>81.8</v>
      </c>
    </row>
    <row r="2023" spans="1:7">
      <c r="A2023">
        <v>169</v>
      </c>
      <c r="B2023" s="1">
        <v>46082</v>
      </c>
      <c r="C2023">
        <v>20</v>
      </c>
      <c r="D2023">
        <v>12</v>
      </c>
      <c r="E2023">
        <v>8</v>
      </c>
      <c r="F2023">
        <v>5</v>
      </c>
      <c r="G2023">
        <v>60</v>
      </c>
    </row>
    <row r="2024" spans="1:7">
      <c r="A2024">
        <v>169</v>
      </c>
      <c r="B2024" s="1">
        <v>46113</v>
      </c>
      <c r="C2024">
        <v>21</v>
      </c>
      <c r="D2024">
        <v>10</v>
      </c>
      <c r="E2024">
        <v>11</v>
      </c>
      <c r="F2024">
        <v>1</v>
      </c>
      <c r="G2024">
        <v>47.6</v>
      </c>
    </row>
    <row r="2025" spans="1:7">
      <c r="A2025">
        <v>169</v>
      </c>
      <c r="B2025" s="1">
        <v>46143</v>
      </c>
      <c r="C2025">
        <v>19</v>
      </c>
      <c r="D2025">
        <v>10</v>
      </c>
      <c r="E2025">
        <v>9</v>
      </c>
      <c r="F2025">
        <v>6</v>
      </c>
      <c r="G2025">
        <v>52.6</v>
      </c>
    </row>
    <row r="2026" spans="1:7">
      <c r="A2026">
        <v>169</v>
      </c>
      <c r="B2026" s="1">
        <v>46174</v>
      </c>
      <c r="C2026">
        <v>19</v>
      </c>
      <c r="D2026">
        <v>12</v>
      </c>
      <c r="E2026">
        <v>7</v>
      </c>
      <c r="F2026">
        <v>6</v>
      </c>
      <c r="G2026">
        <v>63.2</v>
      </c>
    </row>
    <row r="2027" spans="1:7">
      <c r="A2027">
        <v>169</v>
      </c>
      <c r="B2027" s="1">
        <v>46204</v>
      </c>
      <c r="C2027">
        <v>19</v>
      </c>
      <c r="D2027">
        <v>12</v>
      </c>
      <c r="E2027">
        <v>7</v>
      </c>
      <c r="F2027">
        <v>6</v>
      </c>
      <c r="G2027">
        <v>63.2</v>
      </c>
    </row>
    <row r="2028" spans="1:7">
      <c r="A2028">
        <v>169</v>
      </c>
      <c r="B2028" s="1">
        <v>46235</v>
      </c>
      <c r="C2028">
        <v>21</v>
      </c>
      <c r="D2028">
        <v>14</v>
      </c>
      <c r="E2028">
        <v>7</v>
      </c>
      <c r="F2028">
        <v>6</v>
      </c>
      <c r="G2028">
        <v>66.7</v>
      </c>
    </row>
    <row r="2029" spans="1:7">
      <c r="A2029">
        <v>169</v>
      </c>
      <c r="B2029" s="1">
        <v>46266</v>
      </c>
      <c r="C2029">
        <v>19</v>
      </c>
      <c r="D2029">
        <v>13</v>
      </c>
      <c r="E2029">
        <v>6</v>
      </c>
      <c r="F2029">
        <v>0</v>
      </c>
      <c r="G2029">
        <v>68.400000000000006</v>
      </c>
    </row>
    <row r="2030" spans="1:7">
      <c r="A2030">
        <v>170</v>
      </c>
      <c r="B2030" s="1">
        <v>45931</v>
      </c>
      <c r="C2030">
        <v>22</v>
      </c>
      <c r="D2030">
        <v>19</v>
      </c>
      <c r="E2030">
        <v>3</v>
      </c>
      <c r="F2030">
        <v>3</v>
      </c>
      <c r="G2030">
        <v>86.4</v>
      </c>
    </row>
    <row r="2031" spans="1:7">
      <c r="A2031">
        <v>170</v>
      </c>
      <c r="B2031" s="1">
        <v>45962</v>
      </c>
      <c r="C2031">
        <v>20</v>
      </c>
      <c r="D2031">
        <v>14</v>
      </c>
      <c r="E2031">
        <v>6</v>
      </c>
      <c r="F2031">
        <v>6</v>
      </c>
      <c r="G2031">
        <v>70</v>
      </c>
    </row>
    <row r="2032" spans="1:7">
      <c r="A2032">
        <v>170</v>
      </c>
      <c r="B2032" s="1">
        <v>45992</v>
      </c>
      <c r="C2032">
        <v>21</v>
      </c>
      <c r="D2032">
        <v>18</v>
      </c>
      <c r="E2032">
        <v>3</v>
      </c>
      <c r="F2032">
        <v>2</v>
      </c>
      <c r="G2032">
        <v>85.7</v>
      </c>
    </row>
    <row r="2033" spans="1:7">
      <c r="A2033">
        <v>170</v>
      </c>
      <c r="B2033" s="1">
        <v>46023</v>
      </c>
      <c r="C2033">
        <v>20</v>
      </c>
      <c r="D2033">
        <v>14</v>
      </c>
      <c r="E2033">
        <v>6</v>
      </c>
      <c r="F2033">
        <v>5</v>
      </c>
      <c r="G2033">
        <v>70</v>
      </c>
    </row>
    <row r="2034" spans="1:7">
      <c r="A2034">
        <v>170</v>
      </c>
      <c r="B2034" s="1">
        <v>46054</v>
      </c>
      <c r="C2034">
        <v>19</v>
      </c>
      <c r="D2034">
        <v>15</v>
      </c>
      <c r="E2034">
        <v>4</v>
      </c>
      <c r="F2034">
        <v>0</v>
      </c>
      <c r="G2034">
        <v>78.900000000000006</v>
      </c>
    </row>
    <row r="2035" spans="1:7">
      <c r="A2035">
        <v>170</v>
      </c>
      <c r="B2035" s="1">
        <v>46082</v>
      </c>
      <c r="C2035">
        <v>19</v>
      </c>
      <c r="D2035">
        <v>17</v>
      </c>
      <c r="E2035">
        <v>2</v>
      </c>
      <c r="F2035">
        <v>2</v>
      </c>
      <c r="G2035">
        <v>89.5</v>
      </c>
    </row>
    <row r="2036" spans="1:7">
      <c r="A2036">
        <v>170</v>
      </c>
      <c r="B2036" s="1">
        <v>46113</v>
      </c>
      <c r="C2036">
        <v>22</v>
      </c>
      <c r="D2036">
        <v>17</v>
      </c>
      <c r="E2036">
        <v>5</v>
      </c>
      <c r="F2036">
        <v>5</v>
      </c>
      <c r="G2036">
        <v>77.3</v>
      </c>
    </row>
    <row r="2037" spans="1:7">
      <c r="A2037">
        <v>170</v>
      </c>
      <c r="B2037" s="1">
        <v>46143</v>
      </c>
      <c r="C2037">
        <v>20</v>
      </c>
      <c r="D2037">
        <v>16</v>
      </c>
      <c r="E2037">
        <v>4</v>
      </c>
      <c r="F2037">
        <v>3</v>
      </c>
      <c r="G2037">
        <v>80</v>
      </c>
    </row>
    <row r="2038" spans="1:7">
      <c r="A2038">
        <v>170</v>
      </c>
      <c r="B2038" s="1">
        <v>46174</v>
      </c>
      <c r="C2038">
        <v>19</v>
      </c>
      <c r="D2038">
        <v>16</v>
      </c>
      <c r="E2038">
        <v>3</v>
      </c>
      <c r="F2038">
        <v>3</v>
      </c>
      <c r="G2038">
        <v>84.2</v>
      </c>
    </row>
    <row r="2039" spans="1:7">
      <c r="A2039">
        <v>170</v>
      </c>
      <c r="B2039" s="1">
        <v>46204</v>
      </c>
      <c r="C2039">
        <v>20</v>
      </c>
      <c r="D2039">
        <v>16</v>
      </c>
      <c r="E2039">
        <v>4</v>
      </c>
      <c r="F2039">
        <v>1</v>
      </c>
      <c r="G2039">
        <v>80</v>
      </c>
    </row>
    <row r="2040" spans="1:7">
      <c r="A2040">
        <v>170</v>
      </c>
      <c r="B2040" s="1">
        <v>46235</v>
      </c>
      <c r="C2040">
        <v>19</v>
      </c>
      <c r="D2040">
        <v>14</v>
      </c>
      <c r="E2040">
        <v>5</v>
      </c>
      <c r="F2040">
        <v>5</v>
      </c>
      <c r="G2040">
        <v>73.7</v>
      </c>
    </row>
    <row r="2041" spans="1:7">
      <c r="A2041">
        <v>170</v>
      </c>
      <c r="B2041" s="1">
        <v>46266</v>
      </c>
      <c r="C2041">
        <v>18</v>
      </c>
      <c r="D2041">
        <v>10</v>
      </c>
      <c r="E2041">
        <v>8</v>
      </c>
      <c r="F2041">
        <v>2</v>
      </c>
      <c r="G2041">
        <v>55.6</v>
      </c>
    </row>
    <row r="2042" spans="1:7">
      <c r="A2042">
        <v>171</v>
      </c>
      <c r="B2042" s="1">
        <v>45931</v>
      </c>
      <c r="C2042">
        <v>22</v>
      </c>
      <c r="D2042">
        <v>14</v>
      </c>
      <c r="E2042">
        <v>8</v>
      </c>
      <c r="F2042">
        <v>6</v>
      </c>
      <c r="G2042">
        <v>63.6</v>
      </c>
    </row>
    <row r="2043" spans="1:7">
      <c r="A2043">
        <v>171</v>
      </c>
      <c r="B2043" s="1">
        <v>45962</v>
      </c>
      <c r="C2043">
        <v>19</v>
      </c>
      <c r="D2043">
        <v>12</v>
      </c>
      <c r="E2043">
        <v>7</v>
      </c>
      <c r="F2043">
        <v>3</v>
      </c>
      <c r="G2043">
        <v>63.2</v>
      </c>
    </row>
    <row r="2044" spans="1:7">
      <c r="A2044">
        <v>171</v>
      </c>
      <c r="B2044" s="1">
        <v>45992</v>
      </c>
      <c r="C2044">
        <v>21</v>
      </c>
      <c r="D2044">
        <v>16</v>
      </c>
      <c r="E2044">
        <v>5</v>
      </c>
      <c r="F2044">
        <v>0</v>
      </c>
      <c r="G2044">
        <v>76.2</v>
      </c>
    </row>
    <row r="2045" spans="1:7">
      <c r="A2045">
        <v>171</v>
      </c>
      <c r="B2045" s="1">
        <v>46023</v>
      </c>
      <c r="C2045">
        <v>18</v>
      </c>
      <c r="D2045">
        <v>14</v>
      </c>
      <c r="E2045">
        <v>4</v>
      </c>
      <c r="F2045">
        <v>2</v>
      </c>
      <c r="G2045">
        <v>77.8</v>
      </c>
    </row>
    <row r="2046" spans="1:7">
      <c r="A2046">
        <v>171</v>
      </c>
      <c r="B2046" s="1">
        <v>46054</v>
      </c>
      <c r="C2046">
        <v>21</v>
      </c>
      <c r="D2046">
        <v>16</v>
      </c>
      <c r="E2046">
        <v>5</v>
      </c>
      <c r="F2046">
        <v>4</v>
      </c>
      <c r="G2046">
        <v>76.2</v>
      </c>
    </row>
    <row r="2047" spans="1:7">
      <c r="A2047">
        <v>171</v>
      </c>
      <c r="B2047" s="1">
        <v>46082</v>
      </c>
      <c r="C2047">
        <v>20</v>
      </c>
      <c r="D2047">
        <v>14</v>
      </c>
      <c r="E2047">
        <v>6</v>
      </c>
      <c r="F2047">
        <v>4</v>
      </c>
      <c r="G2047">
        <v>70</v>
      </c>
    </row>
    <row r="2048" spans="1:7">
      <c r="A2048">
        <v>171</v>
      </c>
      <c r="B2048" s="1">
        <v>46113</v>
      </c>
      <c r="C2048">
        <v>21</v>
      </c>
      <c r="D2048">
        <v>13</v>
      </c>
      <c r="E2048">
        <v>8</v>
      </c>
      <c r="F2048">
        <v>3</v>
      </c>
      <c r="G2048">
        <v>61.9</v>
      </c>
    </row>
    <row r="2049" spans="1:7">
      <c r="A2049">
        <v>171</v>
      </c>
      <c r="B2049" s="1">
        <v>46143</v>
      </c>
      <c r="C2049">
        <v>19</v>
      </c>
      <c r="D2049">
        <v>14</v>
      </c>
      <c r="E2049">
        <v>5</v>
      </c>
      <c r="F2049">
        <v>0</v>
      </c>
      <c r="G2049">
        <v>73.7</v>
      </c>
    </row>
    <row r="2050" spans="1:7">
      <c r="A2050">
        <v>171</v>
      </c>
      <c r="B2050" s="1">
        <v>46174</v>
      </c>
      <c r="C2050">
        <v>18</v>
      </c>
      <c r="D2050">
        <v>13</v>
      </c>
      <c r="E2050">
        <v>5</v>
      </c>
      <c r="F2050">
        <v>5</v>
      </c>
      <c r="G2050">
        <v>72.2</v>
      </c>
    </row>
    <row r="2051" spans="1:7">
      <c r="A2051">
        <v>171</v>
      </c>
      <c r="B2051" s="1">
        <v>46204</v>
      </c>
      <c r="C2051">
        <v>22</v>
      </c>
      <c r="D2051">
        <v>15</v>
      </c>
      <c r="E2051">
        <v>7</v>
      </c>
      <c r="F2051">
        <v>1</v>
      </c>
      <c r="G2051">
        <v>68.2</v>
      </c>
    </row>
    <row r="2052" spans="1:7">
      <c r="A2052">
        <v>171</v>
      </c>
      <c r="B2052" s="1">
        <v>46235</v>
      </c>
      <c r="C2052">
        <v>21</v>
      </c>
      <c r="D2052">
        <v>15</v>
      </c>
      <c r="E2052">
        <v>6</v>
      </c>
      <c r="F2052">
        <v>5</v>
      </c>
      <c r="G2052">
        <v>71.400000000000006</v>
      </c>
    </row>
    <row r="2053" spans="1:7">
      <c r="A2053">
        <v>171</v>
      </c>
      <c r="B2053" s="1">
        <v>46266</v>
      </c>
      <c r="C2053">
        <v>18</v>
      </c>
      <c r="D2053">
        <v>18</v>
      </c>
      <c r="E2053">
        <v>0</v>
      </c>
      <c r="F2053">
        <v>3</v>
      </c>
      <c r="G2053">
        <v>100</v>
      </c>
    </row>
    <row r="2054" spans="1:7">
      <c r="A2054">
        <v>172</v>
      </c>
      <c r="B2054" s="1">
        <v>45931</v>
      </c>
      <c r="C2054">
        <v>21</v>
      </c>
      <c r="D2054">
        <v>19</v>
      </c>
      <c r="E2054">
        <v>2</v>
      </c>
      <c r="F2054">
        <v>2</v>
      </c>
      <c r="G2054">
        <v>90.5</v>
      </c>
    </row>
    <row r="2055" spans="1:7">
      <c r="A2055">
        <v>172</v>
      </c>
      <c r="B2055" s="1">
        <v>45962</v>
      </c>
      <c r="C2055">
        <v>18</v>
      </c>
      <c r="D2055">
        <v>12</v>
      </c>
      <c r="E2055">
        <v>6</v>
      </c>
      <c r="F2055">
        <v>0</v>
      </c>
      <c r="G2055">
        <v>66.7</v>
      </c>
    </row>
    <row r="2056" spans="1:7">
      <c r="A2056">
        <v>172</v>
      </c>
      <c r="B2056" s="1">
        <v>45992</v>
      </c>
      <c r="C2056">
        <v>18</v>
      </c>
      <c r="D2056">
        <v>13</v>
      </c>
      <c r="E2056">
        <v>5</v>
      </c>
      <c r="F2056">
        <v>5</v>
      </c>
      <c r="G2056">
        <v>72.2</v>
      </c>
    </row>
    <row r="2057" spans="1:7">
      <c r="A2057">
        <v>172</v>
      </c>
      <c r="B2057" s="1">
        <v>46023</v>
      </c>
      <c r="C2057">
        <v>22</v>
      </c>
      <c r="D2057">
        <v>18</v>
      </c>
      <c r="E2057">
        <v>4</v>
      </c>
      <c r="F2057">
        <v>1</v>
      </c>
      <c r="G2057">
        <v>81.8</v>
      </c>
    </row>
    <row r="2058" spans="1:7">
      <c r="A2058">
        <v>172</v>
      </c>
      <c r="B2058" s="1">
        <v>46054</v>
      </c>
      <c r="C2058">
        <v>18</v>
      </c>
      <c r="D2058">
        <v>18</v>
      </c>
      <c r="E2058">
        <v>0</v>
      </c>
      <c r="F2058">
        <v>3</v>
      </c>
      <c r="G2058">
        <v>100</v>
      </c>
    </row>
    <row r="2059" spans="1:7">
      <c r="A2059">
        <v>172</v>
      </c>
      <c r="B2059" s="1">
        <v>46082</v>
      </c>
      <c r="C2059">
        <v>20</v>
      </c>
      <c r="D2059">
        <v>20</v>
      </c>
      <c r="E2059">
        <v>0</v>
      </c>
      <c r="F2059">
        <v>0</v>
      </c>
      <c r="G2059">
        <v>100</v>
      </c>
    </row>
    <row r="2060" spans="1:7">
      <c r="A2060">
        <v>172</v>
      </c>
      <c r="B2060" s="1">
        <v>46113</v>
      </c>
      <c r="C2060">
        <v>22</v>
      </c>
      <c r="D2060">
        <v>18</v>
      </c>
      <c r="E2060">
        <v>4</v>
      </c>
      <c r="F2060">
        <v>5</v>
      </c>
      <c r="G2060">
        <v>81.8</v>
      </c>
    </row>
    <row r="2061" spans="1:7">
      <c r="A2061">
        <v>172</v>
      </c>
      <c r="B2061" s="1">
        <v>46143</v>
      </c>
      <c r="C2061">
        <v>21</v>
      </c>
      <c r="D2061">
        <v>16</v>
      </c>
      <c r="E2061">
        <v>5</v>
      </c>
      <c r="F2061">
        <v>2</v>
      </c>
      <c r="G2061">
        <v>76.2</v>
      </c>
    </row>
    <row r="2062" spans="1:7">
      <c r="A2062">
        <v>172</v>
      </c>
      <c r="B2062" s="1">
        <v>46174</v>
      </c>
      <c r="C2062">
        <v>22</v>
      </c>
      <c r="D2062">
        <v>18</v>
      </c>
      <c r="E2062">
        <v>4</v>
      </c>
      <c r="F2062">
        <v>5</v>
      </c>
      <c r="G2062">
        <v>81.8</v>
      </c>
    </row>
    <row r="2063" spans="1:7">
      <c r="A2063">
        <v>172</v>
      </c>
      <c r="B2063" s="1">
        <v>46204</v>
      </c>
      <c r="C2063">
        <v>22</v>
      </c>
      <c r="D2063">
        <v>18</v>
      </c>
      <c r="E2063">
        <v>4</v>
      </c>
      <c r="F2063">
        <v>1</v>
      </c>
      <c r="G2063">
        <v>81.8</v>
      </c>
    </row>
    <row r="2064" spans="1:7">
      <c r="A2064">
        <v>172</v>
      </c>
      <c r="B2064" s="1">
        <v>46235</v>
      </c>
      <c r="C2064">
        <v>21</v>
      </c>
      <c r="D2064">
        <v>18</v>
      </c>
      <c r="E2064">
        <v>3</v>
      </c>
      <c r="F2064">
        <v>4</v>
      </c>
      <c r="G2064">
        <v>85.7</v>
      </c>
    </row>
    <row r="2065" spans="1:7">
      <c r="A2065">
        <v>172</v>
      </c>
      <c r="B2065" s="1">
        <v>46266</v>
      </c>
      <c r="C2065">
        <v>22</v>
      </c>
      <c r="D2065">
        <v>20</v>
      </c>
      <c r="E2065">
        <v>2</v>
      </c>
      <c r="F2065">
        <v>4</v>
      </c>
      <c r="G2065">
        <v>90.9</v>
      </c>
    </row>
    <row r="2066" spans="1:7">
      <c r="A2066">
        <v>173</v>
      </c>
      <c r="B2066" s="1">
        <v>45931</v>
      </c>
      <c r="C2066">
        <v>21</v>
      </c>
      <c r="D2066">
        <v>14</v>
      </c>
      <c r="E2066">
        <v>7</v>
      </c>
      <c r="F2066">
        <v>4</v>
      </c>
      <c r="G2066">
        <v>66.7</v>
      </c>
    </row>
    <row r="2067" spans="1:7">
      <c r="A2067">
        <v>173</v>
      </c>
      <c r="B2067" s="1">
        <v>45962</v>
      </c>
      <c r="C2067">
        <v>18</v>
      </c>
      <c r="D2067">
        <v>13</v>
      </c>
      <c r="E2067">
        <v>5</v>
      </c>
      <c r="F2067">
        <v>6</v>
      </c>
      <c r="G2067">
        <v>72.2</v>
      </c>
    </row>
    <row r="2068" spans="1:7">
      <c r="A2068">
        <v>173</v>
      </c>
      <c r="B2068" s="1">
        <v>45992</v>
      </c>
      <c r="C2068">
        <v>19</v>
      </c>
      <c r="D2068">
        <v>11</v>
      </c>
      <c r="E2068">
        <v>8</v>
      </c>
      <c r="F2068">
        <v>1</v>
      </c>
      <c r="G2068">
        <v>57.9</v>
      </c>
    </row>
    <row r="2069" spans="1:7">
      <c r="A2069">
        <v>173</v>
      </c>
      <c r="B2069" s="1">
        <v>46023</v>
      </c>
      <c r="C2069">
        <v>22</v>
      </c>
      <c r="D2069">
        <v>19</v>
      </c>
      <c r="E2069">
        <v>3</v>
      </c>
      <c r="F2069">
        <v>5</v>
      </c>
      <c r="G2069">
        <v>86.4</v>
      </c>
    </row>
    <row r="2070" spans="1:7">
      <c r="A2070">
        <v>173</v>
      </c>
      <c r="B2070" s="1">
        <v>46054</v>
      </c>
      <c r="C2070">
        <v>19</v>
      </c>
      <c r="D2070">
        <v>13</v>
      </c>
      <c r="E2070">
        <v>6</v>
      </c>
      <c r="F2070">
        <v>2</v>
      </c>
      <c r="G2070">
        <v>68.400000000000006</v>
      </c>
    </row>
    <row r="2071" spans="1:7">
      <c r="A2071">
        <v>173</v>
      </c>
      <c r="B2071" s="1">
        <v>46082</v>
      </c>
      <c r="C2071">
        <v>18</v>
      </c>
      <c r="D2071">
        <v>14</v>
      </c>
      <c r="E2071">
        <v>4</v>
      </c>
      <c r="F2071">
        <v>0</v>
      </c>
      <c r="G2071">
        <v>77.8</v>
      </c>
    </row>
    <row r="2072" spans="1:7">
      <c r="A2072">
        <v>173</v>
      </c>
      <c r="B2072" s="1">
        <v>46113</v>
      </c>
      <c r="C2072">
        <v>19</v>
      </c>
      <c r="D2072">
        <v>18</v>
      </c>
      <c r="E2072">
        <v>1</v>
      </c>
      <c r="F2072">
        <v>0</v>
      </c>
      <c r="G2072">
        <v>94.7</v>
      </c>
    </row>
    <row r="2073" spans="1:7">
      <c r="A2073">
        <v>173</v>
      </c>
      <c r="B2073" s="1">
        <v>46143</v>
      </c>
      <c r="C2073">
        <v>22</v>
      </c>
      <c r="D2073">
        <v>20</v>
      </c>
      <c r="E2073">
        <v>2</v>
      </c>
      <c r="F2073">
        <v>2</v>
      </c>
      <c r="G2073">
        <v>90.9</v>
      </c>
    </row>
    <row r="2074" spans="1:7">
      <c r="A2074">
        <v>173</v>
      </c>
      <c r="B2074" s="1">
        <v>46174</v>
      </c>
      <c r="C2074">
        <v>18</v>
      </c>
      <c r="D2074">
        <v>14</v>
      </c>
      <c r="E2074">
        <v>4</v>
      </c>
      <c r="F2074">
        <v>2</v>
      </c>
      <c r="G2074">
        <v>77.8</v>
      </c>
    </row>
    <row r="2075" spans="1:7">
      <c r="A2075">
        <v>173</v>
      </c>
      <c r="B2075" s="1">
        <v>46204</v>
      </c>
      <c r="C2075">
        <v>20</v>
      </c>
      <c r="D2075">
        <v>16</v>
      </c>
      <c r="E2075">
        <v>4</v>
      </c>
      <c r="F2075">
        <v>4</v>
      </c>
      <c r="G2075">
        <v>80</v>
      </c>
    </row>
    <row r="2076" spans="1:7">
      <c r="A2076">
        <v>173</v>
      </c>
      <c r="B2076" s="1">
        <v>46235</v>
      </c>
      <c r="C2076">
        <v>19</v>
      </c>
      <c r="D2076">
        <v>19</v>
      </c>
      <c r="E2076">
        <v>0</v>
      </c>
      <c r="F2076">
        <v>0</v>
      </c>
      <c r="G2076">
        <v>100</v>
      </c>
    </row>
    <row r="2077" spans="1:7">
      <c r="A2077">
        <v>173</v>
      </c>
      <c r="B2077" s="1">
        <v>46266</v>
      </c>
      <c r="C2077">
        <v>19</v>
      </c>
      <c r="D2077">
        <v>13</v>
      </c>
      <c r="E2077">
        <v>6</v>
      </c>
      <c r="F2077">
        <v>2</v>
      </c>
      <c r="G2077">
        <v>68.400000000000006</v>
      </c>
    </row>
    <row r="2078" spans="1:7">
      <c r="A2078">
        <v>174</v>
      </c>
      <c r="B2078" s="1">
        <v>45931</v>
      </c>
      <c r="C2078">
        <v>18</v>
      </c>
      <c r="D2078">
        <v>13</v>
      </c>
      <c r="E2078">
        <v>5</v>
      </c>
      <c r="F2078">
        <v>6</v>
      </c>
      <c r="G2078">
        <v>72.2</v>
      </c>
    </row>
    <row r="2079" spans="1:7">
      <c r="A2079">
        <v>174</v>
      </c>
      <c r="B2079" s="1">
        <v>45962</v>
      </c>
      <c r="C2079">
        <v>20</v>
      </c>
      <c r="D2079">
        <v>19</v>
      </c>
      <c r="E2079">
        <v>1</v>
      </c>
      <c r="F2079">
        <v>4</v>
      </c>
      <c r="G2079">
        <v>95</v>
      </c>
    </row>
    <row r="2080" spans="1:7">
      <c r="A2080">
        <v>174</v>
      </c>
      <c r="B2080" s="1">
        <v>45992</v>
      </c>
      <c r="C2080">
        <v>21</v>
      </c>
      <c r="D2080">
        <v>17</v>
      </c>
      <c r="E2080">
        <v>4</v>
      </c>
      <c r="F2080">
        <v>2</v>
      </c>
      <c r="G2080">
        <v>81</v>
      </c>
    </row>
    <row r="2081" spans="1:7">
      <c r="A2081">
        <v>174</v>
      </c>
      <c r="B2081" s="1">
        <v>46023</v>
      </c>
      <c r="C2081">
        <v>22</v>
      </c>
      <c r="D2081">
        <v>18</v>
      </c>
      <c r="E2081">
        <v>4</v>
      </c>
      <c r="F2081">
        <v>2</v>
      </c>
      <c r="G2081">
        <v>81.8</v>
      </c>
    </row>
    <row r="2082" spans="1:7">
      <c r="A2082">
        <v>174</v>
      </c>
      <c r="B2082" s="1">
        <v>46054</v>
      </c>
      <c r="C2082">
        <v>22</v>
      </c>
      <c r="D2082">
        <v>21</v>
      </c>
      <c r="E2082">
        <v>1</v>
      </c>
      <c r="F2082">
        <v>0</v>
      </c>
      <c r="G2082">
        <v>95.5</v>
      </c>
    </row>
    <row r="2083" spans="1:7">
      <c r="A2083">
        <v>174</v>
      </c>
      <c r="B2083" s="1">
        <v>46082</v>
      </c>
      <c r="C2083">
        <v>18</v>
      </c>
      <c r="D2083">
        <v>16</v>
      </c>
      <c r="E2083">
        <v>2</v>
      </c>
      <c r="F2083">
        <v>1</v>
      </c>
      <c r="G2083">
        <v>88.9</v>
      </c>
    </row>
    <row r="2084" spans="1:7">
      <c r="A2084">
        <v>174</v>
      </c>
      <c r="B2084" s="1">
        <v>46113</v>
      </c>
      <c r="C2084">
        <v>18</v>
      </c>
      <c r="D2084">
        <v>15</v>
      </c>
      <c r="E2084">
        <v>3</v>
      </c>
      <c r="F2084">
        <v>6</v>
      </c>
      <c r="G2084">
        <v>83.3</v>
      </c>
    </row>
    <row r="2085" spans="1:7">
      <c r="A2085">
        <v>174</v>
      </c>
      <c r="B2085" s="1">
        <v>46143</v>
      </c>
      <c r="C2085">
        <v>19</v>
      </c>
      <c r="D2085">
        <v>15</v>
      </c>
      <c r="E2085">
        <v>4</v>
      </c>
      <c r="F2085">
        <v>1</v>
      </c>
      <c r="G2085">
        <v>78.900000000000006</v>
      </c>
    </row>
    <row r="2086" spans="1:7">
      <c r="A2086">
        <v>174</v>
      </c>
      <c r="B2086" s="1">
        <v>46174</v>
      </c>
      <c r="C2086">
        <v>22</v>
      </c>
      <c r="D2086">
        <v>22</v>
      </c>
      <c r="E2086">
        <v>0</v>
      </c>
      <c r="F2086">
        <v>2</v>
      </c>
      <c r="G2086">
        <v>100</v>
      </c>
    </row>
    <row r="2087" spans="1:7">
      <c r="A2087">
        <v>174</v>
      </c>
      <c r="B2087" s="1">
        <v>46204</v>
      </c>
      <c r="C2087">
        <v>19</v>
      </c>
      <c r="D2087">
        <v>18</v>
      </c>
      <c r="E2087">
        <v>1</v>
      </c>
      <c r="F2087">
        <v>4</v>
      </c>
      <c r="G2087">
        <v>94.7</v>
      </c>
    </row>
    <row r="2088" spans="1:7">
      <c r="A2088">
        <v>174</v>
      </c>
      <c r="B2088" s="1">
        <v>46235</v>
      </c>
      <c r="C2088">
        <v>21</v>
      </c>
      <c r="D2088">
        <v>17</v>
      </c>
      <c r="E2088">
        <v>4</v>
      </c>
      <c r="F2088">
        <v>3</v>
      </c>
      <c r="G2088">
        <v>81</v>
      </c>
    </row>
    <row r="2089" spans="1:7">
      <c r="A2089">
        <v>174</v>
      </c>
      <c r="B2089" s="1">
        <v>46266</v>
      </c>
      <c r="C2089">
        <v>19</v>
      </c>
      <c r="D2089">
        <v>16</v>
      </c>
      <c r="E2089">
        <v>3</v>
      </c>
      <c r="F2089">
        <v>3</v>
      </c>
      <c r="G2089">
        <v>84.2</v>
      </c>
    </row>
    <row r="2090" spans="1:7">
      <c r="A2090">
        <v>175</v>
      </c>
      <c r="B2090" s="1">
        <v>45931</v>
      </c>
      <c r="C2090">
        <v>21</v>
      </c>
      <c r="D2090">
        <v>12</v>
      </c>
      <c r="E2090">
        <v>9</v>
      </c>
      <c r="F2090">
        <v>3</v>
      </c>
      <c r="G2090">
        <v>57.1</v>
      </c>
    </row>
    <row r="2091" spans="1:7">
      <c r="A2091">
        <v>175</v>
      </c>
      <c r="B2091" s="1">
        <v>45962</v>
      </c>
      <c r="C2091">
        <v>19</v>
      </c>
      <c r="D2091">
        <v>10</v>
      </c>
      <c r="E2091">
        <v>9</v>
      </c>
      <c r="F2091">
        <v>4</v>
      </c>
      <c r="G2091">
        <v>52.6</v>
      </c>
    </row>
    <row r="2092" spans="1:7">
      <c r="A2092">
        <v>175</v>
      </c>
      <c r="B2092" s="1">
        <v>45992</v>
      </c>
      <c r="C2092">
        <v>19</v>
      </c>
      <c r="D2092">
        <v>10</v>
      </c>
      <c r="E2092">
        <v>9</v>
      </c>
      <c r="F2092">
        <v>5</v>
      </c>
      <c r="G2092">
        <v>52.6</v>
      </c>
    </row>
    <row r="2093" spans="1:7">
      <c r="A2093">
        <v>175</v>
      </c>
      <c r="B2093" s="1">
        <v>46023</v>
      </c>
      <c r="C2093">
        <v>19</v>
      </c>
      <c r="D2093">
        <v>10</v>
      </c>
      <c r="E2093">
        <v>9</v>
      </c>
      <c r="F2093">
        <v>5</v>
      </c>
      <c r="G2093">
        <v>52.6</v>
      </c>
    </row>
    <row r="2094" spans="1:7">
      <c r="A2094">
        <v>175</v>
      </c>
      <c r="B2094" s="1">
        <v>46054</v>
      </c>
      <c r="C2094">
        <v>20</v>
      </c>
      <c r="D2094">
        <v>15</v>
      </c>
      <c r="E2094">
        <v>5</v>
      </c>
      <c r="F2094">
        <v>4</v>
      </c>
      <c r="G2094">
        <v>75</v>
      </c>
    </row>
    <row r="2095" spans="1:7">
      <c r="A2095">
        <v>175</v>
      </c>
      <c r="B2095" s="1">
        <v>46082</v>
      </c>
      <c r="C2095">
        <v>22</v>
      </c>
      <c r="D2095">
        <v>15</v>
      </c>
      <c r="E2095">
        <v>7</v>
      </c>
      <c r="F2095">
        <v>1</v>
      </c>
      <c r="G2095">
        <v>68.2</v>
      </c>
    </row>
    <row r="2096" spans="1:7">
      <c r="A2096">
        <v>175</v>
      </c>
      <c r="B2096" s="1">
        <v>46113</v>
      </c>
      <c r="C2096">
        <v>21</v>
      </c>
      <c r="D2096">
        <v>12</v>
      </c>
      <c r="E2096">
        <v>9</v>
      </c>
      <c r="F2096">
        <v>6</v>
      </c>
      <c r="G2096">
        <v>57.1</v>
      </c>
    </row>
    <row r="2097" spans="1:7">
      <c r="A2097">
        <v>175</v>
      </c>
      <c r="B2097" s="1">
        <v>46143</v>
      </c>
      <c r="C2097">
        <v>21</v>
      </c>
      <c r="D2097">
        <v>15</v>
      </c>
      <c r="E2097">
        <v>6</v>
      </c>
      <c r="F2097">
        <v>3</v>
      </c>
      <c r="G2097">
        <v>71.400000000000006</v>
      </c>
    </row>
    <row r="2098" spans="1:7">
      <c r="A2098">
        <v>175</v>
      </c>
      <c r="B2098" s="1">
        <v>46174</v>
      </c>
      <c r="C2098">
        <v>18</v>
      </c>
      <c r="D2098">
        <v>10</v>
      </c>
      <c r="E2098">
        <v>8</v>
      </c>
      <c r="F2098">
        <v>2</v>
      </c>
      <c r="G2098">
        <v>55.6</v>
      </c>
    </row>
    <row r="2099" spans="1:7">
      <c r="A2099">
        <v>175</v>
      </c>
      <c r="B2099" s="1">
        <v>46204</v>
      </c>
      <c r="C2099">
        <v>18</v>
      </c>
      <c r="D2099">
        <v>10</v>
      </c>
      <c r="E2099">
        <v>8</v>
      </c>
      <c r="F2099">
        <v>4</v>
      </c>
      <c r="G2099">
        <v>55.6</v>
      </c>
    </row>
    <row r="2100" spans="1:7">
      <c r="A2100">
        <v>175</v>
      </c>
      <c r="B2100" s="1">
        <v>46235</v>
      </c>
      <c r="C2100">
        <v>18</v>
      </c>
      <c r="D2100">
        <v>11</v>
      </c>
      <c r="E2100">
        <v>7</v>
      </c>
      <c r="F2100">
        <v>2</v>
      </c>
      <c r="G2100">
        <v>61.1</v>
      </c>
    </row>
    <row r="2101" spans="1:7">
      <c r="A2101">
        <v>175</v>
      </c>
      <c r="B2101" s="1">
        <v>46266</v>
      </c>
      <c r="C2101">
        <v>18</v>
      </c>
      <c r="D2101">
        <v>12</v>
      </c>
      <c r="E2101">
        <v>6</v>
      </c>
      <c r="F2101">
        <v>2</v>
      </c>
      <c r="G2101">
        <v>66.7</v>
      </c>
    </row>
    <row r="2102" spans="1:7">
      <c r="A2102">
        <v>176</v>
      </c>
      <c r="B2102" s="1">
        <v>45931</v>
      </c>
      <c r="C2102">
        <v>20</v>
      </c>
      <c r="D2102">
        <v>15</v>
      </c>
      <c r="E2102">
        <v>5</v>
      </c>
      <c r="F2102">
        <v>6</v>
      </c>
      <c r="G2102">
        <v>75</v>
      </c>
    </row>
    <row r="2103" spans="1:7">
      <c r="A2103">
        <v>176</v>
      </c>
      <c r="B2103" s="1">
        <v>45962</v>
      </c>
      <c r="C2103">
        <v>19</v>
      </c>
      <c r="D2103">
        <v>15</v>
      </c>
      <c r="E2103">
        <v>4</v>
      </c>
      <c r="F2103">
        <v>2</v>
      </c>
      <c r="G2103">
        <v>78.900000000000006</v>
      </c>
    </row>
    <row r="2104" spans="1:7">
      <c r="A2104">
        <v>176</v>
      </c>
      <c r="B2104" s="1">
        <v>45992</v>
      </c>
      <c r="C2104">
        <v>18</v>
      </c>
      <c r="D2104">
        <v>10</v>
      </c>
      <c r="E2104">
        <v>8</v>
      </c>
      <c r="F2104">
        <v>1</v>
      </c>
      <c r="G2104">
        <v>55.6</v>
      </c>
    </row>
    <row r="2105" spans="1:7">
      <c r="A2105">
        <v>176</v>
      </c>
      <c r="B2105" s="1">
        <v>46023</v>
      </c>
      <c r="C2105">
        <v>21</v>
      </c>
      <c r="D2105">
        <v>13</v>
      </c>
      <c r="E2105">
        <v>8</v>
      </c>
      <c r="F2105">
        <v>0</v>
      </c>
      <c r="G2105">
        <v>61.9</v>
      </c>
    </row>
    <row r="2106" spans="1:7">
      <c r="A2106">
        <v>176</v>
      </c>
      <c r="B2106" s="1">
        <v>46054</v>
      </c>
      <c r="C2106">
        <v>18</v>
      </c>
      <c r="D2106">
        <v>11</v>
      </c>
      <c r="E2106">
        <v>7</v>
      </c>
      <c r="F2106">
        <v>2</v>
      </c>
      <c r="G2106">
        <v>61.1</v>
      </c>
    </row>
    <row r="2107" spans="1:7">
      <c r="A2107">
        <v>176</v>
      </c>
      <c r="B2107" s="1">
        <v>46082</v>
      </c>
      <c r="C2107">
        <v>22</v>
      </c>
      <c r="D2107">
        <v>14</v>
      </c>
      <c r="E2107">
        <v>8</v>
      </c>
      <c r="F2107">
        <v>6</v>
      </c>
      <c r="G2107">
        <v>63.6</v>
      </c>
    </row>
    <row r="2108" spans="1:7">
      <c r="A2108">
        <v>176</v>
      </c>
      <c r="B2108" s="1">
        <v>46113</v>
      </c>
      <c r="C2108">
        <v>21</v>
      </c>
      <c r="D2108">
        <v>14</v>
      </c>
      <c r="E2108">
        <v>7</v>
      </c>
      <c r="F2108">
        <v>4</v>
      </c>
      <c r="G2108">
        <v>66.7</v>
      </c>
    </row>
    <row r="2109" spans="1:7">
      <c r="A2109">
        <v>176</v>
      </c>
      <c r="B2109" s="1">
        <v>46143</v>
      </c>
      <c r="C2109">
        <v>20</v>
      </c>
      <c r="D2109">
        <v>14</v>
      </c>
      <c r="E2109">
        <v>6</v>
      </c>
      <c r="F2109">
        <v>4</v>
      </c>
      <c r="G2109">
        <v>70</v>
      </c>
    </row>
    <row r="2110" spans="1:7">
      <c r="A2110">
        <v>176</v>
      </c>
      <c r="B2110" s="1">
        <v>46174</v>
      </c>
      <c r="C2110">
        <v>20</v>
      </c>
      <c r="D2110">
        <v>18</v>
      </c>
      <c r="E2110">
        <v>2</v>
      </c>
      <c r="F2110">
        <v>1</v>
      </c>
      <c r="G2110">
        <v>90</v>
      </c>
    </row>
    <row r="2111" spans="1:7">
      <c r="A2111">
        <v>176</v>
      </c>
      <c r="B2111" s="1">
        <v>46204</v>
      </c>
      <c r="C2111">
        <v>20</v>
      </c>
      <c r="D2111">
        <v>18</v>
      </c>
      <c r="E2111">
        <v>2</v>
      </c>
      <c r="F2111">
        <v>3</v>
      </c>
      <c r="G2111">
        <v>90</v>
      </c>
    </row>
    <row r="2112" spans="1:7">
      <c r="A2112">
        <v>176</v>
      </c>
      <c r="B2112" s="1">
        <v>46235</v>
      </c>
      <c r="C2112">
        <v>19</v>
      </c>
      <c r="D2112">
        <v>16</v>
      </c>
      <c r="E2112">
        <v>3</v>
      </c>
      <c r="F2112">
        <v>6</v>
      </c>
      <c r="G2112">
        <v>84.2</v>
      </c>
    </row>
    <row r="2113" spans="1:7">
      <c r="A2113">
        <v>176</v>
      </c>
      <c r="B2113" s="1">
        <v>46266</v>
      </c>
      <c r="C2113">
        <v>22</v>
      </c>
      <c r="D2113">
        <v>14</v>
      </c>
      <c r="E2113">
        <v>8</v>
      </c>
      <c r="F2113">
        <v>4</v>
      </c>
      <c r="G2113">
        <v>63.6</v>
      </c>
    </row>
    <row r="2114" spans="1:7">
      <c r="A2114">
        <v>177</v>
      </c>
      <c r="B2114" s="1">
        <v>45931</v>
      </c>
      <c r="C2114">
        <v>22</v>
      </c>
      <c r="D2114">
        <v>15</v>
      </c>
      <c r="E2114">
        <v>7</v>
      </c>
      <c r="F2114">
        <v>4</v>
      </c>
      <c r="G2114">
        <v>68.2</v>
      </c>
    </row>
    <row r="2115" spans="1:7">
      <c r="A2115">
        <v>177</v>
      </c>
      <c r="B2115" s="1">
        <v>45962</v>
      </c>
      <c r="C2115">
        <v>19</v>
      </c>
      <c r="D2115">
        <v>15</v>
      </c>
      <c r="E2115">
        <v>4</v>
      </c>
      <c r="F2115">
        <v>2</v>
      </c>
      <c r="G2115">
        <v>78.900000000000006</v>
      </c>
    </row>
    <row r="2116" spans="1:7">
      <c r="A2116">
        <v>177</v>
      </c>
      <c r="B2116" s="1">
        <v>45992</v>
      </c>
      <c r="C2116">
        <v>18</v>
      </c>
      <c r="D2116">
        <v>14</v>
      </c>
      <c r="E2116">
        <v>4</v>
      </c>
      <c r="F2116">
        <v>5</v>
      </c>
      <c r="G2116">
        <v>77.8</v>
      </c>
    </row>
    <row r="2117" spans="1:7">
      <c r="A2117">
        <v>177</v>
      </c>
      <c r="B2117" s="1">
        <v>46023</v>
      </c>
      <c r="C2117">
        <v>19</v>
      </c>
      <c r="D2117">
        <v>17</v>
      </c>
      <c r="E2117">
        <v>2</v>
      </c>
      <c r="F2117">
        <v>1</v>
      </c>
      <c r="G2117">
        <v>89.5</v>
      </c>
    </row>
    <row r="2118" spans="1:7">
      <c r="A2118">
        <v>177</v>
      </c>
      <c r="B2118" s="1">
        <v>46054</v>
      </c>
      <c r="C2118">
        <v>21</v>
      </c>
      <c r="D2118">
        <v>17</v>
      </c>
      <c r="E2118">
        <v>4</v>
      </c>
      <c r="F2118">
        <v>5</v>
      </c>
      <c r="G2118">
        <v>81</v>
      </c>
    </row>
    <row r="2119" spans="1:7">
      <c r="A2119">
        <v>177</v>
      </c>
      <c r="B2119" s="1">
        <v>46082</v>
      </c>
      <c r="C2119">
        <v>20</v>
      </c>
      <c r="D2119">
        <v>16</v>
      </c>
      <c r="E2119">
        <v>4</v>
      </c>
      <c r="F2119">
        <v>5</v>
      </c>
      <c r="G2119">
        <v>80</v>
      </c>
    </row>
    <row r="2120" spans="1:7">
      <c r="A2120">
        <v>177</v>
      </c>
      <c r="B2120" s="1">
        <v>46113</v>
      </c>
      <c r="C2120">
        <v>19</v>
      </c>
      <c r="D2120">
        <v>15</v>
      </c>
      <c r="E2120">
        <v>4</v>
      </c>
      <c r="F2120">
        <v>3</v>
      </c>
      <c r="G2120">
        <v>78.900000000000006</v>
      </c>
    </row>
    <row r="2121" spans="1:7">
      <c r="A2121">
        <v>177</v>
      </c>
      <c r="B2121" s="1">
        <v>46143</v>
      </c>
      <c r="C2121">
        <v>19</v>
      </c>
      <c r="D2121">
        <v>16</v>
      </c>
      <c r="E2121">
        <v>3</v>
      </c>
      <c r="F2121">
        <v>3</v>
      </c>
      <c r="G2121">
        <v>84.2</v>
      </c>
    </row>
    <row r="2122" spans="1:7">
      <c r="A2122">
        <v>177</v>
      </c>
      <c r="B2122" s="1">
        <v>46174</v>
      </c>
      <c r="C2122">
        <v>20</v>
      </c>
      <c r="D2122">
        <v>14</v>
      </c>
      <c r="E2122">
        <v>6</v>
      </c>
      <c r="F2122">
        <v>2</v>
      </c>
      <c r="G2122">
        <v>70</v>
      </c>
    </row>
    <row r="2123" spans="1:7">
      <c r="A2123">
        <v>177</v>
      </c>
      <c r="B2123" s="1">
        <v>46204</v>
      </c>
      <c r="C2123">
        <v>21</v>
      </c>
      <c r="D2123">
        <v>18</v>
      </c>
      <c r="E2123">
        <v>3</v>
      </c>
      <c r="F2123">
        <v>4</v>
      </c>
      <c r="G2123">
        <v>85.7</v>
      </c>
    </row>
    <row r="2124" spans="1:7">
      <c r="A2124">
        <v>177</v>
      </c>
      <c r="B2124" s="1">
        <v>46235</v>
      </c>
      <c r="C2124">
        <v>19</v>
      </c>
      <c r="D2124">
        <v>15</v>
      </c>
      <c r="E2124">
        <v>4</v>
      </c>
      <c r="F2124">
        <v>2</v>
      </c>
      <c r="G2124">
        <v>78.900000000000006</v>
      </c>
    </row>
    <row r="2125" spans="1:7">
      <c r="A2125">
        <v>177</v>
      </c>
      <c r="B2125" s="1">
        <v>46266</v>
      </c>
      <c r="C2125">
        <v>21</v>
      </c>
      <c r="D2125">
        <v>12</v>
      </c>
      <c r="E2125">
        <v>9</v>
      </c>
      <c r="F2125">
        <v>6</v>
      </c>
      <c r="G2125">
        <v>57.1</v>
      </c>
    </row>
    <row r="2126" spans="1:7">
      <c r="A2126">
        <v>178</v>
      </c>
      <c r="B2126" s="1">
        <v>45931</v>
      </c>
      <c r="C2126">
        <v>20</v>
      </c>
      <c r="D2126">
        <v>13</v>
      </c>
      <c r="E2126">
        <v>7</v>
      </c>
      <c r="F2126">
        <v>0</v>
      </c>
      <c r="G2126">
        <v>65</v>
      </c>
    </row>
    <row r="2127" spans="1:7">
      <c r="A2127">
        <v>178</v>
      </c>
      <c r="B2127" s="1">
        <v>45962</v>
      </c>
      <c r="C2127">
        <v>19</v>
      </c>
      <c r="D2127">
        <v>15</v>
      </c>
      <c r="E2127">
        <v>4</v>
      </c>
      <c r="F2127">
        <v>0</v>
      </c>
      <c r="G2127">
        <v>78.900000000000006</v>
      </c>
    </row>
    <row r="2128" spans="1:7">
      <c r="A2128">
        <v>178</v>
      </c>
      <c r="B2128" s="1">
        <v>45992</v>
      </c>
      <c r="C2128">
        <v>19</v>
      </c>
      <c r="D2128">
        <v>14</v>
      </c>
      <c r="E2128">
        <v>5</v>
      </c>
      <c r="F2128">
        <v>2</v>
      </c>
      <c r="G2128">
        <v>73.7</v>
      </c>
    </row>
    <row r="2129" spans="1:7">
      <c r="A2129">
        <v>178</v>
      </c>
      <c r="B2129" s="1">
        <v>46023</v>
      </c>
      <c r="C2129">
        <v>22</v>
      </c>
      <c r="D2129">
        <v>16</v>
      </c>
      <c r="E2129">
        <v>6</v>
      </c>
      <c r="F2129">
        <v>3</v>
      </c>
      <c r="G2129">
        <v>72.7</v>
      </c>
    </row>
    <row r="2130" spans="1:7">
      <c r="A2130">
        <v>178</v>
      </c>
      <c r="B2130" s="1">
        <v>46054</v>
      </c>
      <c r="C2130">
        <v>18</v>
      </c>
      <c r="D2130">
        <v>10</v>
      </c>
      <c r="E2130">
        <v>8</v>
      </c>
      <c r="F2130">
        <v>4</v>
      </c>
      <c r="G2130">
        <v>55.6</v>
      </c>
    </row>
    <row r="2131" spans="1:7">
      <c r="A2131">
        <v>178</v>
      </c>
      <c r="B2131" s="1">
        <v>46082</v>
      </c>
      <c r="C2131">
        <v>19</v>
      </c>
      <c r="D2131">
        <v>14</v>
      </c>
      <c r="E2131">
        <v>5</v>
      </c>
      <c r="F2131">
        <v>3</v>
      </c>
      <c r="G2131">
        <v>73.7</v>
      </c>
    </row>
    <row r="2132" spans="1:7">
      <c r="A2132">
        <v>178</v>
      </c>
      <c r="B2132" s="1">
        <v>46113</v>
      </c>
      <c r="C2132">
        <v>21</v>
      </c>
      <c r="D2132">
        <v>21</v>
      </c>
      <c r="E2132">
        <v>0</v>
      </c>
      <c r="F2132">
        <v>0</v>
      </c>
      <c r="G2132">
        <v>100</v>
      </c>
    </row>
    <row r="2133" spans="1:7">
      <c r="A2133">
        <v>178</v>
      </c>
      <c r="B2133" s="1">
        <v>46143</v>
      </c>
      <c r="C2133">
        <v>21</v>
      </c>
      <c r="D2133">
        <v>16</v>
      </c>
      <c r="E2133">
        <v>5</v>
      </c>
      <c r="F2133">
        <v>0</v>
      </c>
      <c r="G2133">
        <v>76.2</v>
      </c>
    </row>
    <row r="2134" spans="1:7">
      <c r="A2134">
        <v>178</v>
      </c>
      <c r="B2134" s="1">
        <v>46174</v>
      </c>
      <c r="C2134">
        <v>22</v>
      </c>
      <c r="D2134">
        <v>15</v>
      </c>
      <c r="E2134">
        <v>7</v>
      </c>
      <c r="F2134">
        <v>0</v>
      </c>
      <c r="G2134">
        <v>68.2</v>
      </c>
    </row>
    <row r="2135" spans="1:7">
      <c r="A2135">
        <v>178</v>
      </c>
      <c r="B2135" s="1">
        <v>46204</v>
      </c>
      <c r="C2135">
        <v>21</v>
      </c>
      <c r="D2135">
        <v>12</v>
      </c>
      <c r="E2135">
        <v>9</v>
      </c>
      <c r="F2135">
        <v>5</v>
      </c>
      <c r="G2135">
        <v>57.1</v>
      </c>
    </row>
    <row r="2136" spans="1:7">
      <c r="A2136">
        <v>178</v>
      </c>
      <c r="B2136" s="1">
        <v>46235</v>
      </c>
      <c r="C2136">
        <v>22</v>
      </c>
      <c r="D2136">
        <v>16</v>
      </c>
      <c r="E2136">
        <v>6</v>
      </c>
      <c r="F2136">
        <v>5</v>
      </c>
      <c r="G2136">
        <v>72.7</v>
      </c>
    </row>
    <row r="2137" spans="1:7">
      <c r="A2137">
        <v>178</v>
      </c>
      <c r="B2137" s="1">
        <v>46266</v>
      </c>
      <c r="C2137">
        <v>22</v>
      </c>
      <c r="D2137">
        <v>18</v>
      </c>
      <c r="E2137">
        <v>4</v>
      </c>
      <c r="F2137">
        <v>5</v>
      </c>
      <c r="G2137">
        <v>81.8</v>
      </c>
    </row>
    <row r="2138" spans="1:7">
      <c r="A2138">
        <v>179</v>
      </c>
      <c r="B2138" s="1">
        <v>45931</v>
      </c>
      <c r="C2138">
        <v>22</v>
      </c>
      <c r="D2138">
        <v>15</v>
      </c>
      <c r="E2138">
        <v>7</v>
      </c>
      <c r="F2138">
        <v>1</v>
      </c>
      <c r="G2138">
        <v>68.2</v>
      </c>
    </row>
    <row r="2139" spans="1:7">
      <c r="A2139">
        <v>179</v>
      </c>
      <c r="B2139" s="1">
        <v>45962</v>
      </c>
      <c r="C2139">
        <v>22</v>
      </c>
      <c r="D2139">
        <v>16</v>
      </c>
      <c r="E2139">
        <v>6</v>
      </c>
      <c r="F2139">
        <v>1</v>
      </c>
      <c r="G2139">
        <v>72.7</v>
      </c>
    </row>
    <row r="2140" spans="1:7">
      <c r="A2140">
        <v>179</v>
      </c>
      <c r="B2140" s="1">
        <v>45992</v>
      </c>
      <c r="C2140">
        <v>19</v>
      </c>
      <c r="D2140">
        <v>10</v>
      </c>
      <c r="E2140">
        <v>9</v>
      </c>
      <c r="F2140">
        <v>4</v>
      </c>
      <c r="G2140">
        <v>52.6</v>
      </c>
    </row>
    <row r="2141" spans="1:7">
      <c r="A2141">
        <v>179</v>
      </c>
      <c r="B2141" s="1">
        <v>46023</v>
      </c>
      <c r="C2141">
        <v>20</v>
      </c>
      <c r="D2141">
        <v>13</v>
      </c>
      <c r="E2141">
        <v>7</v>
      </c>
      <c r="F2141">
        <v>0</v>
      </c>
      <c r="G2141">
        <v>65</v>
      </c>
    </row>
    <row r="2142" spans="1:7">
      <c r="A2142">
        <v>179</v>
      </c>
      <c r="B2142" s="1">
        <v>46054</v>
      </c>
      <c r="C2142">
        <v>21</v>
      </c>
      <c r="D2142">
        <v>17</v>
      </c>
      <c r="E2142">
        <v>4</v>
      </c>
      <c r="F2142">
        <v>0</v>
      </c>
      <c r="G2142">
        <v>81</v>
      </c>
    </row>
    <row r="2143" spans="1:7">
      <c r="A2143">
        <v>179</v>
      </c>
      <c r="B2143" s="1">
        <v>46082</v>
      </c>
      <c r="C2143">
        <v>20</v>
      </c>
      <c r="D2143">
        <v>15</v>
      </c>
      <c r="E2143">
        <v>5</v>
      </c>
      <c r="F2143">
        <v>5</v>
      </c>
      <c r="G2143">
        <v>75</v>
      </c>
    </row>
    <row r="2144" spans="1:7">
      <c r="A2144">
        <v>179</v>
      </c>
      <c r="B2144" s="1">
        <v>46113</v>
      </c>
      <c r="C2144">
        <v>19</v>
      </c>
      <c r="D2144">
        <v>12</v>
      </c>
      <c r="E2144">
        <v>7</v>
      </c>
      <c r="F2144">
        <v>6</v>
      </c>
      <c r="G2144">
        <v>63.2</v>
      </c>
    </row>
    <row r="2145" spans="1:7">
      <c r="A2145">
        <v>179</v>
      </c>
      <c r="B2145" s="1">
        <v>46143</v>
      </c>
      <c r="C2145">
        <v>18</v>
      </c>
      <c r="D2145">
        <v>16</v>
      </c>
      <c r="E2145">
        <v>2</v>
      </c>
      <c r="F2145">
        <v>2</v>
      </c>
      <c r="G2145">
        <v>88.9</v>
      </c>
    </row>
    <row r="2146" spans="1:7">
      <c r="A2146">
        <v>179</v>
      </c>
      <c r="B2146" s="1">
        <v>46174</v>
      </c>
      <c r="C2146">
        <v>20</v>
      </c>
      <c r="D2146">
        <v>16</v>
      </c>
      <c r="E2146">
        <v>4</v>
      </c>
      <c r="F2146">
        <v>0</v>
      </c>
      <c r="G2146">
        <v>80</v>
      </c>
    </row>
    <row r="2147" spans="1:7">
      <c r="A2147">
        <v>179</v>
      </c>
      <c r="B2147" s="1">
        <v>46204</v>
      </c>
      <c r="C2147">
        <v>22</v>
      </c>
      <c r="D2147">
        <v>17</v>
      </c>
      <c r="E2147">
        <v>5</v>
      </c>
      <c r="F2147">
        <v>3</v>
      </c>
      <c r="G2147">
        <v>77.3</v>
      </c>
    </row>
    <row r="2148" spans="1:7">
      <c r="A2148">
        <v>179</v>
      </c>
      <c r="B2148" s="1">
        <v>46235</v>
      </c>
      <c r="C2148">
        <v>19</v>
      </c>
      <c r="D2148">
        <v>10</v>
      </c>
      <c r="E2148">
        <v>9</v>
      </c>
      <c r="F2148">
        <v>5</v>
      </c>
      <c r="G2148">
        <v>52.6</v>
      </c>
    </row>
    <row r="2149" spans="1:7">
      <c r="A2149">
        <v>179</v>
      </c>
      <c r="B2149" s="1">
        <v>46266</v>
      </c>
      <c r="C2149">
        <v>22</v>
      </c>
      <c r="D2149">
        <v>19</v>
      </c>
      <c r="E2149">
        <v>3</v>
      </c>
      <c r="F2149">
        <v>6</v>
      </c>
      <c r="G2149">
        <v>86.4</v>
      </c>
    </row>
    <row r="2150" spans="1:7">
      <c r="A2150">
        <v>180</v>
      </c>
      <c r="B2150" s="1">
        <v>45931</v>
      </c>
      <c r="C2150">
        <v>18</v>
      </c>
      <c r="D2150">
        <v>14</v>
      </c>
      <c r="E2150">
        <v>4</v>
      </c>
      <c r="F2150">
        <v>6</v>
      </c>
      <c r="G2150">
        <v>77.8</v>
      </c>
    </row>
    <row r="2151" spans="1:7">
      <c r="A2151">
        <v>180</v>
      </c>
      <c r="B2151" s="1">
        <v>45962</v>
      </c>
      <c r="C2151">
        <v>21</v>
      </c>
      <c r="D2151">
        <v>21</v>
      </c>
      <c r="E2151">
        <v>0</v>
      </c>
      <c r="F2151">
        <v>0</v>
      </c>
      <c r="G2151">
        <v>100</v>
      </c>
    </row>
    <row r="2152" spans="1:7">
      <c r="A2152">
        <v>180</v>
      </c>
      <c r="B2152" s="1">
        <v>45992</v>
      </c>
      <c r="C2152">
        <v>20</v>
      </c>
      <c r="D2152">
        <v>18</v>
      </c>
      <c r="E2152">
        <v>2</v>
      </c>
      <c r="F2152">
        <v>2</v>
      </c>
      <c r="G2152">
        <v>90</v>
      </c>
    </row>
    <row r="2153" spans="1:7">
      <c r="A2153">
        <v>180</v>
      </c>
      <c r="B2153" s="1">
        <v>46023</v>
      </c>
      <c r="C2153">
        <v>20</v>
      </c>
      <c r="D2153">
        <v>20</v>
      </c>
      <c r="E2153">
        <v>0</v>
      </c>
      <c r="F2153">
        <v>0</v>
      </c>
      <c r="G2153">
        <v>100</v>
      </c>
    </row>
    <row r="2154" spans="1:7">
      <c r="A2154">
        <v>180</v>
      </c>
      <c r="B2154" s="1">
        <v>46054</v>
      </c>
      <c r="C2154">
        <v>18</v>
      </c>
      <c r="D2154">
        <v>18</v>
      </c>
      <c r="E2154">
        <v>0</v>
      </c>
      <c r="F2154">
        <v>3</v>
      </c>
      <c r="G2154">
        <v>100</v>
      </c>
    </row>
    <row r="2155" spans="1:7">
      <c r="A2155">
        <v>180</v>
      </c>
      <c r="B2155" s="1">
        <v>46082</v>
      </c>
      <c r="C2155">
        <v>20</v>
      </c>
      <c r="D2155">
        <v>18</v>
      </c>
      <c r="E2155">
        <v>2</v>
      </c>
      <c r="F2155">
        <v>0</v>
      </c>
      <c r="G2155">
        <v>90</v>
      </c>
    </row>
    <row r="2156" spans="1:7">
      <c r="A2156">
        <v>180</v>
      </c>
      <c r="B2156" s="1">
        <v>46113</v>
      </c>
      <c r="C2156">
        <v>18</v>
      </c>
      <c r="D2156">
        <v>18</v>
      </c>
      <c r="E2156">
        <v>0</v>
      </c>
      <c r="F2156">
        <v>1</v>
      </c>
      <c r="G2156">
        <v>100</v>
      </c>
    </row>
    <row r="2157" spans="1:7">
      <c r="A2157">
        <v>180</v>
      </c>
      <c r="B2157" s="1">
        <v>46143</v>
      </c>
      <c r="C2157">
        <v>21</v>
      </c>
      <c r="D2157">
        <v>21</v>
      </c>
      <c r="E2157">
        <v>0</v>
      </c>
      <c r="F2157">
        <v>0</v>
      </c>
      <c r="G2157">
        <v>100</v>
      </c>
    </row>
    <row r="2158" spans="1:7">
      <c r="A2158">
        <v>180</v>
      </c>
      <c r="B2158" s="1">
        <v>46174</v>
      </c>
      <c r="C2158">
        <v>21</v>
      </c>
      <c r="D2158">
        <v>18</v>
      </c>
      <c r="E2158">
        <v>3</v>
      </c>
      <c r="F2158">
        <v>2</v>
      </c>
      <c r="G2158">
        <v>85.7</v>
      </c>
    </row>
    <row r="2159" spans="1:7">
      <c r="A2159">
        <v>180</v>
      </c>
      <c r="B2159" s="1">
        <v>46204</v>
      </c>
      <c r="C2159">
        <v>19</v>
      </c>
      <c r="D2159">
        <v>19</v>
      </c>
      <c r="E2159">
        <v>0</v>
      </c>
      <c r="F2159">
        <v>3</v>
      </c>
      <c r="G2159">
        <v>100</v>
      </c>
    </row>
    <row r="2160" spans="1:7">
      <c r="A2160">
        <v>180</v>
      </c>
      <c r="B2160" s="1">
        <v>46235</v>
      </c>
      <c r="C2160">
        <v>21</v>
      </c>
      <c r="D2160">
        <v>21</v>
      </c>
      <c r="E2160">
        <v>0</v>
      </c>
      <c r="F2160">
        <v>1</v>
      </c>
      <c r="G2160">
        <v>100</v>
      </c>
    </row>
    <row r="2161" spans="1:7">
      <c r="A2161">
        <v>180</v>
      </c>
      <c r="B2161" s="1">
        <v>46266</v>
      </c>
      <c r="C2161">
        <v>22</v>
      </c>
      <c r="D2161">
        <v>21</v>
      </c>
      <c r="E2161">
        <v>1</v>
      </c>
      <c r="F2161">
        <v>2</v>
      </c>
      <c r="G2161">
        <v>95.5</v>
      </c>
    </row>
    <row r="2162" spans="1:7">
      <c r="A2162">
        <v>181</v>
      </c>
      <c r="B2162" s="1">
        <v>45931</v>
      </c>
      <c r="C2162">
        <v>18</v>
      </c>
      <c r="D2162">
        <v>11</v>
      </c>
      <c r="E2162">
        <v>7</v>
      </c>
      <c r="F2162">
        <v>3</v>
      </c>
      <c r="G2162">
        <v>61.1</v>
      </c>
    </row>
    <row r="2163" spans="1:7">
      <c r="A2163">
        <v>181</v>
      </c>
      <c r="B2163" s="1">
        <v>45962</v>
      </c>
      <c r="C2163">
        <v>19</v>
      </c>
      <c r="D2163">
        <v>15</v>
      </c>
      <c r="E2163">
        <v>4</v>
      </c>
      <c r="F2163">
        <v>1</v>
      </c>
      <c r="G2163">
        <v>78.900000000000006</v>
      </c>
    </row>
    <row r="2164" spans="1:7">
      <c r="A2164">
        <v>181</v>
      </c>
      <c r="B2164" s="1">
        <v>45992</v>
      </c>
      <c r="C2164">
        <v>20</v>
      </c>
      <c r="D2164">
        <v>16</v>
      </c>
      <c r="E2164">
        <v>4</v>
      </c>
      <c r="F2164">
        <v>6</v>
      </c>
      <c r="G2164">
        <v>80</v>
      </c>
    </row>
    <row r="2165" spans="1:7">
      <c r="A2165">
        <v>181</v>
      </c>
      <c r="B2165" s="1">
        <v>46023</v>
      </c>
      <c r="C2165">
        <v>19</v>
      </c>
      <c r="D2165">
        <v>15</v>
      </c>
      <c r="E2165">
        <v>4</v>
      </c>
      <c r="F2165">
        <v>0</v>
      </c>
      <c r="G2165">
        <v>78.900000000000006</v>
      </c>
    </row>
    <row r="2166" spans="1:7">
      <c r="A2166">
        <v>181</v>
      </c>
      <c r="B2166" s="1">
        <v>46054</v>
      </c>
      <c r="C2166">
        <v>19</v>
      </c>
      <c r="D2166">
        <v>15</v>
      </c>
      <c r="E2166">
        <v>4</v>
      </c>
      <c r="F2166">
        <v>3</v>
      </c>
      <c r="G2166">
        <v>78.900000000000006</v>
      </c>
    </row>
    <row r="2167" spans="1:7">
      <c r="A2167">
        <v>181</v>
      </c>
      <c r="B2167" s="1">
        <v>46082</v>
      </c>
      <c r="C2167">
        <v>20</v>
      </c>
      <c r="D2167">
        <v>15</v>
      </c>
      <c r="E2167">
        <v>5</v>
      </c>
      <c r="F2167">
        <v>0</v>
      </c>
      <c r="G2167">
        <v>75</v>
      </c>
    </row>
    <row r="2168" spans="1:7">
      <c r="A2168">
        <v>181</v>
      </c>
      <c r="B2168" s="1">
        <v>46113</v>
      </c>
      <c r="C2168">
        <v>19</v>
      </c>
      <c r="D2168">
        <v>17</v>
      </c>
      <c r="E2168">
        <v>2</v>
      </c>
      <c r="F2168">
        <v>5</v>
      </c>
      <c r="G2168">
        <v>89.5</v>
      </c>
    </row>
    <row r="2169" spans="1:7">
      <c r="A2169">
        <v>181</v>
      </c>
      <c r="B2169" s="1">
        <v>46143</v>
      </c>
      <c r="C2169">
        <v>20</v>
      </c>
      <c r="D2169">
        <v>20</v>
      </c>
      <c r="E2169">
        <v>0</v>
      </c>
      <c r="F2169">
        <v>0</v>
      </c>
      <c r="G2169">
        <v>100</v>
      </c>
    </row>
    <row r="2170" spans="1:7">
      <c r="A2170">
        <v>181</v>
      </c>
      <c r="B2170" s="1">
        <v>46174</v>
      </c>
      <c r="C2170">
        <v>21</v>
      </c>
      <c r="D2170">
        <v>19</v>
      </c>
      <c r="E2170">
        <v>2</v>
      </c>
      <c r="F2170">
        <v>5</v>
      </c>
      <c r="G2170">
        <v>90.5</v>
      </c>
    </row>
    <row r="2171" spans="1:7">
      <c r="A2171">
        <v>181</v>
      </c>
      <c r="B2171" s="1">
        <v>46204</v>
      </c>
      <c r="C2171">
        <v>19</v>
      </c>
      <c r="D2171">
        <v>15</v>
      </c>
      <c r="E2171">
        <v>4</v>
      </c>
      <c r="F2171">
        <v>2</v>
      </c>
      <c r="G2171">
        <v>78.900000000000006</v>
      </c>
    </row>
    <row r="2172" spans="1:7">
      <c r="A2172">
        <v>181</v>
      </c>
      <c r="B2172" s="1">
        <v>46235</v>
      </c>
      <c r="C2172">
        <v>21</v>
      </c>
      <c r="D2172">
        <v>21</v>
      </c>
      <c r="E2172">
        <v>0</v>
      </c>
      <c r="F2172">
        <v>3</v>
      </c>
      <c r="G2172">
        <v>100</v>
      </c>
    </row>
    <row r="2173" spans="1:7">
      <c r="A2173">
        <v>181</v>
      </c>
      <c r="B2173" s="1">
        <v>46266</v>
      </c>
      <c r="C2173">
        <v>19</v>
      </c>
      <c r="D2173">
        <v>15</v>
      </c>
      <c r="E2173">
        <v>4</v>
      </c>
      <c r="F2173">
        <v>0</v>
      </c>
      <c r="G2173">
        <v>78.900000000000006</v>
      </c>
    </row>
    <row r="2174" spans="1:7">
      <c r="A2174">
        <v>182</v>
      </c>
      <c r="B2174" s="1">
        <v>45931</v>
      </c>
      <c r="C2174">
        <v>18</v>
      </c>
      <c r="D2174">
        <v>15</v>
      </c>
      <c r="E2174">
        <v>3</v>
      </c>
      <c r="F2174">
        <v>2</v>
      </c>
      <c r="G2174">
        <v>83.3</v>
      </c>
    </row>
    <row r="2175" spans="1:7">
      <c r="A2175">
        <v>182</v>
      </c>
      <c r="B2175" s="1">
        <v>45962</v>
      </c>
      <c r="C2175">
        <v>22</v>
      </c>
      <c r="D2175">
        <v>21</v>
      </c>
      <c r="E2175">
        <v>1</v>
      </c>
      <c r="F2175">
        <v>0</v>
      </c>
      <c r="G2175">
        <v>95.5</v>
      </c>
    </row>
    <row r="2176" spans="1:7">
      <c r="A2176">
        <v>182</v>
      </c>
      <c r="B2176" s="1">
        <v>45992</v>
      </c>
      <c r="C2176">
        <v>19</v>
      </c>
      <c r="D2176">
        <v>13</v>
      </c>
      <c r="E2176">
        <v>6</v>
      </c>
      <c r="F2176">
        <v>3</v>
      </c>
      <c r="G2176">
        <v>68.400000000000006</v>
      </c>
    </row>
    <row r="2177" spans="1:7">
      <c r="A2177">
        <v>182</v>
      </c>
      <c r="B2177" s="1">
        <v>46023</v>
      </c>
      <c r="C2177">
        <v>22</v>
      </c>
      <c r="D2177">
        <v>18</v>
      </c>
      <c r="E2177">
        <v>4</v>
      </c>
      <c r="F2177">
        <v>5</v>
      </c>
      <c r="G2177">
        <v>81.8</v>
      </c>
    </row>
    <row r="2178" spans="1:7">
      <c r="A2178">
        <v>182</v>
      </c>
      <c r="B2178" s="1">
        <v>46054</v>
      </c>
      <c r="C2178">
        <v>18</v>
      </c>
      <c r="D2178">
        <v>17</v>
      </c>
      <c r="E2178">
        <v>1</v>
      </c>
      <c r="F2178">
        <v>3</v>
      </c>
      <c r="G2178">
        <v>94.4</v>
      </c>
    </row>
    <row r="2179" spans="1:7">
      <c r="A2179">
        <v>182</v>
      </c>
      <c r="B2179" s="1">
        <v>46082</v>
      </c>
      <c r="C2179">
        <v>18</v>
      </c>
      <c r="D2179">
        <v>15</v>
      </c>
      <c r="E2179">
        <v>3</v>
      </c>
      <c r="F2179">
        <v>6</v>
      </c>
      <c r="G2179">
        <v>83.3</v>
      </c>
    </row>
    <row r="2180" spans="1:7">
      <c r="A2180">
        <v>182</v>
      </c>
      <c r="B2180" s="1">
        <v>46113</v>
      </c>
      <c r="C2180">
        <v>21</v>
      </c>
      <c r="D2180">
        <v>19</v>
      </c>
      <c r="E2180">
        <v>2</v>
      </c>
      <c r="F2180">
        <v>4</v>
      </c>
      <c r="G2180">
        <v>90.5</v>
      </c>
    </row>
    <row r="2181" spans="1:7">
      <c r="A2181">
        <v>182</v>
      </c>
      <c r="B2181" s="1">
        <v>46143</v>
      </c>
      <c r="C2181">
        <v>19</v>
      </c>
      <c r="D2181">
        <v>16</v>
      </c>
      <c r="E2181">
        <v>3</v>
      </c>
      <c r="F2181">
        <v>1</v>
      </c>
      <c r="G2181">
        <v>84.2</v>
      </c>
    </row>
    <row r="2182" spans="1:7">
      <c r="A2182">
        <v>182</v>
      </c>
      <c r="B2182" s="1">
        <v>46174</v>
      </c>
      <c r="C2182">
        <v>20</v>
      </c>
      <c r="D2182">
        <v>17</v>
      </c>
      <c r="E2182">
        <v>3</v>
      </c>
      <c r="F2182">
        <v>5</v>
      </c>
      <c r="G2182">
        <v>85</v>
      </c>
    </row>
    <row r="2183" spans="1:7">
      <c r="A2183">
        <v>182</v>
      </c>
      <c r="B2183" s="1">
        <v>46204</v>
      </c>
      <c r="C2183">
        <v>19</v>
      </c>
      <c r="D2183">
        <v>19</v>
      </c>
      <c r="E2183">
        <v>0</v>
      </c>
      <c r="F2183">
        <v>3</v>
      </c>
      <c r="G2183">
        <v>100</v>
      </c>
    </row>
    <row r="2184" spans="1:7">
      <c r="A2184">
        <v>182</v>
      </c>
      <c r="B2184" s="1">
        <v>46235</v>
      </c>
      <c r="C2184">
        <v>19</v>
      </c>
      <c r="D2184">
        <v>19</v>
      </c>
      <c r="E2184">
        <v>0</v>
      </c>
      <c r="F2184">
        <v>0</v>
      </c>
      <c r="G2184">
        <v>100</v>
      </c>
    </row>
    <row r="2185" spans="1:7">
      <c r="A2185">
        <v>182</v>
      </c>
      <c r="B2185" s="1">
        <v>46266</v>
      </c>
      <c r="C2185">
        <v>22</v>
      </c>
      <c r="D2185">
        <v>19</v>
      </c>
      <c r="E2185">
        <v>3</v>
      </c>
      <c r="F2185">
        <v>4</v>
      </c>
      <c r="G2185">
        <v>86.4</v>
      </c>
    </row>
    <row r="2186" spans="1:7">
      <c r="A2186">
        <v>183</v>
      </c>
      <c r="B2186" s="1">
        <v>45931</v>
      </c>
      <c r="C2186">
        <v>19</v>
      </c>
      <c r="D2186">
        <v>10</v>
      </c>
      <c r="E2186">
        <v>9</v>
      </c>
      <c r="F2186">
        <v>5</v>
      </c>
      <c r="G2186">
        <v>52.6</v>
      </c>
    </row>
    <row r="2187" spans="1:7">
      <c r="A2187">
        <v>183</v>
      </c>
      <c r="B2187" s="1">
        <v>45962</v>
      </c>
      <c r="C2187">
        <v>19</v>
      </c>
      <c r="D2187">
        <v>10</v>
      </c>
      <c r="E2187">
        <v>9</v>
      </c>
      <c r="F2187">
        <v>1</v>
      </c>
      <c r="G2187">
        <v>52.6</v>
      </c>
    </row>
    <row r="2188" spans="1:7">
      <c r="A2188">
        <v>183</v>
      </c>
      <c r="B2188" s="1">
        <v>45992</v>
      </c>
      <c r="C2188">
        <v>18</v>
      </c>
      <c r="D2188">
        <v>10</v>
      </c>
      <c r="E2188">
        <v>8</v>
      </c>
      <c r="F2188">
        <v>1</v>
      </c>
      <c r="G2188">
        <v>55.6</v>
      </c>
    </row>
    <row r="2189" spans="1:7">
      <c r="A2189">
        <v>183</v>
      </c>
      <c r="B2189" s="1">
        <v>46023</v>
      </c>
      <c r="C2189">
        <v>19</v>
      </c>
      <c r="D2189">
        <v>11</v>
      </c>
      <c r="E2189">
        <v>8</v>
      </c>
      <c r="F2189">
        <v>3</v>
      </c>
      <c r="G2189">
        <v>57.9</v>
      </c>
    </row>
    <row r="2190" spans="1:7">
      <c r="A2190">
        <v>183</v>
      </c>
      <c r="B2190" s="1">
        <v>46054</v>
      </c>
      <c r="C2190">
        <v>18</v>
      </c>
      <c r="D2190">
        <v>11</v>
      </c>
      <c r="E2190">
        <v>7</v>
      </c>
      <c r="F2190">
        <v>0</v>
      </c>
      <c r="G2190">
        <v>61.1</v>
      </c>
    </row>
    <row r="2191" spans="1:7">
      <c r="A2191">
        <v>183</v>
      </c>
      <c r="B2191" s="1">
        <v>46082</v>
      </c>
      <c r="C2191">
        <v>21</v>
      </c>
      <c r="D2191">
        <v>14</v>
      </c>
      <c r="E2191">
        <v>7</v>
      </c>
      <c r="F2191">
        <v>3</v>
      </c>
      <c r="G2191">
        <v>66.7</v>
      </c>
    </row>
    <row r="2192" spans="1:7">
      <c r="A2192">
        <v>183</v>
      </c>
      <c r="B2192" s="1">
        <v>46113</v>
      </c>
      <c r="C2192">
        <v>22</v>
      </c>
      <c r="D2192">
        <v>15</v>
      </c>
      <c r="E2192">
        <v>7</v>
      </c>
      <c r="F2192">
        <v>1</v>
      </c>
      <c r="G2192">
        <v>68.2</v>
      </c>
    </row>
    <row r="2193" spans="1:7">
      <c r="A2193">
        <v>183</v>
      </c>
      <c r="B2193" s="1">
        <v>46143</v>
      </c>
      <c r="C2193">
        <v>19</v>
      </c>
      <c r="D2193">
        <v>10</v>
      </c>
      <c r="E2193">
        <v>9</v>
      </c>
      <c r="F2193">
        <v>2</v>
      </c>
      <c r="G2193">
        <v>52.6</v>
      </c>
    </row>
    <row r="2194" spans="1:7">
      <c r="A2194">
        <v>183</v>
      </c>
      <c r="B2194" s="1">
        <v>46174</v>
      </c>
      <c r="C2194">
        <v>21</v>
      </c>
      <c r="D2194">
        <v>15</v>
      </c>
      <c r="E2194">
        <v>6</v>
      </c>
      <c r="F2194">
        <v>5</v>
      </c>
      <c r="G2194">
        <v>71.400000000000006</v>
      </c>
    </row>
    <row r="2195" spans="1:7">
      <c r="A2195">
        <v>183</v>
      </c>
      <c r="B2195" s="1">
        <v>46204</v>
      </c>
      <c r="C2195">
        <v>18</v>
      </c>
      <c r="D2195">
        <v>10</v>
      </c>
      <c r="E2195">
        <v>8</v>
      </c>
      <c r="F2195">
        <v>2</v>
      </c>
      <c r="G2195">
        <v>55.6</v>
      </c>
    </row>
    <row r="2196" spans="1:7">
      <c r="A2196">
        <v>183</v>
      </c>
      <c r="B2196" s="1">
        <v>46235</v>
      </c>
      <c r="C2196">
        <v>18</v>
      </c>
      <c r="D2196">
        <v>10</v>
      </c>
      <c r="E2196">
        <v>8</v>
      </c>
      <c r="F2196">
        <v>2</v>
      </c>
      <c r="G2196">
        <v>55.6</v>
      </c>
    </row>
    <row r="2197" spans="1:7">
      <c r="A2197">
        <v>183</v>
      </c>
      <c r="B2197" s="1">
        <v>46266</v>
      </c>
      <c r="C2197">
        <v>21</v>
      </c>
      <c r="D2197">
        <v>11</v>
      </c>
      <c r="E2197">
        <v>10</v>
      </c>
      <c r="F2197">
        <v>1</v>
      </c>
      <c r="G2197">
        <v>52.4</v>
      </c>
    </row>
    <row r="2198" spans="1:7">
      <c r="A2198">
        <v>184</v>
      </c>
      <c r="B2198" s="1">
        <v>45931</v>
      </c>
      <c r="C2198">
        <v>20</v>
      </c>
      <c r="D2198">
        <v>19</v>
      </c>
      <c r="E2198">
        <v>1</v>
      </c>
      <c r="F2198">
        <v>0</v>
      </c>
      <c r="G2198">
        <v>95</v>
      </c>
    </row>
    <row r="2199" spans="1:7">
      <c r="A2199">
        <v>184</v>
      </c>
      <c r="B2199" s="1">
        <v>45962</v>
      </c>
      <c r="C2199">
        <v>18</v>
      </c>
      <c r="D2199">
        <v>18</v>
      </c>
      <c r="E2199">
        <v>0</v>
      </c>
      <c r="F2199">
        <v>2</v>
      </c>
      <c r="G2199">
        <v>100</v>
      </c>
    </row>
    <row r="2200" spans="1:7">
      <c r="A2200">
        <v>184</v>
      </c>
      <c r="B2200" s="1">
        <v>45992</v>
      </c>
      <c r="C2200">
        <v>19</v>
      </c>
      <c r="D2200">
        <v>19</v>
      </c>
      <c r="E2200">
        <v>0</v>
      </c>
      <c r="F2200">
        <v>0</v>
      </c>
      <c r="G2200">
        <v>100</v>
      </c>
    </row>
    <row r="2201" spans="1:7">
      <c r="A2201">
        <v>184</v>
      </c>
      <c r="B2201" s="1">
        <v>46023</v>
      </c>
      <c r="C2201">
        <v>21</v>
      </c>
      <c r="D2201">
        <v>20</v>
      </c>
      <c r="E2201">
        <v>1</v>
      </c>
      <c r="F2201">
        <v>1</v>
      </c>
      <c r="G2201">
        <v>95.2</v>
      </c>
    </row>
    <row r="2202" spans="1:7">
      <c r="A2202">
        <v>184</v>
      </c>
      <c r="B2202" s="1">
        <v>46054</v>
      </c>
      <c r="C2202">
        <v>20</v>
      </c>
      <c r="D2202">
        <v>18</v>
      </c>
      <c r="E2202">
        <v>2</v>
      </c>
      <c r="F2202">
        <v>2</v>
      </c>
      <c r="G2202">
        <v>90</v>
      </c>
    </row>
    <row r="2203" spans="1:7">
      <c r="A2203">
        <v>184</v>
      </c>
      <c r="B2203" s="1">
        <v>46082</v>
      </c>
      <c r="C2203">
        <v>18</v>
      </c>
      <c r="D2203">
        <v>18</v>
      </c>
      <c r="E2203">
        <v>0</v>
      </c>
      <c r="F2203">
        <v>0</v>
      </c>
      <c r="G2203">
        <v>100</v>
      </c>
    </row>
    <row r="2204" spans="1:7">
      <c r="A2204">
        <v>184</v>
      </c>
      <c r="B2204" s="1">
        <v>46113</v>
      </c>
      <c r="C2204">
        <v>18</v>
      </c>
      <c r="D2204">
        <v>18</v>
      </c>
      <c r="E2204">
        <v>0</v>
      </c>
      <c r="F2204">
        <v>1</v>
      </c>
      <c r="G2204">
        <v>100</v>
      </c>
    </row>
    <row r="2205" spans="1:7">
      <c r="A2205">
        <v>184</v>
      </c>
      <c r="B2205" s="1">
        <v>46143</v>
      </c>
      <c r="C2205">
        <v>20</v>
      </c>
      <c r="D2205">
        <v>20</v>
      </c>
      <c r="E2205">
        <v>0</v>
      </c>
      <c r="F2205">
        <v>2</v>
      </c>
      <c r="G2205">
        <v>100</v>
      </c>
    </row>
    <row r="2206" spans="1:7">
      <c r="A2206">
        <v>184</v>
      </c>
      <c r="B2206" s="1">
        <v>46174</v>
      </c>
      <c r="C2206">
        <v>20</v>
      </c>
      <c r="D2206">
        <v>20</v>
      </c>
      <c r="E2206">
        <v>0</v>
      </c>
      <c r="F2206">
        <v>2</v>
      </c>
      <c r="G2206">
        <v>100</v>
      </c>
    </row>
    <row r="2207" spans="1:7">
      <c r="A2207">
        <v>184</v>
      </c>
      <c r="B2207" s="1">
        <v>46204</v>
      </c>
      <c r="C2207">
        <v>19</v>
      </c>
      <c r="D2207">
        <v>19</v>
      </c>
      <c r="E2207">
        <v>0</v>
      </c>
      <c r="F2207">
        <v>2</v>
      </c>
      <c r="G2207">
        <v>100</v>
      </c>
    </row>
    <row r="2208" spans="1:7">
      <c r="A2208">
        <v>184</v>
      </c>
      <c r="B2208" s="1">
        <v>46235</v>
      </c>
      <c r="C2208">
        <v>19</v>
      </c>
      <c r="D2208">
        <v>19</v>
      </c>
      <c r="E2208">
        <v>0</v>
      </c>
      <c r="F2208">
        <v>0</v>
      </c>
      <c r="G2208">
        <v>100</v>
      </c>
    </row>
    <row r="2209" spans="1:7">
      <c r="A2209">
        <v>184</v>
      </c>
      <c r="B2209" s="1">
        <v>46266</v>
      </c>
      <c r="C2209">
        <v>19</v>
      </c>
      <c r="D2209">
        <v>19</v>
      </c>
      <c r="E2209">
        <v>0</v>
      </c>
      <c r="F2209">
        <v>0</v>
      </c>
      <c r="G2209">
        <v>100</v>
      </c>
    </row>
    <row r="2210" spans="1:7">
      <c r="A2210">
        <v>185</v>
      </c>
      <c r="B2210" s="1">
        <v>45931</v>
      </c>
      <c r="C2210">
        <v>18</v>
      </c>
      <c r="D2210">
        <v>15</v>
      </c>
      <c r="E2210">
        <v>3</v>
      </c>
      <c r="F2210">
        <v>5</v>
      </c>
      <c r="G2210">
        <v>83.3</v>
      </c>
    </row>
    <row r="2211" spans="1:7">
      <c r="A2211">
        <v>185</v>
      </c>
      <c r="B2211" s="1">
        <v>45962</v>
      </c>
      <c r="C2211">
        <v>19</v>
      </c>
      <c r="D2211">
        <v>15</v>
      </c>
      <c r="E2211">
        <v>4</v>
      </c>
      <c r="F2211">
        <v>1</v>
      </c>
      <c r="G2211">
        <v>78.900000000000006</v>
      </c>
    </row>
    <row r="2212" spans="1:7">
      <c r="A2212">
        <v>185</v>
      </c>
      <c r="B2212" s="1">
        <v>45992</v>
      </c>
      <c r="C2212">
        <v>21</v>
      </c>
      <c r="D2212">
        <v>14</v>
      </c>
      <c r="E2212">
        <v>7</v>
      </c>
      <c r="F2212">
        <v>4</v>
      </c>
      <c r="G2212">
        <v>66.7</v>
      </c>
    </row>
    <row r="2213" spans="1:7">
      <c r="A2213">
        <v>185</v>
      </c>
      <c r="B2213" s="1">
        <v>46023</v>
      </c>
      <c r="C2213">
        <v>22</v>
      </c>
      <c r="D2213">
        <v>16</v>
      </c>
      <c r="E2213">
        <v>6</v>
      </c>
      <c r="F2213">
        <v>2</v>
      </c>
      <c r="G2213">
        <v>72.7</v>
      </c>
    </row>
    <row r="2214" spans="1:7">
      <c r="A2214">
        <v>185</v>
      </c>
      <c r="B2214" s="1">
        <v>46054</v>
      </c>
      <c r="C2214">
        <v>20</v>
      </c>
      <c r="D2214">
        <v>14</v>
      </c>
      <c r="E2214">
        <v>6</v>
      </c>
      <c r="F2214">
        <v>1</v>
      </c>
      <c r="G2214">
        <v>70</v>
      </c>
    </row>
    <row r="2215" spans="1:7">
      <c r="A2215">
        <v>185</v>
      </c>
      <c r="B2215" s="1">
        <v>46082</v>
      </c>
      <c r="C2215">
        <v>22</v>
      </c>
      <c r="D2215">
        <v>21</v>
      </c>
      <c r="E2215">
        <v>1</v>
      </c>
      <c r="F2215">
        <v>1</v>
      </c>
      <c r="G2215">
        <v>95.5</v>
      </c>
    </row>
    <row r="2216" spans="1:7">
      <c r="A2216">
        <v>185</v>
      </c>
      <c r="B2216" s="1">
        <v>46113</v>
      </c>
      <c r="C2216">
        <v>18</v>
      </c>
      <c r="D2216">
        <v>10</v>
      </c>
      <c r="E2216">
        <v>8</v>
      </c>
      <c r="F2216">
        <v>5</v>
      </c>
      <c r="G2216">
        <v>55.6</v>
      </c>
    </row>
    <row r="2217" spans="1:7">
      <c r="A2217">
        <v>185</v>
      </c>
      <c r="B2217" s="1">
        <v>46143</v>
      </c>
      <c r="C2217">
        <v>20</v>
      </c>
      <c r="D2217">
        <v>12</v>
      </c>
      <c r="E2217">
        <v>8</v>
      </c>
      <c r="F2217">
        <v>6</v>
      </c>
      <c r="G2217">
        <v>60</v>
      </c>
    </row>
    <row r="2218" spans="1:7">
      <c r="A2218">
        <v>185</v>
      </c>
      <c r="B2218" s="1">
        <v>46174</v>
      </c>
      <c r="C2218">
        <v>22</v>
      </c>
      <c r="D2218">
        <v>11</v>
      </c>
      <c r="E2218">
        <v>11</v>
      </c>
      <c r="F2218">
        <v>3</v>
      </c>
      <c r="G2218">
        <v>50</v>
      </c>
    </row>
    <row r="2219" spans="1:7">
      <c r="A2219">
        <v>185</v>
      </c>
      <c r="B2219" s="1">
        <v>46204</v>
      </c>
      <c r="C2219">
        <v>18</v>
      </c>
      <c r="D2219">
        <v>12</v>
      </c>
      <c r="E2219">
        <v>6</v>
      </c>
      <c r="F2219">
        <v>3</v>
      </c>
      <c r="G2219">
        <v>66.7</v>
      </c>
    </row>
    <row r="2220" spans="1:7">
      <c r="A2220">
        <v>185</v>
      </c>
      <c r="B2220" s="1">
        <v>46235</v>
      </c>
      <c r="C2220">
        <v>18</v>
      </c>
      <c r="D2220">
        <v>14</v>
      </c>
      <c r="E2220">
        <v>4</v>
      </c>
      <c r="F2220">
        <v>4</v>
      </c>
      <c r="G2220">
        <v>77.8</v>
      </c>
    </row>
    <row r="2221" spans="1:7">
      <c r="A2221">
        <v>185</v>
      </c>
      <c r="B2221" s="1">
        <v>46266</v>
      </c>
      <c r="C2221">
        <v>18</v>
      </c>
      <c r="D2221">
        <v>11</v>
      </c>
      <c r="E2221">
        <v>7</v>
      </c>
      <c r="F2221">
        <v>1</v>
      </c>
      <c r="G2221">
        <v>61.1</v>
      </c>
    </row>
    <row r="2222" spans="1:7">
      <c r="A2222">
        <v>186</v>
      </c>
      <c r="B2222" s="1">
        <v>45931</v>
      </c>
      <c r="C2222">
        <v>22</v>
      </c>
      <c r="D2222">
        <v>20</v>
      </c>
      <c r="E2222">
        <v>2</v>
      </c>
      <c r="F2222">
        <v>2</v>
      </c>
      <c r="G2222">
        <v>90.9</v>
      </c>
    </row>
    <row r="2223" spans="1:7">
      <c r="A2223">
        <v>186</v>
      </c>
      <c r="B2223" s="1">
        <v>45962</v>
      </c>
      <c r="C2223">
        <v>18</v>
      </c>
      <c r="D2223">
        <v>10</v>
      </c>
      <c r="E2223">
        <v>8</v>
      </c>
      <c r="F2223">
        <v>4</v>
      </c>
      <c r="G2223">
        <v>55.6</v>
      </c>
    </row>
    <row r="2224" spans="1:7">
      <c r="A2224">
        <v>186</v>
      </c>
      <c r="B2224" s="1">
        <v>45992</v>
      </c>
      <c r="C2224">
        <v>18</v>
      </c>
      <c r="D2224">
        <v>14</v>
      </c>
      <c r="E2224">
        <v>4</v>
      </c>
      <c r="F2224">
        <v>5</v>
      </c>
      <c r="G2224">
        <v>77.8</v>
      </c>
    </row>
    <row r="2225" spans="1:7">
      <c r="A2225">
        <v>186</v>
      </c>
      <c r="B2225" s="1">
        <v>46023</v>
      </c>
      <c r="C2225">
        <v>21</v>
      </c>
      <c r="D2225">
        <v>21</v>
      </c>
      <c r="E2225">
        <v>0</v>
      </c>
      <c r="F2225">
        <v>3</v>
      </c>
      <c r="G2225">
        <v>100</v>
      </c>
    </row>
    <row r="2226" spans="1:7">
      <c r="A2226">
        <v>186</v>
      </c>
      <c r="B2226" s="1">
        <v>46054</v>
      </c>
      <c r="C2226">
        <v>22</v>
      </c>
      <c r="D2226">
        <v>15</v>
      </c>
      <c r="E2226">
        <v>7</v>
      </c>
      <c r="F2226">
        <v>1</v>
      </c>
      <c r="G2226">
        <v>68.2</v>
      </c>
    </row>
    <row r="2227" spans="1:7">
      <c r="A2227">
        <v>186</v>
      </c>
      <c r="B2227" s="1">
        <v>46082</v>
      </c>
      <c r="C2227">
        <v>21</v>
      </c>
      <c r="D2227">
        <v>21</v>
      </c>
      <c r="E2227">
        <v>0</v>
      </c>
      <c r="F2227">
        <v>3</v>
      </c>
      <c r="G2227">
        <v>100</v>
      </c>
    </row>
    <row r="2228" spans="1:7">
      <c r="A2228">
        <v>186</v>
      </c>
      <c r="B2228" s="1">
        <v>46113</v>
      </c>
      <c r="C2228">
        <v>22</v>
      </c>
      <c r="D2228">
        <v>19</v>
      </c>
      <c r="E2228">
        <v>3</v>
      </c>
      <c r="F2228">
        <v>2</v>
      </c>
      <c r="G2228">
        <v>86.4</v>
      </c>
    </row>
    <row r="2229" spans="1:7">
      <c r="A2229">
        <v>186</v>
      </c>
      <c r="B2229" s="1">
        <v>46143</v>
      </c>
      <c r="C2229">
        <v>19</v>
      </c>
      <c r="D2229">
        <v>18</v>
      </c>
      <c r="E2229">
        <v>1</v>
      </c>
      <c r="F2229">
        <v>1</v>
      </c>
      <c r="G2229">
        <v>94.7</v>
      </c>
    </row>
    <row r="2230" spans="1:7">
      <c r="A2230">
        <v>186</v>
      </c>
      <c r="B2230" s="1">
        <v>46174</v>
      </c>
      <c r="C2230">
        <v>18</v>
      </c>
      <c r="D2230">
        <v>14</v>
      </c>
      <c r="E2230">
        <v>4</v>
      </c>
      <c r="F2230">
        <v>5</v>
      </c>
      <c r="G2230">
        <v>77.8</v>
      </c>
    </row>
    <row r="2231" spans="1:7">
      <c r="A2231">
        <v>186</v>
      </c>
      <c r="B2231" s="1">
        <v>46204</v>
      </c>
      <c r="C2231">
        <v>18</v>
      </c>
      <c r="D2231">
        <v>14</v>
      </c>
      <c r="E2231">
        <v>4</v>
      </c>
      <c r="F2231">
        <v>6</v>
      </c>
      <c r="G2231">
        <v>77.8</v>
      </c>
    </row>
    <row r="2232" spans="1:7">
      <c r="A2232">
        <v>186</v>
      </c>
      <c r="B2232" s="1">
        <v>46235</v>
      </c>
      <c r="C2232">
        <v>22</v>
      </c>
      <c r="D2232">
        <v>22</v>
      </c>
      <c r="E2232">
        <v>0</v>
      </c>
      <c r="F2232">
        <v>2</v>
      </c>
      <c r="G2232">
        <v>100</v>
      </c>
    </row>
    <row r="2233" spans="1:7">
      <c r="A2233">
        <v>186</v>
      </c>
      <c r="B2233" s="1">
        <v>46266</v>
      </c>
      <c r="C2233">
        <v>20</v>
      </c>
      <c r="D2233">
        <v>16</v>
      </c>
      <c r="E2233">
        <v>4</v>
      </c>
      <c r="F2233">
        <v>6</v>
      </c>
      <c r="G2233">
        <v>80</v>
      </c>
    </row>
    <row r="2234" spans="1:7">
      <c r="A2234">
        <v>187</v>
      </c>
      <c r="B2234" s="1">
        <v>45931</v>
      </c>
      <c r="C2234">
        <v>19</v>
      </c>
      <c r="D2234">
        <v>15</v>
      </c>
      <c r="E2234">
        <v>4</v>
      </c>
      <c r="F2234">
        <v>0</v>
      </c>
      <c r="G2234">
        <v>78.900000000000006</v>
      </c>
    </row>
    <row r="2235" spans="1:7">
      <c r="A2235">
        <v>187</v>
      </c>
      <c r="B2235" s="1">
        <v>45962</v>
      </c>
      <c r="C2235">
        <v>19</v>
      </c>
      <c r="D2235">
        <v>13</v>
      </c>
      <c r="E2235">
        <v>6</v>
      </c>
      <c r="F2235">
        <v>1</v>
      </c>
      <c r="G2235">
        <v>68.400000000000006</v>
      </c>
    </row>
    <row r="2236" spans="1:7">
      <c r="A2236">
        <v>187</v>
      </c>
      <c r="B2236" s="1">
        <v>45992</v>
      </c>
      <c r="C2236">
        <v>18</v>
      </c>
      <c r="D2236">
        <v>15</v>
      </c>
      <c r="E2236">
        <v>3</v>
      </c>
      <c r="F2236">
        <v>5</v>
      </c>
      <c r="G2236">
        <v>83.3</v>
      </c>
    </row>
    <row r="2237" spans="1:7">
      <c r="A2237">
        <v>187</v>
      </c>
      <c r="B2237" s="1">
        <v>46023</v>
      </c>
      <c r="C2237">
        <v>19</v>
      </c>
      <c r="D2237">
        <v>15</v>
      </c>
      <c r="E2237">
        <v>4</v>
      </c>
      <c r="F2237">
        <v>2</v>
      </c>
      <c r="G2237">
        <v>78.900000000000006</v>
      </c>
    </row>
    <row r="2238" spans="1:7">
      <c r="A2238">
        <v>187</v>
      </c>
      <c r="B2238" s="1">
        <v>46054</v>
      </c>
      <c r="C2238">
        <v>19</v>
      </c>
      <c r="D2238">
        <v>15</v>
      </c>
      <c r="E2238">
        <v>4</v>
      </c>
      <c r="F2238">
        <v>5</v>
      </c>
      <c r="G2238">
        <v>78.900000000000006</v>
      </c>
    </row>
    <row r="2239" spans="1:7">
      <c r="A2239">
        <v>187</v>
      </c>
      <c r="B2239" s="1">
        <v>46082</v>
      </c>
      <c r="C2239">
        <v>19</v>
      </c>
      <c r="D2239">
        <v>11</v>
      </c>
      <c r="E2239">
        <v>8</v>
      </c>
      <c r="F2239">
        <v>6</v>
      </c>
      <c r="G2239">
        <v>57.9</v>
      </c>
    </row>
    <row r="2240" spans="1:7">
      <c r="A2240">
        <v>187</v>
      </c>
      <c r="B2240" s="1">
        <v>46113</v>
      </c>
      <c r="C2240">
        <v>19</v>
      </c>
      <c r="D2240">
        <v>14</v>
      </c>
      <c r="E2240">
        <v>5</v>
      </c>
      <c r="F2240">
        <v>2</v>
      </c>
      <c r="G2240">
        <v>73.7</v>
      </c>
    </row>
    <row r="2241" spans="1:7">
      <c r="A2241">
        <v>187</v>
      </c>
      <c r="B2241" s="1">
        <v>46143</v>
      </c>
      <c r="C2241">
        <v>22</v>
      </c>
      <c r="D2241">
        <v>17</v>
      </c>
      <c r="E2241">
        <v>5</v>
      </c>
      <c r="F2241">
        <v>2</v>
      </c>
      <c r="G2241">
        <v>77.3</v>
      </c>
    </row>
    <row r="2242" spans="1:7">
      <c r="A2242">
        <v>187</v>
      </c>
      <c r="B2242" s="1">
        <v>46174</v>
      </c>
      <c r="C2242">
        <v>20</v>
      </c>
      <c r="D2242">
        <v>13</v>
      </c>
      <c r="E2242">
        <v>7</v>
      </c>
      <c r="F2242">
        <v>4</v>
      </c>
      <c r="G2242">
        <v>65</v>
      </c>
    </row>
    <row r="2243" spans="1:7">
      <c r="A2243">
        <v>187</v>
      </c>
      <c r="B2243" s="1">
        <v>46204</v>
      </c>
      <c r="C2243">
        <v>20</v>
      </c>
      <c r="D2243">
        <v>14</v>
      </c>
      <c r="E2243">
        <v>6</v>
      </c>
      <c r="F2243">
        <v>5</v>
      </c>
      <c r="G2243">
        <v>70</v>
      </c>
    </row>
    <row r="2244" spans="1:7">
      <c r="A2244">
        <v>187</v>
      </c>
      <c r="B2244" s="1">
        <v>46235</v>
      </c>
      <c r="C2244">
        <v>19</v>
      </c>
      <c r="D2244">
        <v>17</v>
      </c>
      <c r="E2244">
        <v>2</v>
      </c>
      <c r="F2244">
        <v>2</v>
      </c>
      <c r="G2244">
        <v>89.5</v>
      </c>
    </row>
    <row r="2245" spans="1:7">
      <c r="A2245">
        <v>187</v>
      </c>
      <c r="B2245" s="1">
        <v>46266</v>
      </c>
      <c r="C2245">
        <v>18</v>
      </c>
      <c r="D2245">
        <v>12</v>
      </c>
      <c r="E2245">
        <v>6</v>
      </c>
      <c r="F2245">
        <v>5</v>
      </c>
      <c r="G2245">
        <v>66.7</v>
      </c>
    </row>
    <row r="2246" spans="1:7">
      <c r="A2246">
        <v>188</v>
      </c>
      <c r="B2246" s="1">
        <v>45931</v>
      </c>
      <c r="C2246">
        <v>18</v>
      </c>
      <c r="D2246">
        <v>17</v>
      </c>
      <c r="E2246">
        <v>1</v>
      </c>
      <c r="F2246">
        <v>2</v>
      </c>
      <c r="G2246">
        <v>94.4</v>
      </c>
    </row>
    <row r="2247" spans="1:7">
      <c r="A2247">
        <v>188</v>
      </c>
      <c r="B2247" s="1">
        <v>45962</v>
      </c>
      <c r="C2247">
        <v>19</v>
      </c>
      <c r="D2247">
        <v>19</v>
      </c>
      <c r="E2247">
        <v>0</v>
      </c>
      <c r="F2247">
        <v>2</v>
      </c>
      <c r="G2247">
        <v>100</v>
      </c>
    </row>
    <row r="2248" spans="1:7">
      <c r="A2248">
        <v>188</v>
      </c>
      <c r="B2248" s="1">
        <v>45992</v>
      </c>
      <c r="C2248">
        <v>18</v>
      </c>
      <c r="D2248">
        <v>18</v>
      </c>
      <c r="E2248">
        <v>0</v>
      </c>
      <c r="F2248">
        <v>0</v>
      </c>
      <c r="G2248">
        <v>100</v>
      </c>
    </row>
    <row r="2249" spans="1:7">
      <c r="A2249">
        <v>188</v>
      </c>
      <c r="B2249" s="1">
        <v>46023</v>
      </c>
      <c r="C2249">
        <v>21</v>
      </c>
      <c r="D2249">
        <v>21</v>
      </c>
      <c r="E2249">
        <v>0</v>
      </c>
      <c r="F2249">
        <v>2</v>
      </c>
      <c r="G2249">
        <v>100</v>
      </c>
    </row>
    <row r="2250" spans="1:7">
      <c r="A2250">
        <v>188</v>
      </c>
      <c r="B2250" s="1">
        <v>46054</v>
      </c>
      <c r="C2250">
        <v>22</v>
      </c>
      <c r="D2250">
        <v>22</v>
      </c>
      <c r="E2250">
        <v>0</v>
      </c>
      <c r="F2250">
        <v>1</v>
      </c>
      <c r="G2250">
        <v>100</v>
      </c>
    </row>
    <row r="2251" spans="1:7">
      <c r="A2251">
        <v>188</v>
      </c>
      <c r="B2251" s="1">
        <v>46082</v>
      </c>
      <c r="C2251">
        <v>20</v>
      </c>
      <c r="D2251">
        <v>20</v>
      </c>
      <c r="E2251">
        <v>0</v>
      </c>
      <c r="F2251">
        <v>2</v>
      </c>
      <c r="G2251">
        <v>100</v>
      </c>
    </row>
    <row r="2252" spans="1:7">
      <c r="A2252">
        <v>188</v>
      </c>
      <c r="B2252" s="1">
        <v>46113</v>
      </c>
      <c r="C2252">
        <v>19</v>
      </c>
      <c r="D2252">
        <v>19</v>
      </c>
      <c r="E2252">
        <v>0</v>
      </c>
      <c r="F2252">
        <v>3</v>
      </c>
      <c r="G2252">
        <v>100</v>
      </c>
    </row>
    <row r="2253" spans="1:7">
      <c r="A2253">
        <v>188</v>
      </c>
      <c r="B2253" s="1">
        <v>46143</v>
      </c>
      <c r="C2253">
        <v>19</v>
      </c>
      <c r="D2253">
        <v>19</v>
      </c>
      <c r="E2253">
        <v>0</v>
      </c>
      <c r="F2253">
        <v>3</v>
      </c>
      <c r="G2253">
        <v>100</v>
      </c>
    </row>
    <row r="2254" spans="1:7">
      <c r="A2254">
        <v>188</v>
      </c>
      <c r="B2254" s="1">
        <v>46174</v>
      </c>
      <c r="C2254">
        <v>19</v>
      </c>
      <c r="D2254">
        <v>19</v>
      </c>
      <c r="E2254">
        <v>0</v>
      </c>
      <c r="F2254">
        <v>1</v>
      </c>
      <c r="G2254">
        <v>100</v>
      </c>
    </row>
    <row r="2255" spans="1:7">
      <c r="A2255">
        <v>188</v>
      </c>
      <c r="B2255" s="1">
        <v>46204</v>
      </c>
      <c r="C2255">
        <v>21</v>
      </c>
      <c r="D2255">
        <v>21</v>
      </c>
      <c r="E2255">
        <v>0</v>
      </c>
      <c r="F2255">
        <v>0</v>
      </c>
      <c r="G2255">
        <v>100</v>
      </c>
    </row>
    <row r="2256" spans="1:7">
      <c r="A2256">
        <v>188</v>
      </c>
      <c r="B2256" s="1">
        <v>46235</v>
      </c>
      <c r="C2256">
        <v>21</v>
      </c>
      <c r="D2256">
        <v>21</v>
      </c>
      <c r="E2256">
        <v>0</v>
      </c>
      <c r="F2256">
        <v>1</v>
      </c>
      <c r="G2256">
        <v>100</v>
      </c>
    </row>
    <row r="2257" spans="1:7">
      <c r="A2257">
        <v>188</v>
      </c>
      <c r="B2257" s="1">
        <v>46266</v>
      </c>
      <c r="C2257">
        <v>19</v>
      </c>
      <c r="D2257">
        <v>18</v>
      </c>
      <c r="E2257">
        <v>1</v>
      </c>
      <c r="F2257">
        <v>4</v>
      </c>
      <c r="G2257">
        <v>94.7</v>
      </c>
    </row>
    <row r="2258" spans="1:7">
      <c r="A2258">
        <v>189</v>
      </c>
      <c r="B2258" s="1">
        <v>45931</v>
      </c>
      <c r="C2258">
        <v>21</v>
      </c>
      <c r="D2258">
        <v>14</v>
      </c>
      <c r="E2258">
        <v>7</v>
      </c>
      <c r="F2258">
        <v>2</v>
      </c>
      <c r="G2258">
        <v>66.7</v>
      </c>
    </row>
    <row r="2259" spans="1:7">
      <c r="A2259">
        <v>189</v>
      </c>
      <c r="B2259" s="1">
        <v>45962</v>
      </c>
      <c r="C2259">
        <v>18</v>
      </c>
      <c r="D2259">
        <v>12</v>
      </c>
      <c r="E2259">
        <v>6</v>
      </c>
      <c r="F2259">
        <v>2</v>
      </c>
      <c r="G2259">
        <v>66.7</v>
      </c>
    </row>
    <row r="2260" spans="1:7">
      <c r="A2260">
        <v>189</v>
      </c>
      <c r="B2260" s="1">
        <v>45992</v>
      </c>
      <c r="C2260">
        <v>19</v>
      </c>
      <c r="D2260">
        <v>10</v>
      </c>
      <c r="E2260">
        <v>9</v>
      </c>
      <c r="F2260">
        <v>5</v>
      </c>
      <c r="G2260">
        <v>52.6</v>
      </c>
    </row>
    <row r="2261" spans="1:7">
      <c r="A2261">
        <v>189</v>
      </c>
      <c r="B2261" s="1">
        <v>46023</v>
      </c>
      <c r="C2261">
        <v>22</v>
      </c>
      <c r="D2261">
        <v>18</v>
      </c>
      <c r="E2261">
        <v>4</v>
      </c>
      <c r="F2261">
        <v>1</v>
      </c>
      <c r="G2261">
        <v>81.8</v>
      </c>
    </row>
    <row r="2262" spans="1:7">
      <c r="A2262">
        <v>189</v>
      </c>
      <c r="B2262" s="1">
        <v>46054</v>
      </c>
      <c r="C2262">
        <v>18</v>
      </c>
      <c r="D2262">
        <v>10</v>
      </c>
      <c r="E2262">
        <v>8</v>
      </c>
      <c r="F2262">
        <v>3</v>
      </c>
      <c r="G2262">
        <v>55.6</v>
      </c>
    </row>
    <row r="2263" spans="1:7">
      <c r="A2263">
        <v>189</v>
      </c>
      <c r="B2263" s="1">
        <v>46082</v>
      </c>
      <c r="C2263">
        <v>21</v>
      </c>
      <c r="D2263">
        <v>13</v>
      </c>
      <c r="E2263">
        <v>8</v>
      </c>
      <c r="F2263">
        <v>0</v>
      </c>
      <c r="G2263">
        <v>61.9</v>
      </c>
    </row>
    <row r="2264" spans="1:7">
      <c r="A2264">
        <v>189</v>
      </c>
      <c r="B2264" s="1">
        <v>46113</v>
      </c>
      <c r="C2264">
        <v>22</v>
      </c>
      <c r="D2264">
        <v>14</v>
      </c>
      <c r="E2264">
        <v>8</v>
      </c>
      <c r="F2264">
        <v>0</v>
      </c>
      <c r="G2264">
        <v>63.6</v>
      </c>
    </row>
    <row r="2265" spans="1:7">
      <c r="A2265">
        <v>189</v>
      </c>
      <c r="B2265" s="1">
        <v>46143</v>
      </c>
      <c r="C2265">
        <v>22</v>
      </c>
      <c r="D2265">
        <v>13</v>
      </c>
      <c r="E2265">
        <v>9</v>
      </c>
      <c r="F2265">
        <v>0</v>
      </c>
      <c r="G2265">
        <v>59.1</v>
      </c>
    </row>
    <row r="2266" spans="1:7">
      <c r="A2266">
        <v>189</v>
      </c>
      <c r="B2266" s="1">
        <v>46174</v>
      </c>
      <c r="C2266">
        <v>21</v>
      </c>
      <c r="D2266">
        <v>15</v>
      </c>
      <c r="E2266">
        <v>6</v>
      </c>
      <c r="F2266">
        <v>0</v>
      </c>
      <c r="G2266">
        <v>71.400000000000006</v>
      </c>
    </row>
    <row r="2267" spans="1:7">
      <c r="A2267">
        <v>189</v>
      </c>
      <c r="B2267" s="1">
        <v>46204</v>
      </c>
      <c r="C2267">
        <v>18</v>
      </c>
      <c r="D2267">
        <v>11</v>
      </c>
      <c r="E2267">
        <v>7</v>
      </c>
      <c r="F2267">
        <v>1</v>
      </c>
      <c r="G2267">
        <v>61.1</v>
      </c>
    </row>
    <row r="2268" spans="1:7">
      <c r="A2268">
        <v>189</v>
      </c>
      <c r="B2268" s="1">
        <v>46235</v>
      </c>
      <c r="C2268">
        <v>19</v>
      </c>
      <c r="D2268">
        <v>13</v>
      </c>
      <c r="E2268">
        <v>6</v>
      </c>
      <c r="F2268">
        <v>5</v>
      </c>
      <c r="G2268">
        <v>68.400000000000006</v>
      </c>
    </row>
    <row r="2269" spans="1:7">
      <c r="A2269">
        <v>189</v>
      </c>
      <c r="B2269" s="1">
        <v>46266</v>
      </c>
      <c r="C2269">
        <v>22</v>
      </c>
      <c r="D2269">
        <v>17</v>
      </c>
      <c r="E2269">
        <v>5</v>
      </c>
      <c r="F2269">
        <v>0</v>
      </c>
      <c r="G2269">
        <v>77.3</v>
      </c>
    </row>
    <row r="2270" spans="1:7">
      <c r="A2270">
        <v>190</v>
      </c>
      <c r="B2270" s="1">
        <v>45931</v>
      </c>
      <c r="C2270">
        <v>18</v>
      </c>
      <c r="D2270">
        <v>15</v>
      </c>
      <c r="E2270">
        <v>3</v>
      </c>
      <c r="F2270">
        <v>5</v>
      </c>
      <c r="G2270">
        <v>83.3</v>
      </c>
    </row>
    <row r="2271" spans="1:7">
      <c r="A2271">
        <v>190</v>
      </c>
      <c r="B2271" s="1">
        <v>45962</v>
      </c>
      <c r="C2271">
        <v>20</v>
      </c>
      <c r="D2271">
        <v>18</v>
      </c>
      <c r="E2271">
        <v>2</v>
      </c>
      <c r="F2271">
        <v>5</v>
      </c>
      <c r="G2271">
        <v>90</v>
      </c>
    </row>
    <row r="2272" spans="1:7">
      <c r="A2272">
        <v>190</v>
      </c>
      <c r="B2272" s="1">
        <v>45992</v>
      </c>
      <c r="C2272">
        <v>18</v>
      </c>
      <c r="D2272">
        <v>15</v>
      </c>
      <c r="E2272">
        <v>3</v>
      </c>
      <c r="F2272">
        <v>4</v>
      </c>
      <c r="G2272">
        <v>83.3</v>
      </c>
    </row>
    <row r="2273" spans="1:7">
      <c r="A2273">
        <v>190</v>
      </c>
      <c r="B2273" s="1">
        <v>46023</v>
      </c>
      <c r="C2273">
        <v>21</v>
      </c>
      <c r="D2273">
        <v>17</v>
      </c>
      <c r="E2273">
        <v>4</v>
      </c>
      <c r="F2273">
        <v>6</v>
      </c>
      <c r="G2273">
        <v>81</v>
      </c>
    </row>
    <row r="2274" spans="1:7">
      <c r="A2274">
        <v>190</v>
      </c>
      <c r="B2274" s="1">
        <v>46054</v>
      </c>
      <c r="C2274">
        <v>19</v>
      </c>
      <c r="D2274">
        <v>18</v>
      </c>
      <c r="E2274">
        <v>1</v>
      </c>
      <c r="F2274">
        <v>1</v>
      </c>
      <c r="G2274">
        <v>94.7</v>
      </c>
    </row>
    <row r="2275" spans="1:7">
      <c r="A2275">
        <v>190</v>
      </c>
      <c r="B2275" s="1">
        <v>46082</v>
      </c>
      <c r="C2275">
        <v>18</v>
      </c>
      <c r="D2275">
        <v>14</v>
      </c>
      <c r="E2275">
        <v>4</v>
      </c>
      <c r="F2275">
        <v>4</v>
      </c>
      <c r="G2275">
        <v>77.8</v>
      </c>
    </row>
    <row r="2276" spans="1:7">
      <c r="A2276">
        <v>190</v>
      </c>
      <c r="B2276" s="1">
        <v>46113</v>
      </c>
      <c r="C2276">
        <v>20</v>
      </c>
      <c r="D2276">
        <v>19</v>
      </c>
      <c r="E2276">
        <v>1</v>
      </c>
      <c r="F2276">
        <v>0</v>
      </c>
      <c r="G2276">
        <v>95</v>
      </c>
    </row>
    <row r="2277" spans="1:7">
      <c r="A2277">
        <v>190</v>
      </c>
      <c r="B2277" s="1">
        <v>46143</v>
      </c>
      <c r="C2277">
        <v>18</v>
      </c>
      <c r="D2277">
        <v>17</v>
      </c>
      <c r="E2277">
        <v>1</v>
      </c>
      <c r="F2277">
        <v>4</v>
      </c>
      <c r="G2277">
        <v>94.4</v>
      </c>
    </row>
    <row r="2278" spans="1:7">
      <c r="A2278">
        <v>190</v>
      </c>
      <c r="B2278" s="1">
        <v>46174</v>
      </c>
      <c r="C2278">
        <v>20</v>
      </c>
      <c r="D2278">
        <v>15</v>
      </c>
      <c r="E2278">
        <v>5</v>
      </c>
      <c r="F2278">
        <v>3</v>
      </c>
      <c r="G2278">
        <v>75</v>
      </c>
    </row>
    <row r="2279" spans="1:7">
      <c r="A2279">
        <v>190</v>
      </c>
      <c r="B2279" s="1">
        <v>46204</v>
      </c>
      <c r="C2279">
        <v>19</v>
      </c>
      <c r="D2279">
        <v>15</v>
      </c>
      <c r="E2279">
        <v>4</v>
      </c>
      <c r="F2279">
        <v>0</v>
      </c>
      <c r="G2279">
        <v>78.900000000000006</v>
      </c>
    </row>
    <row r="2280" spans="1:7">
      <c r="A2280">
        <v>190</v>
      </c>
      <c r="B2280" s="1">
        <v>46235</v>
      </c>
      <c r="C2280">
        <v>19</v>
      </c>
      <c r="D2280">
        <v>15</v>
      </c>
      <c r="E2280">
        <v>4</v>
      </c>
      <c r="F2280">
        <v>1</v>
      </c>
      <c r="G2280">
        <v>78.900000000000006</v>
      </c>
    </row>
    <row r="2281" spans="1:7">
      <c r="A2281">
        <v>190</v>
      </c>
      <c r="B2281" s="1">
        <v>46266</v>
      </c>
      <c r="C2281">
        <v>20</v>
      </c>
      <c r="D2281">
        <v>18</v>
      </c>
      <c r="E2281">
        <v>2</v>
      </c>
      <c r="F2281">
        <v>5</v>
      </c>
      <c r="G2281">
        <v>90</v>
      </c>
    </row>
    <row r="2282" spans="1:7">
      <c r="A2282">
        <v>191</v>
      </c>
      <c r="B2282" s="1">
        <v>45931</v>
      </c>
      <c r="C2282">
        <v>20</v>
      </c>
      <c r="D2282">
        <v>16</v>
      </c>
      <c r="E2282">
        <v>4</v>
      </c>
      <c r="F2282">
        <v>3</v>
      </c>
      <c r="G2282">
        <v>80</v>
      </c>
    </row>
    <row r="2283" spans="1:7">
      <c r="A2283">
        <v>191</v>
      </c>
      <c r="B2283" s="1">
        <v>45962</v>
      </c>
      <c r="C2283">
        <v>18</v>
      </c>
      <c r="D2283">
        <v>10</v>
      </c>
      <c r="E2283">
        <v>8</v>
      </c>
      <c r="F2283">
        <v>3</v>
      </c>
      <c r="G2283">
        <v>55.6</v>
      </c>
    </row>
    <row r="2284" spans="1:7">
      <c r="A2284">
        <v>191</v>
      </c>
      <c r="B2284" s="1">
        <v>45992</v>
      </c>
      <c r="C2284">
        <v>19</v>
      </c>
      <c r="D2284">
        <v>14</v>
      </c>
      <c r="E2284">
        <v>5</v>
      </c>
      <c r="F2284">
        <v>2</v>
      </c>
      <c r="G2284">
        <v>73.7</v>
      </c>
    </row>
    <row r="2285" spans="1:7">
      <c r="A2285">
        <v>191</v>
      </c>
      <c r="B2285" s="1">
        <v>46023</v>
      </c>
      <c r="C2285">
        <v>20</v>
      </c>
      <c r="D2285">
        <v>17</v>
      </c>
      <c r="E2285">
        <v>3</v>
      </c>
      <c r="F2285">
        <v>0</v>
      </c>
      <c r="G2285">
        <v>85</v>
      </c>
    </row>
    <row r="2286" spans="1:7">
      <c r="A2286">
        <v>191</v>
      </c>
      <c r="B2286" s="1">
        <v>46054</v>
      </c>
      <c r="C2286">
        <v>22</v>
      </c>
      <c r="D2286">
        <v>19</v>
      </c>
      <c r="E2286">
        <v>3</v>
      </c>
      <c r="F2286">
        <v>0</v>
      </c>
      <c r="G2286">
        <v>86.4</v>
      </c>
    </row>
    <row r="2287" spans="1:7">
      <c r="A2287">
        <v>191</v>
      </c>
      <c r="B2287" s="1">
        <v>46082</v>
      </c>
      <c r="C2287">
        <v>18</v>
      </c>
      <c r="D2287">
        <v>13</v>
      </c>
      <c r="E2287">
        <v>5</v>
      </c>
      <c r="F2287">
        <v>4</v>
      </c>
      <c r="G2287">
        <v>72.2</v>
      </c>
    </row>
    <row r="2288" spans="1:7">
      <c r="A2288">
        <v>191</v>
      </c>
      <c r="B2288" s="1">
        <v>46113</v>
      </c>
      <c r="C2288">
        <v>19</v>
      </c>
      <c r="D2288">
        <v>14</v>
      </c>
      <c r="E2288">
        <v>5</v>
      </c>
      <c r="F2288">
        <v>4</v>
      </c>
      <c r="G2288">
        <v>73.7</v>
      </c>
    </row>
    <row r="2289" spans="1:7">
      <c r="A2289">
        <v>191</v>
      </c>
      <c r="B2289" s="1">
        <v>46143</v>
      </c>
      <c r="C2289">
        <v>19</v>
      </c>
      <c r="D2289">
        <v>13</v>
      </c>
      <c r="E2289">
        <v>6</v>
      </c>
      <c r="F2289">
        <v>5</v>
      </c>
      <c r="G2289">
        <v>68.400000000000006</v>
      </c>
    </row>
    <row r="2290" spans="1:7">
      <c r="A2290">
        <v>191</v>
      </c>
      <c r="B2290" s="1">
        <v>46174</v>
      </c>
      <c r="C2290">
        <v>21</v>
      </c>
      <c r="D2290">
        <v>16</v>
      </c>
      <c r="E2290">
        <v>5</v>
      </c>
      <c r="F2290">
        <v>2</v>
      </c>
      <c r="G2290">
        <v>76.2</v>
      </c>
    </row>
    <row r="2291" spans="1:7">
      <c r="A2291">
        <v>191</v>
      </c>
      <c r="B2291" s="1">
        <v>46204</v>
      </c>
      <c r="C2291">
        <v>22</v>
      </c>
      <c r="D2291">
        <v>16</v>
      </c>
      <c r="E2291">
        <v>6</v>
      </c>
      <c r="F2291">
        <v>6</v>
      </c>
      <c r="G2291">
        <v>72.7</v>
      </c>
    </row>
    <row r="2292" spans="1:7">
      <c r="A2292">
        <v>191</v>
      </c>
      <c r="B2292" s="1">
        <v>46235</v>
      </c>
      <c r="C2292">
        <v>20</v>
      </c>
      <c r="D2292">
        <v>17</v>
      </c>
      <c r="E2292">
        <v>3</v>
      </c>
      <c r="F2292">
        <v>3</v>
      </c>
      <c r="G2292">
        <v>85</v>
      </c>
    </row>
    <row r="2293" spans="1:7">
      <c r="A2293">
        <v>191</v>
      </c>
      <c r="B2293" s="1">
        <v>46266</v>
      </c>
      <c r="C2293">
        <v>20</v>
      </c>
      <c r="D2293">
        <v>16</v>
      </c>
      <c r="E2293">
        <v>4</v>
      </c>
      <c r="F2293">
        <v>2</v>
      </c>
      <c r="G2293">
        <v>80</v>
      </c>
    </row>
    <row r="2294" spans="1:7">
      <c r="A2294">
        <v>192</v>
      </c>
      <c r="B2294" s="1">
        <v>45931</v>
      </c>
      <c r="C2294">
        <v>18</v>
      </c>
      <c r="D2294">
        <v>10</v>
      </c>
      <c r="E2294">
        <v>8</v>
      </c>
      <c r="F2294">
        <v>1</v>
      </c>
      <c r="G2294">
        <v>55.6</v>
      </c>
    </row>
    <row r="2295" spans="1:7">
      <c r="A2295">
        <v>192</v>
      </c>
      <c r="B2295" s="1">
        <v>45962</v>
      </c>
      <c r="C2295">
        <v>19</v>
      </c>
      <c r="D2295">
        <v>14</v>
      </c>
      <c r="E2295">
        <v>5</v>
      </c>
      <c r="F2295">
        <v>2</v>
      </c>
      <c r="G2295">
        <v>73.7</v>
      </c>
    </row>
    <row r="2296" spans="1:7">
      <c r="A2296">
        <v>192</v>
      </c>
      <c r="B2296" s="1">
        <v>45992</v>
      </c>
      <c r="C2296">
        <v>19</v>
      </c>
      <c r="D2296">
        <v>13</v>
      </c>
      <c r="E2296">
        <v>6</v>
      </c>
      <c r="F2296">
        <v>6</v>
      </c>
      <c r="G2296">
        <v>68.400000000000006</v>
      </c>
    </row>
    <row r="2297" spans="1:7">
      <c r="A2297">
        <v>192</v>
      </c>
      <c r="B2297" s="1">
        <v>46023</v>
      </c>
      <c r="C2297">
        <v>21</v>
      </c>
      <c r="D2297">
        <v>10</v>
      </c>
      <c r="E2297">
        <v>11</v>
      </c>
      <c r="F2297">
        <v>6</v>
      </c>
      <c r="G2297">
        <v>47.6</v>
      </c>
    </row>
    <row r="2298" spans="1:7">
      <c r="A2298">
        <v>192</v>
      </c>
      <c r="B2298" s="1">
        <v>46054</v>
      </c>
      <c r="C2298">
        <v>18</v>
      </c>
      <c r="D2298">
        <v>10</v>
      </c>
      <c r="E2298">
        <v>8</v>
      </c>
      <c r="F2298">
        <v>5</v>
      </c>
      <c r="G2298">
        <v>55.6</v>
      </c>
    </row>
    <row r="2299" spans="1:7">
      <c r="A2299">
        <v>192</v>
      </c>
      <c r="B2299" s="1">
        <v>46082</v>
      </c>
      <c r="C2299">
        <v>20</v>
      </c>
      <c r="D2299">
        <v>10</v>
      </c>
      <c r="E2299">
        <v>10</v>
      </c>
      <c r="F2299">
        <v>1</v>
      </c>
      <c r="G2299">
        <v>50</v>
      </c>
    </row>
    <row r="2300" spans="1:7">
      <c r="A2300">
        <v>192</v>
      </c>
      <c r="B2300" s="1">
        <v>46113</v>
      </c>
      <c r="C2300">
        <v>18</v>
      </c>
      <c r="D2300">
        <v>10</v>
      </c>
      <c r="E2300">
        <v>8</v>
      </c>
      <c r="F2300">
        <v>6</v>
      </c>
      <c r="G2300">
        <v>55.6</v>
      </c>
    </row>
    <row r="2301" spans="1:7">
      <c r="A2301">
        <v>192</v>
      </c>
      <c r="B2301" s="1">
        <v>46143</v>
      </c>
      <c r="C2301">
        <v>21</v>
      </c>
      <c r="D2301">
        <v>11</v>
      </c>
      <c r="E2301">
        <v>10</v>
      </c>
      <c r="F2301">
        <v>2</v>
      </c>
      <c r="G2301">
        <v>52.4</v>
      </c>
    </row>
    <row r="2302" spans="1:7">
      <c r="A2302">
        <v>192</v>
      </c>
      <c r="B2302" s="1">
        <v>46174</v>
      </c>
      <c r="C2302">
        <v>20</v>
      </c>
      <c r="D2302">
        <v>14</v>
      </c>
      <c r="E2302">
        <v>6</v>
      </c>
      <c r="F2302">
        <v>3</v>
      </c>
      <c r="G2302">
        <v>70</v>
      </c>
    </row>
    <row r="2303" spans="1:7">
      <c r="A2303">
        <v>192</v>
      </c>
      <c r="B2303" s="1">
        <v>46204</v>
      </c>
      <c r="C2303">
        <v>22</v>
      </c>
      <c r="D2303">
        <v>13</v>
      </c>
      <c r="E2303">
        <v>9</v>
      </c>
      <c r="F2303">
        <v>6</v>
      </c>
      <c r="G2303">
        <v>59.1</v>
      </c>
    </row>
    <row r="2304" spans="1:7">
      <c r="A2304">
        <v>192</v>
      </c>
      <c r="B2304" s="1">
        <v>46235</v>
      </c>
      <c r="C2304">
        <v>20</v>
      </c>
      <c r="D2304">
        <v>10</v>
      </c>
      <c r="E2304">
        <v>10</v>
      </c>
      <c r="F2304">
        <v>1</v>
      </c>
      <c r="G2304">
        <v>50</v>
      </c>
    </row>
    <row r="2305" spans="1:7">
      <c r="A2305">
        <v>192</v>
      </c>
      <c r="B2305" s="1">
        <v>46266</v>
      </c>
      <c r="C2305">
        <v>21</v>
      </c>
      <c r="D2305">
        <v>10</v>
      </c>
      <c r="E2305">
        <v>11</v>
      </c>
      <c r="F2305">
        <v>3</v>
      </c>
      <c r="G2305">
        <v>47.6</v>
      </c>
    </row>
    <row r="2306" spans="1:7">
      <c r="A2306">
        <v>193</v>
      </c>
      <c r="B2306" s="1">
        <v>45931</v>
      </c>
      <c r="C2306">
        <v>22</v>
      </c>
      <c r="D2306">
        <v>20</v>
      </c>
      <c r="E2306">
        <v>2</v>
      </c>
      <c r="F2306">
        <v>4</v>
      </c>
      <c r="G2306">
        <v>90.9</v>
      </c>
    </row>
    <row r="2307" spans="1:7">
      <c r="A2307">
        <v>193</v>
      </c>
      <c r="B2307" s="1">
        <v>45962</v>
      </c>
      <c r="C2307">
        <v>22</v>
      </c>
      <c r="D2307">
        <v>17</v>
      </c>
      <c r="E2307">
        <v>5</v>
      </c>
      <c r="F2307">
        <v>6</v>
      </c>
      <c r="G2307">
        <v>77.3</v>
      </c>
    </row>
    <row r="2308" spans="1:7">
      <c r="A2308">
        <v>193</v>
      </c>
      <c r="B2308" s="1">
        <v>45992</v>
      </c>
      <c r="C2308">
        <v>19</v>
      </c>
      <c r="D2308">
        <v>16</v>
      </c>
      <c r="E2308">
        <v>3</v>
      </c>
      <c r="F2308">
        <v>3</v>
      </c>
      <c r="G2308">
        <v>84.2</v>
      </c>
    </row>
    <row r="2309" spans="1:7">
      <c r="A2309">
        <v>193</v>
      </c>
      <c r="B2309" s="1">
        <v>46023</v>
      </c>
      <c r="C2309">
        <v>22</v>
      </c>
      <c r="D2309">
        <v>16</v>
      </c>
      <c r="E2309">
        <v>6</v>
      </c>
      <c r="F2309">
        <v>4</v>
      </c>
      <c r="G2309">
        <v>72.7</v>
      </c>
    </row>
    <row r="2310" spans="1:7">
      <c r="A2310">
        <v>193</v>
      </c>
      <c r="B2310" s="1">
        <v>46054</v>
      </c>
      <c r="C2310">
        <v>19</v>
      </c>
      <c r="D2310">
        <v>15</v>
      </c>
      <c r="E2310">
        <v>4</v>
      </c>
      <c r="F2310">
        <v>0</v>
      </c>
      <c r="G2310">
        <v>78.900000000000006</v>
      </c>
    </row>
    <row r="2311" spans="1:7">
      <c r="A2311">
        <v>193</v>
      </c>
      <c r="B2311" s="1">
        <v>46082</v>
      </c>
      <c r="C2311">
        <v>19</v>
      </c>
      <c r="D2311">
        <v>16</v>
      </c>
      <c r="E2311">
        <v>3</v>
      </c>
      <c r="F2311">
        <v>6</v>
      </c>
      <c r="G2311">
        <v>84.2</v>
      </c>
    </row>
    <row r="2312" spans="1:7">
      <c r="A2312">
        <v>193</v>
      </c>
      <c r="B2312" s="1">
        <v>46113</v>
      </c>
      <c r="C2312">
        <v>18</v>
      </c>
      <c r="D2312">
        <v>15</v>
      </c>
      <c r="E2312">
        <v>3</v>
      </c>
      <c r="F2312">
        <v>1</v>
      </c>
      <c r="G2312">
        <v>83.3</v>
      </c>
    </row>
    <row r="2313" spans="1:7">
      <c r="A2313">
        <v>193</v>
      </c>
      <c r="B2313" s="1">
        <v>46143</v>
      </c>
      <c r="C2313">
        <v>18</v>
      </c>
      <c r="D2313">
        <v>12</v>
      </c>
      <c r="E2313">
        <v>6</v>
      </c>
      <c r="F2313">
        <v>0</v>
      </c>
      <c r="G2313">
        <v>66.7</v>
      </c>
    </row>
    <row r="2314" spans="1:7">
      <c r="A2314">
        <v>193</v>
      </c>
      <c r="B2314" s="1">
        <v>46174</v>
      </c>
      <c r="C2314">
        <v>20</v>
      </c>
      <c r="D2314">
        <v>18</v>
      </c>
      <c r="E2314">
        <v>2</v>
      </c>
      <c r="F2314">
        <v>1</v>
      </c>
      <c r="G2314">
        <v>90</v>
      </c>
    </row>
    <row r="2315" spans="1:7">
      <c r="A2315">
        <v>193</v>
      </c>
      <c r="B2315" s="1">
        <v>46204</v>
      </c>
      <c r="C2315">
        <v>20</v>
      </c>
      <c r="D2315">
        <v>12</v>
      </c>
      <c r="E2315">
        <v>8</v>
      </c>
      <c r="F2315">
        <v>3</v>
      </c>
      <c r="G2315">
        <v>60</v>
      </c>
    </row>
    <row r="2316" spans="1:7">
      <c r="A2316">
        <v>193</v>
      </c>
      <c r="B2316" s="1">
        <v>46235</v>
      </c>
      <c r="C2316">
        <v>19</v>
      </c>
      <c r="D2316">
        <v>13</v>
      </c>
      <c r="E2316">
        <v>6</v>
      </c>
      <c r="F2316">
        <v>3</v>
      </c>
      <c r="G2316">
        <v>68.400000000000006</v>
      </c>
    </row>
    <row r="2317" spans="1:7">
      <c r="A2317">
        <v>193</v>
      </c>
      <c r="B2317" s="1">
        <v>46266</v>
      </c>
      <c r="C2317">
        <v>19</v>
      </c>
      <c r="D2317">
        <v>16</v>
      </c>
      <c r="E2317">
        <v>3</v>
      </c>
      <c r="F2317">
        <v>1</v>
      </c>
      <c r="G2317">
        <v>84.2</v>
      </c>
    </row>
    <row r="2318" spans="1:7">
      <c r="A2318">
        <v>194</v>
      </c>
      <c r="B2318" s="1">
        <v>45931</v>
      </c>
      <c r="C2318">
        <v>19</v>
      </c>
      <c r="D2318">
        <v>10</v>
      </c>
      <c r="E2318">
        <v>9</v>
      </c>
      <c r="F2318">
        <v>5</v>
      </c>
      <c r="G2318">
        <v>52.6</v>
      </c>
    </row>
    <row r="2319" spans="1:7">
      <c r="A2319">
        <v>194</v>
      </c>
      <c r="B2319" s="1">
        <v>45962</v>
      </c>
      <c r="C2319">
        <v>19</v>
      </c>
      <c r="D2319">
        <v>10</v>
      </c>
      <c r="E2319">
        <v>9</v>
      </c>
      <c r="F2319">
        <v>3</v>
      </c>
      <c r="G2319">
        <v>52.6</v>
      </c>
    </row>
    <row r="2320" spans="1:7">
      <c r="A2320">
        <v>194</v>
      </c>
      <c r="B2320" s="1">
        <v>45992</v>
      </c>
      <c r="C2320">
        <v>18</v>
      </c>
      <c r="D2320">
        <v>10</v>
      </c>
      <c r="E2320">
        <v>8</v>
      </c>
      <c r="F2320">
        <v>0</v>
      </c>
      <c r="G2320">
        <v>55.6</v>
      </c>
    </row>
    <row r="2321" spans="1:7">
      <c r="A2321">
        <v>194</v>
      </c>
      <c r="B2321" s="1">
        <v>46023</v>
      </c>
      <c r="C2321">
        <v>18</v>
      </c>
      <c r="D2321">
        <v>11</v>
      </c>
      <c r="E2321">
        <v>7</v>
      </c>
      <c r="F2321">
        <v>5</v>
      </c>
      <c r="G2321">
        <v>61.1</v>
      </c>
    </row>
    <row r="2322" spans="1:7">
      <c r="A2322">
        <v>194</v>
      </c>
      <c r="B2322" s="1">
        <v>46054</v>
      </c>
      <c r="C2322">
        <v>22</v>
      </c>
      <c r="D2322">
        <v>10</v>
      </c>
      <c r="E2322">
        <v>12</v>
      </c>
      <c r="F2322">
        <v>6</v>
      </c>
      <c r="G2322">
        <v>45.5</v>
      </c>
    </row>
    <row r="2323" spans="1:7">
      <c r="A2323">
        <v>194</v>
      </c>
      <c r="B2323" s="1">
        <v>46082</v>
      </c>
      <c r="C2323">
        <v>19</v>
      </c>
      <c r="D2323">
        <v>10</v>
      </c>
      <c r="E2323">
        <v>9</v>
      </c>
      <c r="F2323">
        <v>0</v>
      </c>
      <c r="G2323">
        <v>52.6</v>
      </c>
    </row>
    <row r="2324" spans="1:7">
      <c r="A2324">
        <v>194</v>
      </c>
      <c r="B2324" s="1">
        <v>46113</v>
      </c>
      <c r="C2324">
        <v>19</v>
      </c>
      <c r="D2324">
        <v>10</v>
      </c>
      <c r="E2324">
        <v>9</v>
      </c>
      <c r="F2324">
        <v>0</v>
      </c>
      <c r="G2324">
        <v>52.6</v>
      </c>
    </row>
    <row r="2325" spans="1:7">
      <c r="A2325">
        <v>194</v>
      </c>
      <c r="B2325" s="1">
        <v>46143</v>
      </c>
      <c r="C2325">
        <v>18</v>
      </c>
      <c r="D2325">
        <v>10</v>
      </c>
      <c r="E2325">
        <v>8</v>
      </c>
      <c r="F2325">
        <v>4</v>
      </c>
      <c r="G2325">
        <v>55.6</v>
      </c>
    </row>
    <row r="2326" spans="1:7">
      <c r="A2326">
        <v>194</v>
      </c>
      <c r="B2326" s="1">
        <v>46174</v>
      </c>
      <c r="C2326">
        <v>21</v>
      </c>
      <c r="D2326">
        <v>11</v>
      </c>
      <c r="E2326">
        <v>10</v>
      </c>
      <c r="F2326">
        <v>5</v>
      </c>
      <c r="G2326">
        <v>52.4</v>
      </c>
    </row>
    <row r="2327" spans="1:7">
      <c r="A2327">
        <v>194</v>
      </c>
      <c r="B2327" s="1">
        <v>46204</v>
      </c>
      <c r="C2327">
        <v>19</v>
      </c>
      <c r="D2327">
        <v>10</v>
      </c>
      <c r="E2327">
        <v>9</v>
      </c>
      <c r="F2327">
        <v>5</v>
      </c>
      <c r="G2327">
        <v>52.6</v>
      </c>
    </row>
    <row r="2328" spans="1:7">
      <c r="A2328">
        <v>194</v>
      </c>
      <c r="B2328" s="1">
        <v>46235</v>
      </c>
      <c r="C2328">
        <v>22</v>
      </c>
      <c r="D2328">
        <v>13</v>
      </c>
      <c r="E2328">
        <v>9</v>
      </c>
      <c r="F2328">
        <v>3</v>
      </c>
      <c r="G2328">
        <v>59.1</v>
      </c>
    </row>
    <row r="2329" spans="1:7">
      <c r="A2329">
        <v>194</v>
      </c>
      <c r="B2329" s="1">
        <v>46266</v>
      </c>
      <c r="C2329">
        <v>20</v>
      </c>
      <c r="D2329">
        <v>13</v>
      </c>
      <c r="E2329">
        <v>7</v>
      </c>
      <c r="F2329">
        <v>3</v>
      </c>
      <c r="G2329">
        <v>65</v>
      </c>
    </row>
    <row r="2330" spans="1:7">
      <c r="A2330">
        <v>195</v>
      </c>
      <c r="B2330" s="1">
        <v>45931</v>
      </c>
      <c r="C2330">
        <v>18</v>
      </c>
      <c r="D2330">
        <v>18</v>
      </c>
      <c r="E2330">
        <v>0</v>
      </c>
      <c r="F2330">
        <v>0</v>
      </c>
      <c r="G2330">
        <v>100</v>
      </c>
    </row>
    <row r="2331" spans="1:7">
      <c r="A2331">
        <v>195</v>
      </c>
      <c r="B2331" s="1">
        <v>45962</v>
      </c>
      <c r="C2331">
        <v>22</v>
      </c>
      <c r="D2331">
        <v>21</v>
      </c>
      <c r="E2331">
        <v>1</v>
      </c>
      <c r="F2331">
        <v>1</v>
      </c>
      <c r="G2331">
        <v>95.5</v>
      </c>
    </row>
    <row r="2332" spans="1:7">
      <c r="A2332">
        <v>195</v>
      </c>
      <c r="B2332" s="1">
        <v>45992</v>
      </c>
      <c r="C2332">
        <v>22</v>
      </c>
      <c r="D2332">
        <v>21</v>
      </c>
      <c r="E2332">
        <v>1</v>
      </c>
      <c r="F2332">
        <v>3</v>
      </c>
      <c r="G2332">
        <v>95.5</v>
      </c>
    </row>
    <row r="2333" spans="1:7">
      <c r="A2333">
        <v>195</v>
      </c>
      <c r="B2333" s="1">
        <v>46023</v>
      </c>
      <c r="C2333">
        <v>21</v>
      </c>
      <c r="D2333">
        <v>19</v>
      </c>
      <c r="E2333">
        <v>2</v>
      </c>
      <c r="F2333">
        <v>4</v>
      </c>
      <c r="G2333">
        <v>90.5</v>
      </c>
    </row>
    <row r="2334" spans="1:7">
      <c r="A2334">
        <v>195</v>
      </c>
      <c r="B2334" s="1">
        <v>46054</v>
      </c>
      <c r="C2334">
        <v>20</v>
      </c>
      <c r="D2334">
        <v>18</v>
      </c>
      <c r="E2334">
        <v>2</v>
      </c>
      <c r="F2334">
        <v>5</v>
      </c>
      <c r="G2334">
        <v>90</v>
      </c>
    </row>
    <row r="2335" spans="1:7">
      <c r="A2335">
        <v>195</v>
      </c>
      <c r="B2335" s="1">
        <v>46082</v>
      </c>
      <c r="C2335">
        <v>19</v>
      </c>
      <c r="D2335">
        <v>19</v>
      </c>
      <c r="E2335">
        <v>0</v>
      </c>
      <c r="F2335">
        <v>3</v>
      </c>
      <c r="G2335">
        <v>100</v>
      </c>
    </row>
    <row r="2336" spans="1:7">
      <c r="A2336">
        <v>195</v>
      </c>
      <c r="B2336" s="1">
        <v>46113</v>
      </c>
      <c r="C2336">
        <v>19</v>
      </c>
      <c r="D2336">
        <v>19</v>
      </c>
      <c r="E2336">
        <v>0</v>
      </c>
      <c r="F2336">
        <v>3</v>
      </c>
      <c r="G2336">
        <v>100</v>
      </c>
    </row>
    <row r="2337" spans="1:7">
      <c r="A2337">
        <v>195</v>
      </c>
      <c r="B2337" s="1">
        <v>46143</v>
      </c>
      <c r="C2337">
        <v>19</v>
      </c>
      <c r="D2337">
        <v>18</v>
      </c>
      <c r="E2337">
        <v>1</v>
      </c>
      <c r="F2337">
        <v>1</v>
      </c>
      <c r="G2337">
        <v>94.7</v>
      </c>
    </row>
    <row r="2338" spans="1:7">
      <c r="A2338">
        <v>195</v>
      </c>
      <c r="B2338" s="1">
        <v>46174</v>
      </c>
      <c r="C2338">
        <v>21</v>
      </c>
      <c r="D2338">
        <v>21</v>
      </c>
      <c r="E2338">
        <v>0</v>
      </c>
      <c r="F2338">
        <v>1</v>
      </c>
      <c r="G2338">
        <v>100</v>
      </c>
    </row>
    <row r="2339" spans="1:7">
      <c r="A2339">
        <v>195</v>
      </c>
      <c r="B2339" s="1">
        <v>46204</v>
      </c>
      <c r="C2339">
        <v>22</v>
      </c>
      <c r="D2339">
        <v>22</v>
      </c>
      <c r="E2339">
        <v>0</v>
      </c>
      <c r="F2339">
        <v>0</v>
      </c>
      <c r="G2339">
        <v>100</v>
      </c>
    </row>
    <row r="2340" spans="1:7">
      <c r="A2340">
        <v>195</v>
      </c>
      <c r="B2340" s="1">
        <v>46235</v>
      </c>
      <c r="C2340">
        <v>21</v>
      </c>
      <c r="D2340">
        <v>21</v>
      </c>
      <c r="E2340">
        <v>0</v>
      </c>
      <c r="F2340">
        <v>3</v>
      </c>
      <c r="G2340">
        <v>100</v>
      </c>
    </row>
    <row r="2341" spans="1:7">
      <c r="A2341">
        <v>195</v>
      </c>
      <c r="B2341" s="1">
        <v>46266</v>
      </c>
      <c r="C2341">
        <v>21</v>
      </c>
      <c r="D2341">
        <v>21</v>
      </c>
      <c r="E2341">
        <v>0</v>
      </c>
      <c r="F2341">
        <v>1</v>
      </c>
      <c r="G2341">
        <v>100</v>
      </c>
    </row>
    <row r="2342" spans="1:7">
      <c r="A2342">
        <v>196</v>
      </c>
      <c r="B2342" s="1">
        <v>45931</v>
      </c>
      <c r="C2342">
        <v>18</v>
      </c>
      <c r="D2342">
        <v>11</v>
      </c>
      <c r="E2342">
        <v>7</v>
      </c>
      <c r="F2342">
        <v>1</v>
      </c>
      <c r="G2342">
        <v>61.1</v>
      </c>
    </row>
    <row r="2343" spans="1:7">
      <c r="A2343">
        <v>196</v>
      </c>
      <c r="B2343" s="1">
        <v>45962</v>
      </c>
      <c r="C2343">
        <v>20</v>
      </c>
      <c r="D2343">
        <v>17</v>
      </c>
      <c r="E2343">
        <v>3</v>
      </c>
      <c r="F2343">
        <v>0</v>
      </c>
      <c r="G2343">
        <v>85</v>
      </c>
    </row>
    <row r="2344" spans="1:7">
      <c r="A2344">
        <v>196</v>
      </c>
      <c r="B2344" s="1">
        <v>45992</v>
      </c>
      <c r="C2344">
        <v>18</v>
      </c>
      <c r="D2344">
        <v>10</v>
      </c>
      <c r="E2344">
        <v>8</v>
      </c>
      <c r="F2344">
        <v>6</v>
      </c>
      <c r="G2344">
        <v>55.6</v>
      </c>
    </row>
    <row r="2345" spans="1:7">
      <c r="A2345">
        <v>196</v>
      </c>
      <c r="B2345" s="1">
        <v>46023</v>
      </c>
      <c r="C2345">
        <v>20</v>
      </c>
      <c r="D2345">
        <v>13</v>
      </c>
      <c r="E2345">
        <v>7</v>
      </c>
      <c r="F2345">
        <v>0</v>
      </c>
      <c r="G2345">
        <v>65</v>
      </c>
    </row>
    <row r="2346" spans="1:7">
      <c r="A2346">
        <v>196</v>
      </c>
      <c r="B2346" s="1">
        <v>46054</v>
      </c>
      <c r="C2346">
        <v>19</v>
      </c>
      <c r="D2346">
        <v>14</v>
      </c>
      <c r="E2346">
        <v>5</v>
      </c>
      <c r="F2346">
        <v>0</v>
      </c>
      <c r="G2346">
        <v>73.7</v>
      </c>
    </row>
    <row r="2347" spans="1:7">
      <c r="A2347">
        <v>196</v>
      </c>
      <c r="B2347" s="1">
        <v>46082</v>
      </c>
      <c r="C2347">
        <v>19</v>
      </c>
      <c r="D2347">
        <v>11</v>
      </c>
      <c r="E2347">
        <v>8</v>
      </c>
      <c r="F2347">
        <v>4</v>
      </c>
      <c r="G2347">
        <v>57.9</v>
      </c>
    </row>
    <row r="2348" spans="1:7">
      <c r="A2348">
        <v>196</v>
      </c>
      <c r="B2348" s="1">
        <v>46113</v>
      </c>
      <c r="C2348">
        <v>18</v>
      </c>
      <c r="D2348">
        <v>12</v>
      </c>
      <c r="E2348">
        <v>6</v>
      </c>
      <c r="F2348">
        <v>4</v>
      </c>
      <c r="G2348">
        <v>66.7</v>
      </c>
    </row>
    <row r="2349" spans="1:7">
      <c r="A2349">
        <v>196</v>
      </c>
      <c r="B2349" s="1">
        <v>46143</v>
      </c>
      <c r="C2349">
        <v>19</v>
      </c>
      <c r="D2349">
        <v>15</v>
      </c>
      <c r="E2349">
        <v>4</v>
      </c>
      <c r="F2349">
        <v>5</v>
      </c>
      <c r="G2349">
        <v>78.900000000000006</v>
      </c>
    </row>
    <row r="2350" spans="1:7">
      <c r="A2350">
        <v>196</v>
      </c>
      <c r="B2350" s="1">
        <v>46174</v>
      </c>
      <c r="C2350">
        <v>18</v>
      </c>
      <c r="D2350">
        <v>12</v>
      </c>
      <c r="E2350">
        <v>6</v>
      </c>
      <c r="F2350">
        <v>4</v>
      </c>
      <c r="G2350">
        <v>66.7</v>
      </c>
    </row>
    <row r="2351" spans="1:7">
      <c r="A2351">
        <v>196</v>
      </c>
      <c r="B2351" s="1">
        <v>46204</v>
      </c>
      <c r="C2351">
        <v>22</v>
      </c>
      <c r="D2351">
        <v>15</v>
      </c>
      <c r="E2351">
        <v>7</v>
      </c>
      <c r="F2351">
        <v>0</v>
      </c>
      <c r="G2351">
        <v>68.2</v>
      </c>
    </row>
    <row r="2352" spans="1:7">
      <c r="A2352">
        <v>196</v>
      </c>
      <c r="B2352" s="1">
        <v>46235</v>
      </c>
      <c r="C2352">
        <v>22</v>
      </c>
      <c r="D2352">
        <v>14</v>
      </c>
      <c r="E2352">
        <v>8</v>
      </c>
      <c r="F2352">
        <v>0</v>
      </c>
      <c r="G2352">
        <v>63.6</v>
      </c>
    </row>
    <row r="2353" spans="1:7">
      <c r="A2353">
        <v>196</v>
      </c>
      <c r="B2353" s="1">
        <v>46266</v>
      </c>
      <c r="C2353">
        <v>20</v>
      </c>
      <c r="D2353">
        <v>14</v>
      </c>
      <c r="E2353">
        <v>6</v>
      </c>
      <c r="F2353">
        <v>0</v>
      </c>
      <c r="G2353">
        <v>70</v>
      </c>
    </row>
    <row r="2354" spans="1:7">
      <c r="A2354">
        <v>197</v>
      </c>
      <c r="B2354" s="1">
        <v>45931</v>
      </c>
      <c r="C2354">
        <v>20</v>
      </c>
      <c r="D2354">
        <v>12</v>
      </c>
      <c r="E2354">
        <v>8</v>
      </c>
      <c r="F2354">
        <v>2</v>
      </c>
      <c r="G2354">
        <v>60</v>
      </c>
    </row>
    <row r="2355" spans="1:7">
      <c r="A2355">
        <v>197</v>
      </c>
      <c r="B2355" s="1">
        <v>45962</v>
      </c>
      <c r="C2355">
        <v>21</v>
      </c>
      <c r="D2355">
        <v>15</v>
      </c>
      <c r="E2355">
        <v>6</v>
      </c>
      <c r="F2355">
        <v>4</v>
      </c>
      <c r="G2355">
        <v>71.400000000000006</v>
      </c>
    </row>
    <row r="2356" spans="1:7">
      <c r="A2356">
        <v>197</v>
      </c>
      <c r="B2356" s="1">
        <v>45992</v>
      </c>
      <c r="C2356">
        <v>19</v>
      </c>
      <c r="D2356">
        <v>14</v>
      </c>
      <c r="E2356">
        <v>5</v>
      </c>
      <c r="F2356">
        <v>2</v>
      </c>
      <c r="G2356">
        <v>73.7</v>
      </c>
    </row>
    <row r="2357" spans="1:7">
      <c r="A2357">
        <v>197</v>
      </c>
      <c r="B2357" s="1">
        <v>46023</v>
      </c>
      <c r="C2357">
        <v>19</v>
      </c>
      <c r="D2357">
        <v>11</v>
      </c>
      <c r="E2357">
        <v>8</v>
      </c>
      <c r="F2357">
        <v>5</v>
      </c>
      <c r="G2357">
        <v>57.9</v>
      </c>
    </row>
    <row r="2358" spans="1:7">
      <c r="A2358">
        <v>197</v>
      </c>
      <c r="B2358" s="1">
        <v>46054</v>
      </c>
      <c r="C2358">
        <v>18</v>
      </c>
      <c r="D2358">
        <v>14</v>
      </c>
      <c r="E2358">
        <v>4</v>
      </c>
      <c r="F2358">
        <v>4</v>
      </c>
      <c r="G2358">
        <v>77.8</v>
      </c>
    </row>
    <row r="2359" spans="1:7">
      <c r="A2359">
        <v>197</v>
      </c>
      <c r="B2359" s="1">
        <v>46082</v>
      </c>
      <c r="C2359">
        <v>18</v>
      </c>
      <c r="D2359">
        <v>10</v>
      </c>
      <c r="E2359">
        <v>8</v>
      </c>
      <c r="F2359">
        <v>4</v>
      </c>
      <c r="G2359">
        <v>55.6</v>
      </c>
    </row>
    <row r="2360" spans="1:7">
      <c r="A2360">
        <v>197</v>
      </c>
      <c r="B2360" s="1">
        <v>46113</v>
      </c>
      <c r="C2360">
        <v>19</v>
      </c>
      <c r="D2360">
        <v>10</v>
      </c>
      <c r="E2360">
        <v>9</v>
      </c>
      <c r="F2360">
        <v>3</v>
      </c>
      <c r="G2360">
        <v>52.6</v>
      </c>
    </row>
    <row r="2361" spans="1:7">
      <c r="A2361">
        <v>197</v>
      </c>
      <c r="B2361" s="1">
        <v>46143</v>
      </c>
      <c r="C2361">
        <v>22</v>
      </c>
      <c r="D2361">
        <v>16</v>
      </c>
      <c r="E2361">
        <v>6</v>
      </c>
      <c r="F2361">
        <v>6</v>
      </c>
      <c r="G2361">
        <v>72.7</v>
      </c>
    </row>
    <row r="2362" spans="1:7">
      <c r="A2362">
        <v>197</v>
      </c>
      <c r="B2362" s="1">
        <v>46174</v>
      </c>
      <c r="C2362">
        <v>18</v>
      </c>
      <c r="D2362">
        <v>12</v>
      </c>
      <c r="E2362">
        <v>6</v>
      </c>
      <c r="F2362">
        <v>3</v>
      </c>
      <c r="G2362">
        <v>66.7</v>
      </c>
    </row>
    <row r="2363" spans="1:7">
      <c r="A2363">
        <v>197</v>
      </c>
      <c r="B2363" s="1">
        <v>46204</v>
      </c>
      <c r="C2363">
        <v>18</v>
      </c>
      <c r="D2363">
        <v>11</v>
      </c>
      <c r="E2363">
        <v>7</v>
      </c>
      <c r="F2363">
        <v>5</v>
      </c>
      <c r="G2363">
        <v>61.1</v>
      </c>
    </row>
    <row r="2364" spans="1:7">
      <c r="A2364">
        <v>197</v>
      </c>
      <c r="B2364" s="1">
        <v>46235</v>
      </c>
      <c r="C2364">
        <v>18</v>
      </c>
      <c r="D2364">
        <v>11</v>
      </c>
      <c r="E2364">
        <v>7</v>
      </c>
      <c r="F2364">
        <v>1</v>
      </c>
      <c r="G2364">
        <v>61.1</v>
      </c>
    </row>
    <row r="2365" spans="1:7">
      <c r="A2365">
        <v>197</v>
      </c>
      <c r="B2365" s="1">
        <v>46266</v>
      </c>
      <c r="C2365">
        <v>19</v>
      </c>
      <c r="D2365">
        <v>14</v>
      </c>
      <c r="E2365">
        <v>5</v>
      </c>
      <c r="F2365">
        <v>6</v>
      </c>
      <c r="G2365">
        <v>73.7</v>
      </c>
    </row>
    <row r="2366" spans="1:7">
      <c r="A2366">
        <v>198</v>
      </c>
      <c r="B2366" s="1">
        <v>45931</v>
      </c>
      <c r="C2366">
        <v>19</v>
      </c>
      <c r="D2366">
        <v>12</v>
      </c>
      <c r="E2366">
        <v>7</v>
      </c>
      <c r="F2366">
        <v>5</v>
      </c>
      <c r="G2366">
        <v>63.2</v>
      </c>
    </row>
    <row r="2367" spans="1:7">
      <c r="A2367">
        <v>198</v>
      </c>
      <c r="B2367" s="1">
        <v>45962</v>
      </c>
      <c r="C2367">
        <v>22</v>
      </c>
      <c r="D2367">
        <v>18</v>
      </c>
      <c r="E2367">
        <v>4</v>
      </c>
      <c r="F2367">
        <v>5</v>
      </c>
      <c r="G2367">
        <v>81.8</v>
      </c>
    </row>
    <row r="2368" spans="1:7">
      <c r="A2368">
        <v>198</v>
      </c>
      <c r="B2368" s="1">
        <v>45992</v>
      </c>
      <c r="C2368">
        <v>22</v>
      </c>
      <c r="D2368">
        <v>16</v>
      </c>
      <c r="E2368">
        <v>6</v>
      </c>
      <c r="F2368">
        <v>6</v>
      </c>
      <c r="G2368">
        <v>72.7</v>
      </c>
    </row>
    <row r="2369" spans="1:7">
      <c r="A2369">
        <v>198</v>
      </c>
      <c r="B2369" s="1">
        <v>46023</v>
      </c>
      <c r="C2369">
        <v>19</v>
      </c>
      <c r="D2369">
        <v>15</v>
      </c>
      <c r="E2369">
        <v>4</v>
      </c>
      <c r="F2369">
        <v>2</v>
      </c>
      <c r="G2369">
        <v>78.900000000000006</v>
      </c>
    </row>
    <row r="2370" spans="1:7">
      <c r="A2370">
        <v>198</v>
      </c>
      <c r="B2370" s="1">
        <v>46054</v>
      </c>
      <c r="C2370">
        <v>20</v>
      </c>
      <c r="D2370">
        <v>18</v>
      </c>
      <c r="E2370">
        <v>2</v>
      </c>
      <c r="F2370">
        <v>3</v>
      </c>
      <c r="G2370">
        <v>90</v>
      </c>
    </row>
    <row r="2371" spans="1:7">
      <c r="A2371">
        <v>198</v>
      </c>
      <c r="B2371" s="1">
        <v>46082</v>
      </c>
      <c r="C2371">
        <v>18</v>
      </c>
      <c r="D2371">
        <v>11</v>
      </c>
      <c r="E2371">
        <v>7</v>
      </c>
      <c r="F2371">
        <v>5</v>
      </c>
      <c r="G2371">
        <v>61.1</v>
      </c>
    </row>
    <row r="2372" spans="1:7">
      <c r="A2372">
        <v>198</v>
      </c>
      <c r="B2372" s="1">
        <v>46113</v>
      </c>
      <c r="C2372">
        <v>21</v>
      </c>
      <c r="D2372">
        <v>16</v>
      </c>
      <c r="E2372">
        <v>5</v>
      </c>
      <c r="F2372">
        <v>4</v>
      </c>
      <c r="G2372">
        <v>76.2</v>
      </c>
    </row>
    <row r="2373" spans="1:7">
      <c r="A2373">
        <v>198</v>
      </c>
      <c r="B2373" s="1">
        <v>46143</v>
      </c>
      <c r="C2373">
        <v>18</v>
      </c>
      <c r="D2373">
        <v>10</v>
      </c>
      <c r="E2373">
        <v>8</v>
      </c>
      <c r="F2373">
        <v>1</v>
      </c>
      <c r="G2373">
        <v>55.6</v>
      </c>
    </row>
    <row r="2374" spans="1:7">
      <c r="A2374">
        <v>198</v>
      </c>
      <c r="B2374" s="1">
        <v>46174</v>
      </c>
      <c r="C2374">
        <v>22</v>
      </c>
      <c r="D2374">
        <v>19</v>
      </c>
      <c r="E2374">
        <v>3</v>
      </c>
      <c r="F2374">
        <v>6</v>
      </c>
      <c r="G2374">
        <v>86.4</v>
      </c>
    </row>
    <row r="2375" spans="1:7">
      <c r="A2375">
        <v>198</v>
      </c>
      <c r="B2375" s="1">
        <v>46204</v>
      </c>
      <c r="C2375">
        <v>18</v>
      </c>
      <c r="D2375">
        <v>15</v>
      </c>
      <c r="E2375">
        <v>3</v>
      </c>
      <c r="F2375">
        <v>1</v>
      </c>
      <c r="G2375">
        <v>83.3</v>
      </c>
    </row>
    <row r="2376" spans="1:7">
      <c r="A2376">
        <v>198</v>
      </c>
      <c r="B2376" s="1">
        <v>46235</v>
      </c>
      <c r="C2376">
        <v>20</v>
      </c>
      <c r="D2376">
        <v>20</v>
      </c>
      <c r="E2376">
        <v>0</v>
      </c>
      <c r="F2376">
        <v>0</v>
      </c>
      <c r="G2376">
        <v>100</v>
      </c>
    </row>
    <row r="2377" spans="1:7">
      <c r="A2377">
        <v>198</v>
      </c>
      <c r="B2377" s="1">
        <v>46266</v>
      </c>
      <c r="C2377">
        <v>21</v>
      </c>
      <c r="D2377">
        <v>18</v>
      </c>
      <c r="E2377">
        <v>3</v>
      </c>
      <c r="F2377">
        <v>0</v>
      </c>
      <c r="G2377">
        <v>85.7</v>
      </c>
    </row>
    <row r="2378" spans="1:7">
      <c r="A2378">
        <v>199</v>
      </c>
      <c r="B2378" s="1">
        <v>45931</v>
      </c>
      <c r="C2378">
        <v>21</v>
      </c>
      <c r="D2378">
        <v>19</v>
      </c>
      <c r="E2378">
        <v>2</v>
      </c>
      <c r="F2378">
        <v>1</v>
      </c>
      <c r="G2378">
        <v>90.5</v>
      </c>
    </row>
    <row r="2379" spans="1:7">
      <c r="A2379">
        <v>199</v>
      </c>
      <c r="B2379" s="1">
        <v>45962</v>
      </c>
      <c r="C2379">
        <v>18</v>
      </c>
      <c r="D2379">
        <v>10</v>
      </c>
      <c r="E2379">
        <v>8</v>
      </c>
      <c r="F2379">
        <v>2</v>
      </c>
      <c r="G2379">
        <v>55.6</v>
      </c>
    </row>
    <row r="2380" spans="1:7">
      <c r="A2380">
        <v>199</v>
      </c>
      <c r="B2380" s="1">
        <v>45992</v>
      </c>
      <c r="C2380">
        <v>22</v>
      </c>
      <c r="D2380">
        <v>18</v>
      </c>
      <c r="E2380">
        <v>4</v>
      </c>
      <c r="F2380">
        <v>1</v>
      </c>
      <c r="G2380">
        <v>81.8</v>
      </c>
    </row>
    <row r="2381" spans="1:7">
      <c r="A2381">
        <v>199</v>
      </c>
      <c r="B2381" s="1">
        <v>46023</v>
      </c>
      <c r="C2381">
        <v>21</v>
      </c>
      <c r="D2381">
        <v>16</v>
      </c>
      <c r="E2381">
        <v>5</v>
      </c>
      <c r="F2381">
        <v>2</v>
      </c>
      <c r="G2381">
        <v>76.2</v>
      </c>
    </row>
    <row r="2382" spans="1:7">
      <c r="A2382">
        <v>199</v>
      </c>
      <c r="B2382" s="1">
        <v>46054</v>
      </c>
      <c r="C2382">
        <v>21</v>
      </c>
      <c r="D2382">
        <v>13</v>
      </c>
      <c r="E2382">
        <v>8</v>
      </c>
      <c r="F2382">
        <v>3</v>
      </c>
      <c r="G2382">
        <v>61.9</v>
      </c>
    </row>
    <row r="2383" spans="1:7">
      <c r="A2383">
        <v>199</v>
      </c>
      <c r="B2383" s="1">
        <v>46082</v>
      </c>
      <c r="C2383">
        <v>19</v>
      </c>
      <c r="D2383">
        <v>15</v>
      </c>
      <c r="E2383">
        <v>4</v>
      </c>
      <c r="F2383">
        <v>0</v>
      </c>
      <c r="G2383">
        <v>78.900000000000006</v>
      </c>
    </row>
    <row r="2384" spans="1:7">
      <c r="A2384">
        <v>199</v>
      </c>
      <c r="B2384" s="1">
        <v>46113</v>
      </c>
      <c r="C2384">
        <v>22</v>
      </c>
      <c r="D2384">
        <v>20</v>
      </c>
      <c r="E2384">
        <v>2</v>
      </c>
      <c r="F2384">
        <v>2</v>
      </c>
      <c r="G2384">
        <v>90.9</v>
      </c>
    </row>
    <row r="2385" spans="1:7">
      <c r="A2385">
        <v>199</v>
      </c>
      <c r="B2385" s="1">
        <v>46143</v>
      </c>
      <c r="C2385">
        <v>21</v>
      </c>
      <c r="D2385">
        <v>17</v>
      </c>
      <c r="E2385">
        <v>4</v>
      </c>
      <c r="F2385">
        <v>3</v>
      </c>
      <c r="G2385">
        <v>81</v>
      </c>
    </row>
    <row r="2386" spans="1:7">
      <c r="A2386">
        <v>199</v>
      </c>
      <c r="B2386" s="1">
        <v>46174</v>
      </c>
      <c r="C2386">
        <v>22</v>
      </c>
      <c r="D2386">
        <v>17</v>
      </c>
      <c r="E2386">
        <v>5</v>
      </c>
      <c r="F2386">
        <v>2</v>
      </c>
      <c r="G2386">
        <v>77.3</v>
      </c>
    </row>
    <row r="2387" spans="1:7">
      <c r="A2387">
        <v>199</v>
      </c>
      <c r="B2387" s="1">
        <v>46204</v>
      </c>
      <c r="C2387">
        <v>22</v>
      </c>
      <c r="D2387">
        <v>18</v>
      </c>
      <c r="E2387">
        <v>4</v>
      </c>
      <c r="F2387">
        <v>6</v>
      </c>
      <c r="G2387">
        <v>81.8</v>
      </c>
    </row>
    <row r="2388" spans="1:7">
      <c r="A2388">
        <v>199</v>
      </c>
      <c r="B2388" s="1">
        <v>46235</v>
      </c>
      <c r="C2388">
        <v>22</v>
      </c>
      <c r="D2388">
        <v>16</v>
      </c>
      <c r="E2388">
        <v>6</v>
      </c>
      <c r="F2388">
        <v>5</v>
      </c>
      <c r="G2388">
        <v>72.7</v>
      </c>
    </row>
    <row r="2389" spans="1:7">
      <c r="A2389">
        <v>199</v>
      </c>
      <c r="B2389" s="1">
        <v>46266</v>
      </c>
      <c r="C2389">
        <v>21</v>
      </c>
      <c r="D2389">
        <v>17</v>
      </c>
      <c r="E2389">
        <v>4</v>
      </c>
      <c r="F2389">
        <v>4</v>
      </c>
      <c r="G2389">
        <v>81</v>
      </c>
    </row>
    <row r="2390" spans="1:7">
      <c r="A2390">
        <v>200</v>
      </c>
      <c r="B2390" s="1">
        <v>45931</v>
      </c>
      <c r="C2390">
        <v>21</v>
      </c>
      <c r="D2390">
        <v>21</v>
      </c>
      <c r="E2390">
        <v>0</v>
      </c>
      <c r="F2390">
        <v>0</v>
      </c>
      <c r="G2390">
        <v>100</v>
      </c>
    </row>
    <row r="2391" spans="1:7">
      <c r="A2391">
        <v>200</v>
      </c>
      <c r="B2391" s="1">
        <v>45962</v>
      </c>
      <c r="C2391">
        <v>22</v>
      </c>
      <c r="D2391">
        <v>17</v>
      </c>
      <c r="E2391">
        <v>5</v>
      </c>
      <c r="F2391">
        <v>5</v>
      </c>
      <c r="G2391">
        <v>77.3</v>
      </c>
    </row>
    <row r="2392" spans="1:7">
      <c r="A2392">
        <v>200</v>
      </c>
      <c r="B2392" s="1">
        <v>45992</v>
      </c>
      <c r="C2392">
        <v>18</v>
      </c>
      <c r="D2392">
        <v>17</v>
      </c>
      <c r="E2392">
        <v>1</v>
      </c>
      <c r="F2392">
        <v>4</v>
      </c>
      <c r="G2392">
        <v>94.4</v>
      </c>
    </row>
    <row r="2393" spans="1:7">
      <c r="A2393">
        <v>200</v>
      </c>
      <c r="B2393" s="1">
        <v>46023</v>
      </c>
      <c r="C2393">
        <v>18</v>
      </c>
      <c r="D2393">
        <v>18</v>
      </c>
      <c r="E2393">
        <v>0</v>
      </c>
      <c r="F2393">
        <v>1</v>
      </c>
      <c r="G2393">
        <v>100</v>
      </c>
    </row>
    <row r="2394" spans="1:7">
      <c r="A2394">
        <v>200</v>
      </c>
      <c r="B2394" s="1">
        <v>46054</v>
      </c>
      <c r="C2394">
        <v>18</v>
      </c>
      <c r="D2394">
        <v>18</v>
      </c>
      <c r="E2394">
        <v>0</v>
      </c>
      <c r="F2394">
        <v>3</v>
      </c>
      <c r="G2394">
        <v>100</v>
      </c>
    </row>
    <row r="2395" spans="1:7">
      <c r="A2395">
        <v>200</v>
      </c>
      <c r="B2395" s="1">
        <v>46082</v>
      </c>
      <c r="C2395">
        <v>18</v>
      </c>
      <c r="D2395">
        <v>16</v>
      </c>
      <c r="E2395">
        <v>2</v>
      </c>
      <c r="F2395">
        <v>1</v>
      </c>
      <c r="G2395">
        <v>88.9</v>
      </c>
    </row>
    <row r="2396" spans="1:7">
      <c r="A2396">
        <v>200</v>
      </c>
      <c r="B2396" s="1">
        <v>46113</v>
      </c>
      <c r="C2396">
        <v>21</v>
      </c>
      <c r="D2396">
        <v>18</v>
      </c>
      <c r="E2396">
        <v>3</v>
      </c>
      <c r="F2396">
        <v>2</v>
      </c>
      <c r="G2396">
        <v>85.7</v>
      </c>
    </row>
    <row r="2397" spans="1:7">
      <c r="A2397">
        <v>200</v>
      </c>
      <c r="B2397" s="1">
        <v>46143</v>
      </c>
      <c r="C2397">
        <v>21</v>
      </c>
      <c r="D2397">
        <v>21</v>
      </c>
      <c r="E2397">
        <v>0</v>
      </c>
      <c r="F2397">
        <v>3</v>
      </c>
      <c r="G2397">
        <v>100</v>
      </c>
    </row>
    <row r="2398" spans="1:7">
      <c r="A2398">
        <v>200</v>
      </c>
      <c r="B2398" s="1">
        <v>46174</v>
      </c>
      <c r="C2398">
        <v>22</v>
      </c>
      <c r="D2398">
        <v>19</v>
      </c>
      <c r="E2398">
        <v>3</v>
      </c>
      <c r="F2398">
        <v>0</v>
      </c>
      <c r="G2398">
        <v>86.4</v>
      </c>
    </row>
    <row r="2399" spans="1:7">
      <c r="A2399">
        <v>200</v>
      </c>
      <c r="B2399" s="1">
        <v>46204</v>
      </c>
      <c r="C2399">
        <v>19</v>
      </c>
      <c r="D2399">
        <v>19</v>
      </c>
      <c r="E2399">
        <v>0</v>
      </c>
      <c r="F2399">
        <v>0</v>
      </c>
      <c r="G2399">
        <v>100</v>
      </c>
    </row>
    <row r="2400" spans="1:7">
      <c r="A2400">
        <v>200</v>
      </c>
      <c r="B2400" s="1">
        <v>46235</v>
      </c>
      <c r="C2400">
        <v>21</v>
      </c>
      <c r="D2400">
        <v>20</v>
      </c>
      <c r="E2400">
        <v>1</v>
      </c>
      <c r="F2400">
        <v>2</v>
      </c>
      <c r="G2400">
        <v>95.2</v>
      </c>
    </row>
    <row r="2401" spans="1:7">
      <c r="A2401">
        <v>200</v>
      </c>
      <c r="B2401" s="1">
        <v>46266</v>
      </c>
      <c r="C2401">
        <v>18</v>
      </c>
      <c r="D2401">
        <v>18</v>
      </c>
      <c r="E2401">
        <v>0</v>
      </c>
      <c r="F2401">
        <v>2</v>
      </c>
      <c r="G2401">
        <v>100</v>
      </c>
    </row>
    <row r="2402" spans="1:7">
      <c r="A2402">
        <v>201</v>
      </c>
      <c r="B2402" s="1">
        <v>45931</v>
      </c>
      <c r="C2402">
        <v>20</v>
      </c>
      <c r="D2402">
        <v>14</v>
      </c>
      <c r="E2402">
        <v>6</v>
      </c>
      <c r="F2402">
        <v>5</v>
      </c>
      <c r="G2402">
        <v>70</v>
      </c>
    </row>
    <row r="2403" spans="1:7">
      <c r="A2403">
        <v>201</v>
      </c>
      <c r="B2403" s="1">
        <v>45962</v>
      </c>
      <c r="C2403">
        <v>21</v>
      </c>
      <c r="D2403">
        <v>18</v>
      </c>
      <c r="E2403">
        <v>3</v>
      </c>
      <c r="F2403">
        <v>0</v>
      </c>
      <c r="G2403">
        <v>85.7</v>
      </c>
    </row>
    <row r="2404" spans="1:7">
      <c r="A2404">
        <v>201</v>
      </c>
      <c r="B2404" s="1">
        <v>45992</v>
      </c>
      <c r="C2404">
        <v>20</v>
      </c>
      <c r="D2404">
        <v>19</v>
      </c>
      <c r="E2404">
        <v>1</v>
      </c>
      <c r="F2404">
        <v>3</v>
      </c>
      <c r="G2404">
        <v>95</v>
      </c>
    </row>
    <row r="2405" spans="1:7">
      <c r="A2405">
        <v>201</v>
      </c>
      <c r="B2405" s="1">
        <v>46023</v>
      </c>
      <c r="C2405">
        <v>19</v>
      </c>
      <c r="D2405">
        <v>15</v>
      </c>
      <c r="E2405">
        <v>4</v>
      </c>
      <c r="F2405">
        <v>5</v>
      </c>
      <c r="G2405">
        <v>78.900000000000006</v>
      </c>
    </row>
    <row r="2406" spans="1:7">
      <c r="A2406">
        <v>201</v>
      </c>
      <c r="B2406" s="1">
        <v>46054</v>
      </c>
      <c r="C2406">
        <v>19</v>
      </c>
      <c r="D2406">
        <v>16</v>
      </c>
      <c r="E2406">
        <v>3</v>
      </c>
      <c r="F2406">
        <v>4</v>
      </c>
      <c r="G2406">
        <v>84.2</v>
      </c>
    </row>
    <row r="2407" spans="1:7">
      <c r="A2407">
        <v>201</v>
      </c>
      <c r="B2407" s="1">
        <v>46082</v>
      </c>
      <c r="C2407">
        <v>21</v>
      </c>
      <c r="D2407">
        <v>17</v>
      </c>
      <c r="E2407">
        <v>4</v>
      </c>
      <c r="F2407">
        <v>0</v>
      </c>
      <c r="G2407">
        <v>81</v>
      </c>
    </row>
    <row r="2408" spans="1:7">
      <c r="A2408">
        <v>201</v>
      </c>
      <c r="B2408" s="1">
        <v>46113</v>
      </c>
      <c r="C2408">
        <v>20</v>
      </c>
      <c r="D2408">
        <v>15</v>
      </c>
      <c r="E2408">
        <v>5</v>
      </c>
      <c r="F2408">
        <v>1</v>
      </c>
      <c r="G2408">
        <v>75</v>
      </c>
    </row>
    <row r="2409" spans="1:7">
      <c r="A2409">
        <v>201</v>
      </c>
      <c r="B2409" s="1">
        <v>46143</v>
      </c>
      <c r="C2409">
        <v>18</v>
      </c>
      <c r="D2409">
        <v>18</v>
      </c>
      <c r="E2409">
        <v>0</v>
      </c>
      <c r="F2409">
        <v>1</v>
      </c>
      <c r="G2409">
        <v>100</v>
      </c>
    </row>
    <row r="2410" spans="1:7">
      <c r="A2410">
        <v>201</v>
      </c>
      <c r="B2410" s="1">
        <v>46174</v>
      </c>
      <c r="C2410">
        <v>18</v>
      </c>
      <c r="D2410">
        <v>12</v>
      </c>
      <c r="E2410">
        <v>6</v>
      </c>
      <c r="F2410">
        <v>2</v>
      </c>
      <c r="G2410">
        <v>66.7</v>
      </c>
    </row>
    <row r="2411" spans="1:7">
      <c r="A2411">
        <v>201</v>
      </c>
      <c r="B2411" s="1">
        <v>46204</v>
      </c>
      <c r="C2411">
        <v>20</v>
      </c>
      <c r="D2411">
        <v>17</v>
      </c>
      <c r="E2411">
        <v>3</v>
      </c>
      <c r="F2411">
        <v>5</v>
      </c>
      <c r="G2411">
        <v>85</v>
      </c>
    </row>
    <row r="2412" spans="1:7">
      <c r="A2412">
        <v>201</v>
      </c>
      <c r="B2412" s="1">
        <v>46235</v>
      </c>
      <c r="C2412">
        <v>19</v>
      </c>
      <c r="D2412">
        <v>15</v>
      </c>
      <c r="E2412">
        <v>4</v>
      </c>
      <c r="F2412">
        <v>3</v>
      </c>
      <c r="G2412">
        <v>78.900000000000006</v>
      </c>
    </row>
    <row r="2413" spans="1:7">
      <c r="A2413">
        <v>201</v>
      </c>
      <c r="B2413" s="1">
        <v>46266</v>
      </c>
      <c r="C2413">
        <v>18</v>
      </c>
      <c r="D2413">
        <v>14</v>
      </c>
      <c r="E2413">
        <v>4</v>
      </c>
      <c r="F2413">
        <v>2</v>
      </c>
      <c r="G2413">
        <v>77.8</v>
      </c>
    </row>
    <row r="2414" spans="1:7">
      <c r="A2414">
        <v>202</v>
      </c>
      <c r="B2414" s="1">
        <v>45931</v>
      </c>
      <c r="C2414">
        <v>21</v>
      </c>
      <c r="D2414">
        <v>13</v>
      </c>
      <c r="E2414">
        <v>8</v>
      </c>
      <c r="F2414">
        <v>5</v>
      </c>
      <c r="G2414">
        <v>61.9</v>
      </c>
    </row>
    <row r="2415" spans="1:7">
      <c r="A2415">
        <v>202</v>
      </c>
      <c r="B2415" s="1">
        <v>45962</v>
      </c>
      <c r="C2415">
        <v>20</v>
      </c>
      <c r="D2415">
        <v>15</v>
      </c>
      <c r="E2415">
        <v>5</v>
      </c>
      <c r="F2415">
        <v>1</v>
      </c>
      <c r="G2415">
        <v>75</v>
      </c>
    </row>
    <row r="2416" spans="1:7">
      <c r="A2416">
        <v>202</v>
      </c>
      <c r="B2416" s="1">
        <v>45992</v>
      </c>
      <c r="C2416">
        <v>18</v>
      </c>
      <c r="D2416">
        <v>10</v>
      </c>
      <c r="E2416">
        <v>8</v>
      </c>
      <c r="F2416">
        <v>2</v>
      </c>
      <c r="G2416">
        <v>55.6</v>
      </c>
    </row>
    <row r="2417" spans="1:7">
      <c r="A2417">
        <v>202</v>
      </c>
      <c r="B2417" s="1">
        <v>46023</v>
      </c>
      <c r="C2417">
        <v>20</v>
      </c>
      <c r="D2417">
        <v>11</v>
      </c>
      <c r="E2417">
        <v>9</v>
      </c>
      <c r="F2417">
        <v>1</v>
      </c>
      <c r="G2417">
        <v>55</v>
      </c>
    </row>
    <row r="2418" spans="1:7">
      <c r="A2418">
        <v>202</v>
      </c>
      <c r="B2418" s="1">
        <v>46054</v>
      </c>
      <c r="C2418">
        <v>19</v>
      </c>
      <c r="D2418">
        <v>14</v>
      </c>
      <c r="E2418">
        <v>5</v>
      </c>
      <c r="F2418">
        <v>3</v>
      </c>
      <c r="G2418">
        <v>73.7</v>
      </c>
    </row>
    <row r="2419" spans="1:7">
      <c r="A2419">
        <v>202</v>
      </c>
      <c r="B2419" s="1">
        <v>46082</v>
      </c>
      <c r="C2419">
        <v>22</v>
      </c>
      <c r="D2419">
        <v>14</v>
      </c>
      <c r="E2419">
        <v>8</v>
      </c>
      <c r="F2419">
        <v>5</v>
      </c>
      <c r="G2419">
        <v>63.6</v>
      </c>
    </row>
    <row r="2420" spans="1:7">
      <c r="A2420">
        <v>202</v>
      </c>
      <c r="B2420" s="1">
        <v>46113</v>
      </c>
      <c r="C2420">
        <v>19</v>
      </c>
      <c r="D2420">
        <v>11</v>
      </c>
      <c r="E2420">
        <v>8</v>
      </c>
      <c r="F2420">
        <v>5</v>
      </c>
      <c r="G2420">
        <v>57.9</v>
      </c>
    </row>
    <row r="2421" spans="1:7">
      <c r="A2421">
        <v>202</v>
      </c>
      <c r="B2421" s="1">
        <v>46143</v>
      </c>
      <c r="C2421">
        <v>22</v>
      </c>
      <c r="D2421">
        <v>16</v>
      </c>
      <c r="E2421">
        <v>6</v>
      </c>
      <c r="F2421">
        <v>3</v>
      </c>
      <c r="G2421">
        <v>72.7</v>
      </c>
    </row>
    <row r="2422" spans="1:7">
      <c r="A2422">
        <v>202</v>
      </c>
      <c r="B2422" s="1">
        <v>46174</v>
      </c>
      <c r="C2422">
        <v>18</v>
      </c>
      <c r="D2422">
        <v>16</v>
      </c>
      <c r="E2422">
        <v>2</v>
      </c>
      <c r="F2422">
        <v>1</v>
      </c>
      <c r="G2422">
        <v>88.9</v>
      </c>
    </row>
    <row r="2423" spans="1:7">
      <c r="A2423">
        <v>202</v>
      </c>
      <c r="B2423" s="1">
        <v>46204</v>
      </c>
      <c r="C2423">
        <v>18</v>
      </c>
      <c r="D2423">
        <v>13</v>
      </c>
      <c r="E2423">
        <v>5</v>
      </c>
      <c r="F2423">
        <v>5</v>
      </c>
      <c r="G2423">
        <v>72.2</v>
      </c>
    </row>
    <row r="2424" spans="1:7">
      <c r="A2424">
        <v>202</v>
      </c>
      <c r="B2424" s="1">
        <v>46235</v>
      </c>
      <c r="C2424">
        <v>22</v>
      </c>
      <c r="D2424">
        <v>17</v>
      </c>
      <c r="E2424">
        <v>5</v>
      </c>
      <c r="F2424">
        <v>6</v>
      </c>
      <c r="G2424">
        <v>77.3</v>
      </c>
    </row>
    <row r="2425" spans="1:7">
      <c r="A2425">
        <v>202</v>
      </c>
      <c r="B2425" s="1">
        <v>46266</v>
      </c>
      <c r="C2425">
        <v>20</v>
      </c>
      <c r="D2425">
        <v>15</v>
      </c>
      <c r="E2425">
        <v>5</v>
      </c>
      <c r="F2425">
        <v>0</v>
      </c>
      <c r="G2425">
        <v>75</v>
      </c>
    </row>
    <row r="2426" spans="1:7">
      <c r="A2426">
        <v>203</v>
      </c>
      <c r="B2426" s="1">
        <v>45931</v>
      </c>
      <c r="C2426">
        <v>19</v>
      </c>
      <c r="D2426">
        <v>10</v>
      </c>
      <c r="E2426">
        <v>9</v>
      </c>
      <c r="F2426">
        <v>3</v>
      </c>
      <c r="G2426">
        <v>52.6</v>
      </c>
    </row>
    <row r="2427" spans="1:7">
      <c r="A2427">
        <v>203</v>
      </c>
      <c r="B2427" s="1">
        <v>45962</v>
      </c>
      <c r="C2427">
        <v>20</v>
      </c>
      <c r="D2427">
        <v>16</v>
      </c>
      <c r="E2427">
        <v>4</v>
      </c>
      <c r="F2427">
        <v>0</v>
      </c>
      <c r="G2427">
        <v>80</v>
      </c>
    </row>
    <row r="2428" spans="1:7">
      <c r="A2428">
        <v>203</v>
      </c>
      <c r="B2428" s="1">
        <v>45992</v>
      </c>
      <c r="C2428">
        <v>21</v>
      </c>
      <c r="D2428">
        <v>14</v>
      </c>
      <c r="E2428">
        <v>7</v>
      </c>
      <c r="F2428">
        <v>3</v>
      </c>
      <c r="G2428">
        <v>66.7</v>
      </c>
    </row>
    <row r="2429" spans="1:7">
      <c r="A2429">
        <v>203</v>
      </c>
      <c r="B2429" s="1">
        <v>46023</v>
      </c>
      <c r="C2429">
        <v>19</v>
      </c>
      <c r="D2429">
        <v>10</v>
      </c>
      <c r="E2429">
        <v>9</v>
      </c>
      <c r="F2429">
        <v>5</v>
      </c>
      <c r="G2429">
        <v>52.6</v>
      </c>
    </row>
    <row r="2430" spans="1:7">
      <c r="A2430">
        <v>203</v>
      </c>
      <c r="B2430" s="1">
        <v>46054</v>
      </c>
      <c r="C2430">
        <v>21</v>
      </c>
      <c r="D2430">
        <v>16</v>
      </c>
      <c r="E2430">
        <v>5</v>
      </c>
      <c r="F2430">
        <v>0</v>
      </c>
      <c r="G2430">
        <v>76.2</v>
      </c>
    </row>
    <row r="2431" spans="1:7">
      <c r="A2431">
        <v>203</v>
      </c>
      <c r="B2431" s="1">
        <v>46082</v>
      </c>
      <c r="C2431">
        <v>19</v>
      </c>
      <c r="D2431">
        <v>14</v>
      </c>
      <c r="E2431">
        <v>5</v>
      </c>
      <c r="F2431">
        <v>5</v>
      </c>
      <c r="G2431">
        <v>73.7</v>
      </c>
    </row>
    <row r="2432" spans="1:7">
      <c r="A2432">
        <v>203</v>
      </c>
      <c r="B2432" s="1">
        <v>46113</v>
      </c>
      <c r="C2432">
        <v>19</v>
      </c>
      <c r="D2432">
        <v>14</v>
      </c>
      <c r="E2432">
        <v>5</v>
      </c>
      <c r="F2432">
        <v>1</v>
      </c>
      <c r="G2432">
        <v>73.7</v>
      </c>
    </row>
    <row r="2433" spans="1:7">
      <c r="A2433">
        <v>203</v>
      </c>
      <c r="B2433" s="1">
        <v>46143</v>
      </c>
      <c r="C2433">
        <v>22</v>
      </c>
      <c r="D2433">
        <v>14</v>
      </c>
      <c r="E2433">
        <v>8</v>
      </c>
      <c r="F2433">
        <v>3</v>
      </c>
      <c r="G2433">
        <v>63.6</v>
      </c>
    </row>
    <row r="2434" spans="1:7">
      <c r="A2434">
        <v>203</v>
      </c>
      <c r="B2434" s="1">
        <v>46174</v>
      </c>
      <c r="C2434">
        <v>19</v>
      </c>
      <c r="D2434">
        <v>15</v>
      </c>
      <c r="E2434">
        <v>4</v>
      </c>
      <c r="F2434">
        <v>5</v>
      </c>
      <c r="G2434">
        <v>78.900000000000006</v>
      </c>
    </row>
    <row r="2435" spans="1:7">
      <c r="A2435">
        <v>203</v>
      </c>
      <c r="B2435" s="1">
        <v>46204</v>
      </c>
      <c r="C2435">
        <v>22</v>
      </c>
      <c r="D2435">
        <v>11</v>
      </c>
      <c r="E2435">
        <v>11</v>
      </c>
      <c r="F2435">
        <v>0</v>
      </c>
      <c r="G2435">
        <v>50</v>
      </c>
    </row>
    <row r="2436" spans="1:7">
      <c r="A2436">
        <v>203</v>
      </c>
      <c r="B2436" s="1">
        <v>46235</v>
      </c>
      <c r="C2436">
        <v>20</v>
      </c>
      <c r="D2436">
        <v>13</v>
      </c>
      <c r="E2436">
        <v>7</v>
      </c>
      <c r="F2436">
        <v>2</v>
      </c>
      <c r="G2436">
        <v>65</v>
      </c>
    </row>
    <row r="2437" spans="1:7">
      <c r="A2437">
        <v>203</v>
      </c>
      <c r="B2437" s="1">
        <v>46266</v>
      </c>
      <c r="C2437">
        <v>22</v>
      </c>
      <c r="D2437">
        <v>15</v>
      </c>
      <c r="E2437">
        <v>7</v>
      </c>
      <c r="F2437">
        <v>6</v>
      </c>
      <c r="G2437">
        <v>68.2</v>
      </c>
    </row>
    <row r="2438" spans="1:7">
      <c r="A2438">
        <v>204</v>
      </c>
      <c r="B2438" s="1">
        <v>45931</v>
      </c>
      <c r="C2438">
        <v>18</v>
      </c>
      <c r="D2438">
        <v>11</v>
      </c>
      <c r="E2438">
        <v>7</v>
      </c>
      <c r="F2438">
        <v>3</v>
      </c>
      <c r="G2438">
        <v>61.1</v>
      </c>
    </row>
    <row r="2439" spans="1:7">
      <c r="A2439">
        <v>204</v>
      </c>
      <c r="B2439" s="1">
        <v>45962</v>
      </c>
      <c r="C2439">
        <v>21</v>
      </c>
      <c r="D2439">
        <v>16</v>
      </c>
      <c r="E2439">
        <v>5</v>
      </c>
      <c r="F2439">
        <v>3</v>
      </c>
      <c r="G2439">
        <v>76.2</v>
      </c>
    </row>
    <row r="2440" spans="1:7">
      <c r="A2440">
        <v>204</v>
      </c>
      <c r="B2440" s="1">
        <v>45992</v>
      </c>
      <c r="C2440">
        <v>20</v>
      </c>
      <c r="D2440">
        <v>14</v>
      </c>
      <c r="E2440">
        <v>6</v>
      </c>
      <c r="F2440">
        <v>4</v>
      </c>
      <c r="G2440">
        <v>70</v>
      </c>
    </row>
    <row r="2441" spans="1:7">
      <c r="A2441">
        <v>204</v>
      </c>
      <c r="B2441" s="1">
        <v>46023</v>
      </c>
      <c r="C2441">
        <v>20</v>
      </c>
      <c r="D2441">
        <v>10</v>
      </c>
      <c r="E2441">
        <v>10</v>
      </c>
      <c r="F2441">
        <v>0</v>
      </c>
      <c r="G2441">
        <v>50</v>
      </c>
    </row>
    <row r="2442" spans="1:7">
      <c r="A2442">
        <v>204</v>
      </c>
      <c r="B2442" s="1">
        <v>46054</v>
      </c>
      <c r="C2442">
        <v>19</v>
      </c>
      <c r="D2442">
        <v>13</v>
      </c>
      <c r="E2442">
        <v>6</v>
      </c>
      <c r="F2442">
        <v>4</v>
      </c>
      <c r="G2442">
        <v>68.400000000000006</v>
      </c>
    </row>
    <row r="2443" spans="1:7">
      <c r="A2443">
        <v>204</v>
      </c>
      <c r="B2443" s="1">
        <v>46082</v>
      </c>
      <c r="C2443">
        <v>22</v>
      </c>
      <c r="D2443">
        <v>14</v>
      </c>
      <c r="E2443">
        <v>8</v>
      </c>
      <c r="F2443">
        <v>1</v>
      </c>
      <c r="G2443">
        <v>63.6</v>
      </c>
    </row>
    <row r="2444" spans="1:7">
      <c r="A2444">
        <v>204</v>
      </c>
      <c r="B2444" s="1">
        <v>46113</v>
      </c>
      <c r="C2444">
        <v>22</v>
      </c>
      <c r="D2444">
        <v>16</v>
      </c>
      <c r="E2444">
        <v>6</v>
      </c>
      <c r="F2444">
        <v>5</v>
      </c>
      <c r="G2444">
        <v>72.7</v>
      </c>
    </row>
    <row r="2445" spans="1:7">
      <c r="A2445">
        <v>204</v>
      </c>
      <c r="B2445" s="1">
        <v>46143</v>
      </c>
      <c r="C2445">
        <v>21</v>
      </c>
      <c r="D2445">
        <v>12</v>
      </c>
      <c r="E2445">
        <v>9</v>
      </c>
      <c r="F2445">
        <v>5</v>
      </c>
      <c r="G2445">
        <v>57.1</v>
      </c>
    </row>
    <row r="2446" spans="1:7">
      <c r="A2446">
        <v>204</v>
      </c>
      <c r="B2446" s="1">
        <v>46174</v>
      </c>
      <c r="C2446">
        <v>20</v>
      </c>
      <c r="D2446">
        <v>13</v>
      </c>
      <c r="E2446">
        <v>7</v>
      </c>
      <c r="F2446">
        <v>6</v>
      </c>
      <c r="G2446">
        <v>65</v>
      </c>
    </row>
    <row r="2447" spans="1:7">
      <c r="A2447">
        <v>204</v>
      </c>
      <c r="B2447" s="1">
        <v>46204</v>
      </c>
      <c r="C2447">
        <v>18</v>
      </c>
      <c r="D2447">
        <v>15</v>
      </c>
      <c r="E2447">
        <v>3</v>
      </c>
      <c r="F2447">
        <v>0</v>
      </c>
      <c r="G2447">
        <v>83.3</v>
      </c>
    </row>
    <row r="2448" spans="1:7">
      <c r="A2448">
        <v>204</v>
      </c>
      <c r="B2448" s="1">
        <v>46235</v>
      </c>
      <c r="C2448">
        <v>18</v>
      </c>
      <c r="D2448">
        <v>10</v>
      </c>
      <c r="E2448">
        <v>8</v>
      </c>
      <c r="F2448">
        <v>3</v>
      </c>
      <c r="G2448">
        <v>55.6</v>
      </c>
    </row>
    <row r="2449" spans="1:7">
      <c r="A2449">
        <v>204</v>
      </c>
      <c r="B2449" s="1">
        <v>46266</v>
      </c>
      <c r="C2449">
        <v>18</v>
      </c>
      <c r="D2449">
        <v>10</v>
      </c>
      <c r="E2449">
        <v>8</v>
      </c>
      <c r="F2449">
        <v>3</v>
      </c>
      <c r="G2449">
        <v>55.6</v>
      </c>
    </row>
    <row r="2450" spans="1:7">
      <c r="A2450">
        <v>205</v>
      </c>
      <c r="B2450" s="1">
        <v>45931</v>
      </c>
      <c r="C2450">
        <v>22</v>
      </c>
      <c r="D2450">
        <v>17</v>
      </c>
      <c r="E2450">
        <v>5</v>
      </c>
      <c r="F2450">
        <v>3</v>
      </c>
      <c r="G2450">
        <v>77.3</v>
      </c>
    </row>
    <row r="2451" spans="1:7">
      <c r="A2451">
        <v>205</v>
      </c>
      <c r="B2451" s="1">
        <v>45962</v>
      </c>
      <c r="C2451">
        <v>22</v>
      </c>
      <c r="D2451">
        <v>19</v>
      </c>
      <c r="E2451">
        <v>3</v>
      </c>
      <c r="F2451">
        <v>4</v>
      </c>
      <c r="G2451">
        <v>86.4</v>
      </c>
    </row>
    <row r="2452" spans="1:7">
      <c r="A2452">
        <v>205</v>
      </c>
      <c r="B2452" s="1">
        <v>45992</v>
      </c>
      <c r="C2452">
        <v>18</v>
      </c>
      <c r="D2452">
        <v>16</v>
      </c>
      <c r="E2452">
        <v>2</v>
      </c>
      <c r="F2452">
        <v>1</v>
      </c>
      <c r="G2452">
        <v>88.9</v>
      </c>
    </row>
    <row r="2453" spans="1:7">
      <c r="A2453">
        <v>205</v>
      </c>
      <c r="B2453" s="1">
        <v>46023</v>
      </c>
      <c r="C2453">
        <v>19</v>
      </c>
      <c r="D2453">
        <v>18</v>
      </c>
      <c r="E2453">
        <v>1</v>
      </c>
      <c r="F2453">
        <v>3</v>
      </c>
      <c r="G2453">
        <v>94.7</v>
      </c>
    </row>
    <row r="2454" spans="1:7">
      <c r="A2454">
        <v>205</v>
      </c>
      <c r="B2454" s="1">
        <v>46054</v>
      </c>
      <c r="C2454">
        <v>22</v>
      </c>
      <c r="D2454">
        <v>19</v>
      </c>
      <c r="E2454">
        <v>3</v>
      </c>
      <c r="F2454">
        <v>3</v>
      </c>
      <c r="G2454">
        <v>86.4</v>
      </c>
    </row>
    <row r="2455" spans="1:7">
      <c r="A2455">
        <v>205</v>
      </c>
      <c r="B2455" s="1">
        <v>46082</v>
      </c>
      <c r="C2455">
        <v>18</v>
      </c>
      <c r="D2455">
        <v>13</v>
      </c>
      <c r="E2455">
        <v>5</v>
      </c>
      <c r="F2455">
        <v>2</v>
      </c>
      <c r="G2455">
        <v>72.2</v>
      </c>
    </row>
    <row r="2456" spans="1:7">
      <c r="A2456">
        <v>205</v>
      </c>
      <c r="B2456" s="1">
        <v>46113</v>
      </c>
      <c r="C2456">
        <v>21</v>
      </c>
      <c r="D2456">
        <v>20</v>
      </c>
      <c r="E2456">
        <v>1</v>
      </c>
      <c r="F2456">
        <v>3</v>
      </c>
      <c r="G2456">
        <v>95.2</v>
      </c>
    </row>
    <row r="2457" spans="1:7">
      <c r="A2457">
        <v>205</v>
      </c>
      <c r="B2457" s="1">
        <v>46143</v>
      </c>
      <c r="C2457">
        <v>18</v>
      </c>
      <c r="D2457">
        <v>12</v>
      </c>
      <c r="E2457">
        <v>6</v>
      </c>
      <c r="F2457">
        <v>2</v>
      </c>
      <c r="G2457">
        <v>66.7</v>
      </c>
    </row>
    <row r="2458" spans="1:7">
      <c r="A2458">
        <v>205</v>
      </c>
      <c r="B2458" s="1">
        <v>46174</v>
      </c>
      <c r="C2458">
        <v>19</v>
      </c>
      <c r="D2458">
        <v>17</v>
      </c>
      <c r="E2458">
        <v>2</v>
      </c>
      <c r="F2458">
        <v>5</v>
      </c>
      <c r="G2458">
        <v>89.5</v>
      </c>
    </row>
    <row r="2459" spans="1:7">
      <c r="A2459">
        <v>205</v>
      </c>
      <c r="B2459" s="1">
        <v>46204</v>
      </c>
      <c r="C2459">
        <v>20</v>
      </c>
      <c r="D2459">
        <v>16</v>
      </c>
      <c r="E2459">
        <v>4</v>
      </c>
      <c r="F2459">
        <v>2</v>
      </c>
      <c r="G2459">
        <v>80</v>
      </c>
    </row>
    <row r="2460" spans="1:7">
      <c r="A2460">
        <v>205</v>
      </c>
      <c r="B2460" s="1">
        <v>46235</v>
      </c>
      <c r="C2460">
        <v>21</v>
      </c>
      <c r="D2460">
        <v>17</v>
      </c>
      <c r="E2460">
        <v>4</v>
      </c>
      <c r="F2460">
        <v>3</v>
      </c>
      <c r="G2460">
        <v>81</v>
      </c>
    </row>
    <row r="2461" spans="1:7">
      <c r="A2461">
        <v>205</v>
      </c>
      <c r="B2461" s="1">
        <v>46266</v>
      </c>
      <c r="C2461">
        <v>18</v>
      </c>
      <c r="D2461">
        <v>14</v>
      </c>
      <c r="E2461">
        <v>4</v>
      </c>
      <c r="F2461">
        <v>0</v>
      </c>
      <c r="G2461">
        <v>77.8</v>
      </c>
    </row>
    <row r="2462" spans="1:7">
      <c r="A2462">
        <v>206</v>
      </c>
      <c r="B2462" s="1">
        <v>45931</v>
      </c>
      <c r="C2462">
        <v>18</v>
      </c>
      <c r="D2462">
        <v>11</v>
      </c>
      <c r="E2462">
        <v>7</v>
      </c>
      <c r="F2462">
        <v>6</v>
      </c>
      <c r="G2462">
        <v>61.1</v>
      </c>
    </row>
    <row r="2463" spans="1:7">
      <c r="A2463">
        <v>206</v>
      </c>
      <c r="B2463" s="1">
        <v>45962</v>
      </c>
      <c r="C2463">
        <v>22</v>
      </c>
      <c r="D2463">
        <v>14</v>
      </c>
      <c r="E2463">
        <v>8</v>
      </c>
      <c r="F2463">
        <v>6</v>
      </c>
      <c r="G2463">
        <v>63.6</v>
      </c>
    </row>
    <row r="2464" spans="1:7">
      <c r="A2464">
        <v>206</v>
      </c>
      <c r="B2464" s="1">
        <v>45992</v>
      </c>
      <c r="C2464">
        <v>22</v>
      </c>
      <c r="D2464">
        <v>16</v>
      </c>
      <c r="E2464">
        <v>6</v>
      </c>
      <c r="F2464">
        <v>4</v>
      </c>
      <c r="G2464">
        <v>72.7</v>
      </c>
    </row>
    <row r="2465" spans="1:7">
      <c r="A2465">
        <v>206</v>
      </c>
      <c r="B2465" s="1">
        <v>46023</v>
      </c>
      <c r="C2465">
        <v>21</v>
      </c>
      <c r="D2465">
        <v>14</v>
      </c>
      <c r="E2465">
        <v>7</v>
      </c>
      <c r="F2465">
        <v>1</v>
      </c>
      <c r="G2465">
        <v>66.7</v>
      </c>
    </row>
    <row r="2466" spans="1:7">
      <c r="A2466">
        <v>206</v>
      </c>
      <c r="B2466" s="1">
        <v>46054</v>
      </c>
      <c r="C2466">
        <v>22</v>
      </c>
      <c r="D2466">
        <v>14</v>
      </c>
      <c r="E2466">
        <v>8</v>
      </c>
      <c r="F2466">
        <v>5</v>
      </c>
      <c r="G2466">
        <v>63.6</v>
      </c>
    </row>
    <row r="2467" spans="1:7">
      <c r="A2467">
        <v>206</v>
      </c>
      <c r="B2467" s="1">
        <v>46082</v>
      </c>
      <c r="C2467">
        <v>21</v>
      </c>
      <c r="D2467">
        <v>15</v>
      </c>
      <c r="E2467">
        <v>6</v>
      </c>
      <c r="F2467">
        <v>6</v>
      </c>
      <c r="G2467">
        <v>71.400000000000006</v>
      </c>
    </row>
    <row r="2468" spans="1:7">
      <c r="A2468">
        <v>206</v>
      </c>
      <c r="B2468" s="1">
        <v>46113</v>
      </c>
      <c r="C2468">
        <v>18</v>
      </c>
      <c r="D2468">
        <v>11</v>
      </c>
      <c r="E2468">
        <v>7</v>
      </c>
      <c r="F2468">
        <v>1</v>
      </c>
      <c r="G2468">
        <v>61.1</v>
      </c>
    </row>
    <row r="2469" spans="1:7">
      <c r="A2469">
        <v>206</v>
      </c>
      <c r="B2469" s="1">
        <v>46143</v>
      </c>
      <c r="C2469">
        <v>21</v>
      </c>
      <c r="D2469">
        <v>17</v>
      </c>
      <c r="E2469">
        <v>4</v>
      </c>
      <c r="F2469">
        <v>5</v>
      </c>
      <c r="G2469">
        <v>81</v>
      </c>
    </row>
    <row r="2470" spans="1:7">
      <c r="A2470">
        <v>206</v>
      </c>
      <c r="B2470" s="1">
        <v>46174</v>
      </c>
      <c r="C2470">
        <v>19</v>
      </c>
      <c r="D2470">
        <v>14</v>
      </c>
      <c r="E2470">
        <v>5</v>
      </c>
      <c r="F2470">
        <v>1</v>
      </c>
      <c r="G2470">
        <v>73.7</v>
      </c>
    </row>
    <row r="2471" spans="1:7">
      <c r="A2471">
        <v>206</v>
      </c>
      <c r="B2471" s="1">
        <v>46204</v>
      </c>
      <c r="C2471">
        <v>21</v>
      </c>
      <c r="D2471">
        <v>14</v>
      </c>
      <c r="E2471">
        <v>7</v>
      </c>
      <c r="F2471">
        <v>1</v>
      </c>
      <c r="G2471">
        <v>66.7</v>
      </c>
    </row>
    <row r="2472" spans="1:7">
      <c r="A2472">
        <v>206</v>
      </c>
      <c r="B2472" s="1">
        <v>46235</v>
      </c>
      <c r="C2472">
        <v>18</v>
      </c>
      <c r="D2472">
        <v>12</v>
      </c>
      <c r="E2472">
        <v>6</v>
      </c>
      <c r="F2472">
        <v>0</v>
      </c>
      <c r="G2472">
        <v>66.7</v>
      </c>
    </row>
    <row r="2473" spans="1:7">
      <c r="A2473">
        <v>206</v>
      </c>
      <c r="B2473" s="1">
        <v>46266</v>
      </c>
      <c r="C2473">
        <v>22</v>
      </c>
      <c r="D2473">
        <v>17</v>
      </c>
      <c r="E2473">
        <v>5</v>
      </c>
      <c r="F2473">
        <v>6</v>
      </c>
      <c r="G2473">
        <v>77.3</v>
      </c>
    </row>
    <row r="2474" spans="1:7">
      <c r="A2474">
        <v>207</v>
      </c>
      <c r="B2474" s="1">
        <v>45931</v>
      </c>
      <c r="C2474">
        <v>21</v>
      </c>
      <c r="D2474">
        <v>15</v>
      </c>
      <c r="E2474">
        <v>6</v>
      </c>
      <c r="F2474">
        <v>2</v>
      </c>
      <c r="G2474">
        <v>71.400000000000006</v>
      </c>
    </row>
    <row r="2475" spans="1:7">
      <c r="A2475">
        <v>207</v>
      </c>
      <c r="B2475" s="1">
        <v>45962</v>
      </c>
      <c r="C2475">
        <v>22</v>
      </c>
      <c r="D2475">
        <v>20</v>
      </c>
      <c r="E2475">
        <v>2</v>
      </c>
      <c r="F2475">
        <v>1</v>
      </c>
      <c r="G2475">
        <v>90.9</v>
      </c>
    </row>
    <row r="2476" spans="1:7">
      <c r="A2476">
        <v>207</v>
      </c>
      <c r="B2476" s="1">
        <v>45992</v>
      </c>
      <c r="C2476">
        <v>20</v>
      </c>
      <c r="D2476">
        <v>15</v>
      </c>
      <c r="E2476">
        <v>5</v>
      </c>
      <c r="F2476">
        <v>3</v>
      </c>
      <c r="G2476">
        <v>75</v>
      </c>
    </row>
    <row r="2477" spans="1:7">
      <c r="A2477">
        <v>207</v>
      </c>
      <c r="B2477" s="1">
        <v>46023</v>
      </c>
      <c r="C2477">
        <v>18</v>
      </c>
      <c r="D2477">
        <v>12</v>
      </c>
      <c r="E2477">
        <v>6</v>
      </c>
      <c r="F2477">
        <v>5</v>
      </c>
      <c r="G2477">
        <v>66.7</v>
      </c>
    </row>
    <row r="2478" spans="1:7">
      <c r="A2478">
        <v>207</v>
      </c>
      <c r="B2478" s="1">
        <v>46054</v>
      </c>
      <c r="C2478">
        <v>22</v>
      </c>
      <c r="D2478">
        <v>16</v>
      </c>
      <c r="E2478">
        <v>6</v>
      </c>
      <c r="F2478">
        <v>4</v>
      </c>
      <c r="G2478">
        <v>72.7</v>
      </c>
    </row>
    <row r="2479" spans="1:7">
      <c r="A2479">
        <v>207</v>
      </c>
      <c r="B2479" s="1">
        <v>46082</v>
      </c>
      <c r="C2479">
        <v>18</v>
      </c>
      <c r="D2479">
        <v>11</v>
      </c>
      <c r="E2479">
        <v>7</v>
      </c>
      <c r="F2479">
        <v>4</v>
      </c>
      <c r="G2479">
        <v>61.1</v>
      </c>
    </row>
    <row r="2480" spans="1:7">
      <c r="A2480">
        <v>207</v>
      </c>
      <c r="B2480" s="1">
        <v>46113</v>
      </c>
      <c r="C2480">
        <v>21</v>
      </c>
      <c r="D2480">
        <v>13</v>
      </c>
      <c r="E2480">
        <v>8</v>
      </c>
      <c r="F2480">
        <v>3</v>
      </c>
      <c r="G2480">
        <v>61.9</v>
      </c>
    </row>
    <row r="2481" spans="1:7">
      <c r="A2481">
        <v>207</v>
      </c>
      <c r="B2481" s="1">
        <v>46143</v>
      </c>
      <c r="C2481">
        <v>20</v>
      </c>
      <c r="D2481">
        <v>15</v>
      </c>
      <c r="E2481">
        <v>5</v>
      </c>
      <c r="F2481">
        <v>1</v>
      </c>
      <c r="G2481">
        <v>75</v>
      </c>
    </row>
    <row r="2482" spans="1:7">
      <c r="A2482">
        <v>207</v>
      </c>
      <c r="B2482" s="1">
        <v>46174</v>
      </c>
      <c r="C2482">
        <v>19</v>
      </c>
      <c r="D2482">
        <v>15</v>
      </c>
      <c r="E2482">
        <v>4</v>
      </c>
      <c r="F2482">
        <v>1</v>
      </c>
      <c r="G2482">
        <v>78.900000000000006</v>
      </c>
    </row>
    <row r="2483" spans="1:7">
      <c r="A2483">
        <v>207</v>
      </c>
      <c r="B2483" s="1">
        <v>46204</v>
      </c>
      <c r="C2483">
        <v>22</v>
      </c>
      <c r="D2483">
        <v>18</v>
      </c>
      <c r="E2483">
        <v>4</v>
      </c>
      <c r="F2483">
        <v>6</v>
      </c>
      <c r="G2483">
        <v>81.8</v>
      </c>
    </row>
    <row r="2484" spans="1:7">
      <c r="A2484">
        <v>207</v>
      </c>
      <c r="B2484" s="1">
        <v>46235</v>
      </c>
      <c r="C2484">
        <v>19</v>
      </c>
      <c r="D2484">
        <v>15</v>
      </c>
      <c r="E2484">
        <v>4</v>
      </c>
      <c r="F2484">
        <v>3</v>
      </c>
      <c r="G2484">
        <v>78.900000000000006</v>
      </c>
    </row>
    <row r="2485" spans="1:7">
      <c r="A2485">
        <v>207</v>
      </c>
      <c r="B2485" s="1">
        <v>46266</v>
      </c>
      <c r="C2485">
        <v>20</v>
      </c>
      <c r="D2485">
        <v>19</v>
      </c>
      <c r="E2485">
        <v>1</v>
      </c>
      <c r="F2485">
        <v>0</v>
      </c>
      <c r="G2485">
        <v>95</v>
      </c>
    </row>
    <row r="2486" spans="1:7">
      <c r="A2486">
        <v>208</v>
      </c>
      <c r="B2486" s="1">
        <v>45931</v>
      </c>
      <c r="C2486">
        <v>20</v>
      </c>
      <c r="D2486">
        <v>16</v>
      </c>
      <c r="E2486">
        <v>4</v>
      </c>
      <c r="F2486">
        <v>0</v>
      </c>
      <c r="G2486">
        <v>80</v>
      </c>
    </row>
    <row r="2487" spans="1:7">
      <c r="A2487">
        <v>208</v>
      </c>
      <c r="B2487" s="1">
        <v>45962</v>
      </c>
      <c r="C2487">
        <v>22</v>
      </c>
      <c r="D2487">
        <v>18</v>
      </c>
      <c r="E2487">
        <v>4</v>
      </c>
      <c r="F2487">
        <v>6</v>
      </c>
      <c r="G2487">
        <v>81.8</v>
      </c>
    </row>
    <row r="2488" spans="1:7">
      <c r="A2488">
        <v>208</v>
      </c>
      <c r="B2488" s="1">
        <v>45992</v>
      </c>
      <c r="C2488">
        <v>18</v>
      </c>
      <c r="D2488">
        <v>11</v>
      </c>
      <c r="E2488">
        <v>7</v>
      </c>
      <c r="F2488">
        <v>0</v>
      </c>
      <c r="G2488">
        <v>61.1</v>
      </c>
    </row>
    <row r="2489" spans="1:7">
      <c r="A2489">
        <v>208</v>
      </c>
      <c r="B2489" s="1">
        <v>46023</v>
      </c>
      <c r="C2489">
        <v>18</v>
      </c>
      <c r="D2489">
        <v>12</v>
      </c>
      <c r="E2489">
        <v>6</v>
      </c>
      <c r="F2489">
        <v>1</v>
      </c>
      <c r="G2489">
        <v>66.7</v>
      </c>
    </row>
    <row r="2490" spans="1:7">
      <c r="A2490">
        <v>208</v>
      </c>
      <c r="B2490" s="1">
        <v>46054</v>
      </c>
      <c r="C2490">
        <v>20</v>
      </c>
      <c r="D2490">
        <v>17</v>
      </c>
      <c r="E2490">
        <v>3</v>
      </c>
      <c r="F2490">
        <v>0</v>
      </c>
      <c r="G2490">
        <v>85</v>
      </c>
    </row>
    <row r="2491" spans="1:7">
      <c r="A2491">
        <v>208</v>
      </c>
      <c r="B2491" s="1">
        <v>46082</v>
      </c>
      <c r="C2491">
        <v>21</v>
      </c>
      <c r="D2491">
        <v>17</v>
      </c>
      <c r="E2491">
        <v>4</v>
      </c>
      <c r="F2491">
        <v>6</v>
      </c>
      <c r="G2491">
        <v>81</v>
      </c>
    </row>
    <row r="2492" spans="1:7">
      <c r="A2492">
        <v>208</v>
      </c>
      <c r="B2492" s="1">
        <v>46113</v>
      </c>
      <c r="C2492">
        <v>20</v>
      </c>
      <c r="D2492">
        <v>16</v>
      </c>
      <c r="E2492">
        <v>4</v>
      </c>
      <c r="F2492">
        <v>0</v>
      </c>
      <c r="G2492">
        <v>80</v>
      </c>
    </row>
    <row r="2493" spans="1:7">
      <c r="A2493">
        <v>208</v>
      </c>
      <c r="B2493" s="1">
        <v>46143</v>
      </c>
      <c r="C2493">
        <v>21</v>
      </c>
      <c r="D2493">
        <v>19</v>
      </c>
      <c r="E2493">
        <v>2</v>
      </c>
      <c r="F2493">
        <v>0</v>
      </c>
      <c r="G2493">
        <v>90.5</v>
      </c>
    </row>
    <row r="2494" spans="1:7">
      <c r="A2494">
        <v>208</v>
      </c>
      <c r="B2494" s="1">
        <v>46174</v>
      </c>
      <c r="C2494">
        <v>21</v>
      </c>
      <c r="D2494">
        <v>13</v>
      </c>
      <c r="E2494">
        <v>8</v>
      </c>
      <c r="F2494">
        <v>0</v>
      </c>
      <c r="G2494">
        <v>61.9</v>
      </c>
    </row>
    <row r="2495" spans="1:7">
      <c r="A2495">
        <v>208</v>
      </c>
      <c r="B2495" s="1">
        <v>46204</v>
      </c>
      <c r="C2495">
        <v>19</v>
      </c>
      <c r="D2495">
        <v>14</v>
      </c>
      <c r="E2495">
        <v>5</v>
      </c>
      <c r="F2495">
        <v>5</v>
      </c>
      <c r="G2495">
        <v>73.7</v>
      </c>
    </row>
    <row r="2496" spans="1:7">
      <c r="A2496">
        <v>208</v>
      </c>
      <c r="B2496" s="1">
        <v>46235</v>
      </c>
      <c r="C2496">
        <v>21</v>
      </c>
      <c r="D2496">
        <v>19</v>
      </c>
      <c r="E2496">
        <v>2</v>
      </c>
      <c r="F2496">
        <v>3</v>
      </c>
      <c r="G2496">
        <v>90.5</v>
      </c>
    </row>
    <row r="2497" spans="1:7">
      <c r="A2497">
        <v>208</v>
      </c>
      <c r="B2497" s="1">
        <v>46266</v>
      </c>
      <c r="C2497">
        <v>19</v>
      </c>
      <c r="D2497">
        <v>15</v>
      </c>
      <c r="E2497">
        <v>4</v>
      </c>
      <c r="F2497">
        <v>1</v>
      </c>
      <c r="G2497">
        <v>78.900000000000006</v>
      </c>
    </row>
    <row r="2498" spans="1:7">
      <c r="A2498">
        <v>209</v>
      </c>
      <c r="B2498" s="1">
        <v>45931</v>
      </c>
      <c r="C2498">
        <v>20</v>
      </c>
      <c r="D2498">
        <v>11</v>
      </c>
      <c r="E2498">
        <v>9</v>
      </c>
      <c r="F2498">
        <v>4</v>
      </c>
      <c r="G2498">
        <v>55</v>
      </c>
    </row>
    <row r="2499" spans="1:7">
      <c r="A2499">
        <v>209</v>
      </c>
      <c r="B2499" s="1">
        <v>45962</v>
      </c>
      <c r="C2499">
        <v>22</v>
      </c>
      <c r="D2499">
        <v>14</v>
      </c>
      <c r="E2499">
        <v>8</v>
      </c>
      <c r="F2499">
        <v>6</v>
      </c>
      <c r="G2499">
        <v>63.6</v>
      </c>
    </row>
    <row r="2500" spans="1:7">
      <c r="A2500">
        <v>209</v>
      </c>
      <c r="B2500" s="1">
        <v>45992</v>
      </c>
      <c r="C2500">
        <v>18</v>
      </c>
      <c r="D2500">
        <v>10</v>
      </c>
      <c r="E2500">
        <v>8</v>
      </c>
      <c r="F2500">
        <v>2</v>
      </c>
      <c r="G2500">
        <v>55.6</v>
      </c>
    </row>
    <row r="2501" spans="1:7">
      <c r="A2501">
        <v>209</v>
      </c>
      <c r="B2501" s="1">
        <v>46023</v>
      </c>
      <c r="C2501">
        <v>21</v>
      </c>
      <c r="D2501">
        <v>12</v>
      </c>
      <c r="E2501">
        <v>9</v>
      </c>
      <c r="F2501">
        <v>4</v>
      </c>
      <c r="G2501">
        <v>57.1</v>
      </c>
    </row>
    <row r="2502" spans="1:7">
      <c r="A2502">
        <v>209</v>
      </c>
      <c r="B2502" s="1">
        <v>46054</v>
      </c>
      <c r="C2502">
        <v>22</v>
      </c>
      <c r="D2502">
        <v>16</v>
      </c>
      <c r="E2502">
        <v>6</v>
      </c>
      <c r="F2502">
        <v>5</v>
      </c>
      <c r="G2502">
        <v>72.7</v>
      </c>
    </row>
    <row r="2503" spans="1:7">
      <c r="A2503">
        <v>209</v>
      </c>
      <c r="B2503" s="1">
        <v>46082</v>
      </c>
      <c r="C2503">
        <v>20</v>
      </c>
      <c r="D2503">
        <v>13</v>
      </c>
      <c r="E2503">
        <v>7</v>
      </c>
      <c r="F2503">
        <v>0</v>
      </c>
      <c r="G2503">
        <v>65</v>
      </c>
    </row>
    <row r="2504" spans="1:7">
      <c r="A2504">
        <v>209</v>
      </c>
      <c r="B2504" s="1">
        <v>46113</v>
      </c>
      <c r="C2504">
        <v>19</v>
      </c>
      <c r="D2504">
        <v>13</v>
      </c>
      <c r="E2504">
        <v>6</v>
      </c>
      <c r="F2504">
        <v>4</v>
      </c>
      <c r="G2504">
        <v>68.400000000000006</v>
      </c>
    </row>
    <row r="2505" spans="1:7">
      <c r="A2505">
        <v>209</v>
      </c>
      <c r="B2505" s="1">
        <v>46143</v>
      </c>
      <c r="C2505">
        <v>22</v>
      </c>
      <c r="D2505">
        <v>16</v>
      </c>
      <c r="E2505">
        <v>6</v>
      </c>
      <c r="F2505">
        <v>6</v>
      </c>
      <c r="G2505">
        <v>72.7</v>
      </c>
    </row>
    <row r="2506" spans="1:7">
      <c r="A2506">
        <v>209</v>
      </c>
      <c r="B2506" s="1">
        <v>46174</v>
      </c>
      <c r="C2506">
        <v>19</v>
      </c>
      <c r="D2506">
        <v>11</v>
      </c>
      <c r="E2506">
        <v>8</v>
      </c>
      <c r="F2506">
        <v>1</v>
      </c>
      <c r="G2506">
        <v>57.9</v>
      </c>
    </row>
    <row r="2507" spans="1:7">
      <c r="A2507">
        <v>209</v>
      </c>
      <c r="B2507" s="1">
        <v>46204</v>
      </c>
      <c r="C2507">
        <v>18</v>
      </c>
      <c r="D2507">
        <v>10</v>
      </c>
      <c r="E2507">
        <v>8</v>
      </c>
      <c r="F2507">
        <v>2</v>
      </c>
      <c r="G2507">
        <v>55.6</v>
      </c>
    </row>
    <row r="2508" spans="1:7">
      <c r="A2508">
        <v>209</v>
      </c>
      <c r="B2508" s="1">
        <v>46235</v>
      </c>
      <c r="C2508">
        <v>19</v>
      </c>
      <c r="D2508">
        <v>11</v>
      </c>
      <c r="E2508">
        <v>8</v>
      </c>
      <c r="F2508">
        <v>1</v>
      </c>
      <c r="G2508">
        <v>57.9</v>
      </c>
    </row>
    <row r="2509" spans="1:7">
      <c r="A2509">
        <v>209</v>
      </c>
      <c r="B2509" s="1">
        <v>46266</v>
      </c>
      <c r="C2509">
        <v>20</v>
      </c>
      <c r="D2509">
        <v>10</v>
      </c>
      <c r="E2509">
        <v>10</v>
      </c>
      <c r="F2509">
        <v>2</v>
      </c>
      <c r="G2509">
        <v>50</v>
      </c>
    </row>
    <row r="2510" spans="1:7">
      <c r="A2510">
        <v>210</v>
      </c>
      <c r="B2510" s="1">
        <v>45931</v>
      </c>
      <c r="C2510">
        <v>21</v>
      </c>
      <c r="D2510">
        <v>16</v>
      </c>
      <c r="E2510">
        <v>5</v>
      </c>
      <c r="F2510">
        <v>5</v>
      </c>
      <c r="G2510">
        <v>76.2</v>
      </c>
    </row>
    <row r="2511" spans="1:7">
      <c r="A2511">
        <v>210</v>
      </c>
      <c r="B2511" s="1">
        <v>45962</v>
      </c>
      <c r="C2511">
        <v>22</v>
      </c>
      <c r="D2511">
        <v>17</v>
      </c>
      <c r="E2511">
        <v>5</v>
      </c>
      <c r="F2511">
        <v>5</v>
      </c>
      <c r="G2511">
        <v>77.3</v>
      </c>
    </row>
    <row r="2512" spans="1:7">
      <c r="A2512">
        <v>210</v>
      </c>
      <c r="B2512" s="1">
        <v>45992</v>
      </c>
      <c r="C2512">
        <v>20</v>
      </c>
      <c r="D2512">
        <v>19</v>
      </c>
      <c r="E2512">
        <v>1</v>
      </c>
      <c r="F2512">
        <v>3</v>
      </c>
      <c r="G2512">
        <v>95</v>
      </c>
    </row>
    <row r="2513" spans="1:7">
      <c r="A2513">
        <v>210</v>
      </c>
      <c r="B2513" s="1">
        <v>46023</v>
      </c>
      <c r="C2513">
        <v>22</v>
      </c>
      <c r="D2513">
        <v>17</v>
      </c>
      <c r="E2513">
        <v>5</v>
      </c>
      <c r="F2513">
        <v>3</v>
      </c>
      <c r="G2513">
        <v>77.3</v>
      </c>
    </row>
    <row r="2514" spans="1:7">
      <c r="A2514">
        <v>210</v>
      </c>
      <c r="B2514" s="1">
        <v>46054</v>
      </c>
      <c r="C2514">
        <v>19</v>
      </c>
      <c r="D2514">
        <v>15</v>
      </c>
      <c r="E2514">
        <v>4</v>
      </c>
      <c r="F2514">
        <v>6</v>
      </c>
      <c r="G2514">
        <v>78.900000000000006</v>
      </c>
    </row>
    <row r="2515" spans="1:7">
      <c r="A2515">
        <v>210</v>
      </c>
      <c r="B2515" s="1">
        <v>46082</v>
      </c>
      <c r="C2515">
        <v>20</v>
      </c>
      <c r="D2515">
        <v>14</v>
      </c>
      <c r="E2515">
        <v>6</v>
      </c>
      <c r="F2515">
        <v>3</v>
      </c>
      <c r="G2515">
        <v>70</v>
      </c>
    </row>
    <row r="2516" spans="1:7">
      <c r="A2516">
        <v>210</v>
      </c>
      <c r="B2516" s="1">
        <v>46113</v>
      </c>
      <c r="C2516">
        <v>18</v>
      </c>
      <c r="D2516">
        <v>17</v>
      </c>
      <c r="E2516">
        <v>1</v>
      </c>
      <c r="F2516">
        <v>2</v>
      </c>
      <c r="G2516">
        <v>94.4</v>
      </c>
    </row>
    <row r="2517" spans="1:7">
      <c r="A2517">
        <v>210</v>
      </c>
      <c r="B2517" s="1">
        <v>46143</v>
      </c>
      <c r="C2517">
        <v>19</v>
      </c>
      <c r="D2517">
        <v>16</v>
      </c>
      <c r="E2517">
        <v>3</v>
      </c>
      <c r="F2517">
        <v>6</v>
      </c>
      <c r="G2517">
        <v>84.2</v>
      </c>
    </row>
    <row r="2518" spans="1:7">
      <c r="A2518">
        <v>210</v>
      </c>
      <c r="B2518" s="1">
        <v>46174</v>
      </c>
      <c r="C2518">
        <v>19</v>
      </c>
      <c r="D2518">
        <v>12</v>
      </c>
      <c r="E2518">
        <v>7</v>
      </c>
      <c r="F2518">
        <v>3</v>
      </c>
      <c r="G2518">
        <v>63.2</v>
      </c>
    </row>
    <row r="2519" spans="1:7">
      <c r="A2519">
        <v>210</v>
      </c>
      <c r="B2519" s="1">
        <v>46204</v>
      </c>
      <c r="C2519">
        <v>21</v>
      </c>
      <c r="D2519">
        <v>17</v>
      </c>
      <c r="E2519">
        <v>4</v>
      </c>
      <c r="F2519">
        <v>4</v>
      </c>
      <c r="G2519">
        <v>81</v>
      </c>
    </row>
    <row r="2520" spans="1:7">
      <c r="A2520">
        <v>210</v>
      </c>
      <c r="B2520" s="1">
        <v>46235</v>
      </c>
      <c r="C2520">
        <v>20</v>
      </c>
      <c r="D2520">
        <v>15</v>
      </c>
      <c r="E2520">
        <v>5</v>
      </c>
      <c r="F2520">
        <v>4</v>
      </c>
      <c r="G2520">
        <v>75</v>
      </c>
    </row>
    <row r="2521" spans="1:7">
      <c r="A2521">
        <v>210</v>
      </c>
      <c r="B2521" s="1">
        <v>46266</v>
      </c>
      <c r="C2521">
        <v>21</v>
      </c>
      <c r="D2521">
        <v>19</v>
      </c>
      <c r="E2521">
        <v>2</v>
      </c>
      <c r="F2521">
        <v>3</v>
      </c>
      <c r="G2521">
        <v>90.5</v>
      </c>
    </row>
    <row r="2522" spans="1:7">
      <c r="A2522">
        <v>211</v>
      </c>
      <c r="B2522" s="1">
        <v>45931</v>
      </c>
      <c r="C2522">
        <v>19</v>
      </c>
      <c r="D2522">
        <v>18</v>
      </c>
      <c r="E2522">
        <v>1</v>
      </c>
      <c r="F2522">
        <v>0</v>
      </c>
      <c r="G2522">
        <v>94.7</v>
      </c>
    </row>
    <row r="2523" spans="1:7">
      <c r="A2523">
        <v>211</v>
      </c>
      <c r="B2523" s="1">
        <v>45962</v>
      </c>
      <c r="C2523">
        <v>21</v>
      </c>
      <c r="D2523">
        <v>19</v>
      </c>
      <c r="E2523">
        <v>2</v>
      </c>
      <c r="F2523">
        <v>1</v>
      </c>
      <c r="G2523">
        <v>90.5</v>
      </c>
    </row>
    <row r="2524" spans="1:7">
      <c r="A2524">
        <v>211</v>
      </c>
      <c r="B2524" s="1">
        <v>45992</v>
      </c>
      <c r="C2524">
        <v>18</v>
      </c>
      <c r="D2524">
        <v>13</v>
      </c>
      <c r="E2524">
        <v>5</v>
      </c>
      <c r="F2524">
        <v>3</v>
      </c>
      <c r="G2524">
        <v>72.2</v>
      </c>
    </row>
    <row r="2525" spans="1:7">
      <c r="A2525">
        <v>211</v>
      </c>
      <c r="B2525" s="1">
        <v>46023</v>
      </c>
      <c r="C2525">
        <v>20</v>
      </c>
      <c r="D2525">
        <v>17</v>
      </c>
      <c r="E2525">
        <v>3</v>
      </c>
      <c r="F2525">
        <v>4</v>
      </c>
      <c r="G2525">
        <v>85</v>
      </c>
    </row>
    <row r="2526" spans="1:7">
      <c r="A2526">
        <v>211</v>
      </c>
      <c r="B2526" s="1">
        <v>46054</v>
      </c>
      <c r="C2526">
        <v>22</v>
      </c>
      <c r="D2526">
        <v>19</v>
      </c>
      <c r="E2526">
        <v>3</v>
      </c>
      <c r="F2526">
        <v>1</v>
      </c>
      <c r="G2526">
        <v>86.4</v>
      </c>
    </row>
    <row r="2527" spans="1:7">
      <c r="A2527">
        <v>211</v>
      </c>
      <c r="B2527" s="1">
        <v>46082</v>
      </c>
      <c r="C2527">
        <v>20</v>
      </c>
      <c r="D2527">
        <v>17</v>
      </c>
      <c r="E2527">
        <v>3</v>
      </c>
      <c r="F2527">
        <v>3</v>
      </c>
      <c r="G2527">
        <v>85</v>
      </c>
    </row>
    <row r="2528" spans="1:7">
      <c r="A2528">
        <v>211</v>
      </c>
      <c r="B2528" s="1">
        <v>46113</v>
      </c>
      <c r="C2528">
        <v>19</v>
      </c>
      <c r="D2528">
        <v>16</v>
      </c>
      <c r="E2528">
        <v>3</v>
      </c>
      <c r="F2528">
        <v>5</v>
      </c>
      <c r="G2528">
        <v>84.2</v>
      </c>
    </row>
    <row r="2529" spans="1:7">
      <c r="A2529">
        <v>211</v>
      </c>
      <c r="B2529" s="1">
        <v>46143</v>
      </c>
      <c r="C2529">
        <v>20</v>
      </c>
      <c r="D2529">
        <v>16</v>
      </c>
      <c r="E2529">
        <v>4</v>
      </c>
      <c r="F2529">
        <v>2</v>
      </c>
      <c r="G2529">
        <v>80</v>
      </c>
    </row>
    <row r="2530" spans="1:7">
      <c r="A2530">
        <v>211</v>
      </c>
      <c r="B2530" s="1">
        <v>46174</v>
      </c>
      <c r="C2530">
        <v>19</v>
      </c>
      <c r="D2530">
        <v>16</v>
      </c>
      <c r="E2530">
        <v>3</v>
      </c>
      <c r="F2530">
        <v>2</v>
      </c>
      <c r="G2530">
        <v>84.2</v>
      </c>
    </row>
    <row r="2531" spans="1:7">
      <c r="A2531">
        <v>211</v>
      </c>
      <c r="B2531" s="1">
        <v>46204</v>
      </c>
      <c r="C2531">
        <v>18</v>
      </c>
      <c r="D2531">
        <v>16</v>
      </c>
      <c r="E2531">
        <v>2</v>
      </c>
      <c r="F2531">
        <v>5</v>
      </c>
      <c r="G2531">
        <v>88.9</v>
      </c>
    </row>
    <row r="2532" spans="1:7">
      <c r="A2532">
        <v>211</v>
      </c>
      <c r="B2532" s="1">
        <v>46235</v>
      </c>
      <c r="C2532">
        <v>20</v>
      </c>
      <c r="D2532">
        <v>16</v>
      </c>
      <c r="E2532">
        <v>4</v>
      </c>
      <c r="F2532">
        <v>2</v>
      </c>
      <c r="G2532">
        <v>80</v>
      </c>
    </row>
    <row r="2533" spans="1:7">
      <c r="A2533">
        <v>211</v>
      </c>
      <c r="B2533" s="1">
        <v>46266</v>
      </c>
      <c r="C2533">
        <v>19</v>
      </c>
      <c r="D2533">
        <v>13</v>
      </c>
      <c r="E2533">
        <v>6</v>
      </c>
      <c r="F2533">
        <v>4</v>
      </c>
      <c r="G2533">
        <v>68.400000000000006</v>
      </c>
    </row>
    <row r="2534" spans="1:7">
      <c r="A2534">
        <v>212</v>
      </c>
      <c r="B2534" s="1">
        <v>45931</v>
      </c>
      <c r="C2534">
        <v>18</v>
      </c>
      <c r="D2534">
        <v>18</v>
      </c>
      <c r="E2534">
        <v>0</v>
      </c>
      <c r="F2534">
        <v>1</v>
      </c>
      <c r="G2534">
        <v>100</v>
      </c>
    </row>
    <row r="2535" spans="1:7">
      <c r="A2535">
        <v>212</v>
      </c>
      <c r="B2535" s="1">
        <v>45962</v>
      </c>
      <c r="C2535">
        <v>18</v>
      </c>
      <c r="D2535">
        <v>14</v>
      </c>
      <c r="E2535">
        <v>4</v>
      </c>
      <c r="F2535">
        <v>4</v>
      </c>
      <c r="G2535">
        <v>77.8</v>
      </c>
    </row>
    <row r="2536" spans="1:7">
      <c r="A2536">
        <v>212</v>
      </c>
      <c r="B2536" s="1">
        <v>45992</v>
      </c>
      <c r="C2536">
        <v>20</v>
      </c>
      <c r="D2536">
        <v>19</v>
      </c>
      <c r="E2536">
        <v>1</v>
      </c>
      <c r="F2536">
        <v>0</v>
      </c>
      <c r="G2536">
        <v>95</v>
      </c>
    </row>
    <row r="2537" spans="1:7">
      <c r="A2537">
        <v>212</v>
      </c>
      <c r="B2537" s="1">
        <v>46023</v>
      </c>
      <c r="C2537">
        <v>22</v>
      </c>
      <c r="D2537">
        <v>22</v>
      </c>
      <c r="E2537">
        <v>0</v>
      </c>
      <c r="F2537">
        <v>3</v>
      </c>
      <c r="G2537">
        <v>100</v>
      </c>
    </row>
    <row r="2538" spans="1:7">
      <c r="A2538">
        <v>212</v>
      </c>
      <c r="B2538" s="1">
        <v>46054</v>
      </c>
      <c r="C2538">
        <v>21</v>
      </c>
      <c r="D2538">
        <v>20</v>
      </c>
      <c r="E2538">
        <v>1</v>
      </c>
      <c r="F2538">
        <v>1</v>
      </c>
      <c r="G2538">
        <v>95.2</v>
      </c>
    </row>
    <row r="2539" spans="1:7">
      <c r="A2539">
        <v>212</v>
      </c>
      <c r="B2539" s="1">
        <v>46082</v>
      </c>
      <c r="C2539">
        <v>18</v>
      </c>
      <c r="D2539">
        <v>15</v>
      </c>
      <c r="E2539">
        <v>3</v>
      </c>
      <c r="F2539">
        <v>6</v>
      </c>
      <c r="G2539">
        <v>83.3</v>
      </c>
    </row>
    <row r="2540" spans="1:7">
      <c r="A2540">
        <v>212</v>
      </c>
      <c r="B2540" s="1">
        <v>46113</v>
      </c>
      <c r="C2540">
        <v>21</v>
      </c>
      <c r="D2540">
        <v>21</v>
      </c>
      <c r="E2540">
        <v>0</v>
      </c>
      <c r="F2540">
        <v>3</v>
      </c>
      <c r="G2540">
        <v>100</v>
      </c>
    </row>
    <row r="2541" spans="1:7">
      <c r="A2541">
        <v>212</v>
      </c>
      <c r="B2541" s="1">
        <v>46143</v>
      </c>
      <c r="C2541">
        <v>18</v>
      </c>
      <c r="D2541">
        <v>16</v>
      </c>
      <c r="E2541">
        <v>2</v>
      </c>
      <c r="F2541">
        <v>0</v>
      </c>
      <c r="G2541">
        <v>88.9</v>
      </c>
    </row>
    <row r="2542" spans="1:7">
      <c r="A2542">
        <v>212</v>
      </c>
      <c r="B2542" s="1">
        <v>46174</v>
      </c>
      <c r="C2542">
        <v>21</v>
      </c>
      <c r="D2542">
        <v>18</v>
      </c>
      <c r="E2542">
        <v>3</v>
      </c>
      <c r="F2542">
        <v>3</v>
      </c>
      <c r="G2542">
        <v>85.7</v>
      </c>
    </row>
    <row r="2543" spans="1:7">
      <c r="A2543">
        <v>212</v>
      </c>
      <c r="B2543" s="1">
        <v>46204</v>
      </c>
      <c r="C2543">
        <v>19</v>
      </c>
      <c r="D2543">
        <v>16</v>
      </c>
      <c r="E2543">
        <v>3</v>
      </c>
      <c r="F2543">
        <v>4</v>
      </c>
      <c r="G2543">
        <v>84.2</v>
      </c>
    </row>
    <row r="2544" spans="1:7">
      <c r="A2544">
        <v>212</v>
      </c>
      <c r="B2544" s="1">
        <v>46235</v>
      </c>
      <c r="C2544">
        <v>18</v>
      </c>
      <c r="D2544">
        <v>17</v>
      </c>
      <c r="E2544">
        <v>1</v>
      </c>
      <c r="F2544">
        <v>4</v>
      </c>
      <c r="G2544">
        <v>94.4</v>
      </c>
    </row>
    <row r="2545" spans="1:7">
      <c r="A2545">
        <v>212</v>
      </c>
      <c r="B2545" s="1">
        <v>46266</v>
      </c>
      <c r="C2545">
        <v>18</v>
      </c>
      <c r="D2545">
        <v>13</v>
      </c>
      <c r="E2545">
        <v>5</v>
      </c>
      <c r="F2545">
        <v>3</v>
      </c>
      <c r="G2545">
        <v>72.2</v>
      </c>
    </row>
    <row r="2546" spans="1:7">
      <c r="A2546">
        <v>213</v>
      </c>
      <c r="B2546" s="1">
        <v>45931</v>
      </c>
      <c r="C2546">
        <v>20</v>
      </c>
      <c r="D2546">
        <v>11</v>
      </c>
      <c r="E2546">
        <v>9</v>
      </c>
      <c r="F2546">
        <v>0</v>
      </c>
      <c r="G2546">
        <v>55</v>
      </c>
    </row>
    <row r="2547" spans="1:7">
      <c r="A2547">
        <v>213</v>
      </c>
      <c r="B2547" s="1">
        <v>45962</v>
      </c>
      <c r="C2547">
        <v>22</v>
      </c>
      <c r="D2547">
        <v>13</v>
      </c>
      <c r="E2547">
        <v>9</v>
      </c>
      <c r="F2547">
        <v>4</v>
      </c>
      <c r="G2547">
        <v>59.1</v>
      </c>
    </row>
    <row r="2548" spans="1:7">
      <c r="A2548">
        <v>213</v>
      </c>
      <c r="B2548" s="1">
        <v>45992</v>
      </c>
      <c r="C2548">
        <v>18</v>
      </c>
      <c r="D2548">
        <v>13</v>
      </c>
      <c r="E2548">
        <v>5</v>
      </c>
      <c r="F2548">
        <v>3</v>
      </c>
      <c r="G2548">
        <v>72.2</v>
      </c>
    </row>
    <row r="2549" spans="1:7">
      <c r="A2549">
        <v>213</v>
      </c>
      <c r="B2549" s="1">
        <v>46023</v>
      </c>
      <c r="C2549">
        <v>18</v>
      </c>
      <c r="D2549">
        <v>12</v>
      </c>
      <c r="E2549">
        <v>6</v>
      </c>
      <c r="F2549">
        <v>6</v>
      </c>
      <c r="G2549">
        <v>66.7</v>
      </c>
    </row>
    <row r="2550" spans="1:7">
      <c r="A2550">
        <v>213</v>
      </c>
      <c r="B2550" s="1">
        <v>46054</v>
      </c>
      <c r="C2550">
        <v>21</v>
      </c>
      <c r="D2550">
        <v>16</v>
      </c>
      <c r="E2550">
        <v>5</v>
      </c>
      <c r="F2550">
        <v>6</v>
      </c>
      <c r="G2550">
        <v>76.2</v>
      </c>
    </row>
    <row r="2551" spans="1:7">
      <c r="A2551">
        <v>213</v>
      </c>
      <c r="B2551" s="1">
        <v>46082</v>
      </c>
      <c r="C2551">
        <v>20</v>
      </c>
      <c r="D2551">
        <v>16</v>
      </c>
      <c r="E2551">
        <v>4</v>
      </c>
      <c r="F2551">
        <v>3</v>
      </c>
      <c r="G2551">
        <v>80</v>
      </c>
    </row>
    <row r="2552" spans="1:7">
      <c r="A2552">
        <v>213</v>
      </c>
      <c r="B2552" s="1">
        <v>46113</v>
      </c>
      <c r="C2552">
        <v>18</v>
      </c>
      <c r="D2552">
        <v>14</v>
      </c>
      <c r="E2552">
        <v>4</v>
      </c>
      <c r="F2552">
        <v>4</v>
      </c>
      <c r="G2552">
        <v>77.8</v>
      </c>
    </row>
    <row r="2553" spans="1:7">
      <c r="A2553">
        <v>213</v>
      </c>
      <c r="B2553" s="1">
        <v>46143</v>
      </c>
      <c r="C2553">
        <v>18</v>
      </c>
      <c r="D2553">
        <v>13</v>
      </c>
      <c r="E2553">
        <v>5</v>
      </c>
      <c r="F2553">
        <v>3</v>
      </c>
      <c r="G2553">
        <v>72.2</v>
      </c>
    </row>
    <row r="2554" spans="1:7">
      <c r="A2554">
        <v>213</v>
      </c>
      <c r="B2554" s="1">
        <v>46174</v>
      </c>
      <c r="C2554">
        <v>20</v>
      </c>
      <c r="D2554">
        <v>15</v>
      </c>
      <c r="E2554">
        <v>5</v>
      </c>
      <c r="F2554">
        <v>6</v>
      </c>
      <c r="G2554">
        <v>75</v>
      </c>
    </row>
    <row r="2555" spans="1:7">
      <c r="A2555">
        <v>213</v>
      </c>
      <c r="B2555" s="1">
        <v>46204</v>
      </c>
      <c r="C2555">
        <v>18</v>
      </c>
      <c r="D2555">
        <v>15</v>
      </c>
      <c r="E2555">
        <v>3</v>
      </c>
      <c r="F2555">
        <v>6</v>
      </c>
      <c r="G2555">
        <v>83.3</v>
      </c>
    </row>
    <row r="2556" spans="1:7">
      <c r="A2556">
        <v>213</v>
      </c>
      <c r="B2556" s="1">
        <v>46235</v>
      </c>
      <c r="C2556">
        <v>20</v>
      </c>
      <c r="D2556">
        <v>14</v>
      </c>
      <c r="E2556">
        <v>6</v>
      </c>
      <c r="F2556">
        <v>1</v>
      </c>
      <c r="G2556">
        <v>70</v>
      </c>
    </row>
    <row r="2557" spans="1:7">
      <c r="A2557">
        <v>213</v>
      </c>
      <c r="B2557" s="1">
        <v>46266</v>
      </c>
      <c r="C2557">
        <v>18</v>
      </c>
      <c r="D2557">
        <v>13</v>
      </c>
      <c r="E2557">
        <v>5</v>
      </c>
      <c r="F2557">
        <v>6</v>
      </c>
      <c r="G2557">
        <v>72.2</v>
      </c>
    </row>
    <row r="2558" spans="1:7">
      <c r="A2558">
        <v>214</v>
      </c>
      <c r="B2558" s="1">
        <v>45931</v>
      </c>
      <c r="C2558">
        <v>18</v>
      </c>
      <c r="D2558">
        <v>10</v>
      </c>
      <c r="E2558">
        <v>8</v>
      </c>
      <c r="F2558">
        <v>6</v>
      </c>
      <c r="G2558">
        <v>55.6</v>
      </c>
    </row>
    <row r="2559" spans="1:7">
      <c r="A2559">
        <v>214</v>
      </c>
      <c r="B2559" s="1">
        <v>45962</v>
      </c>
      <c r="C2559">
        <v>21</v>
      </c>
      <c r="D2559">
        <v>12</v>
      </c>
      <c r="E2559">
        <v>9</v>
      </c>
      <c r="F2559">
        <v>1</v>
      </c>
      <c r="G2559">
        <v>57.1</v>
      </c>
    </row>
    <row r="2560" spans="1:7">
      <c r="A2560">
        <v>214</v>
      </c>
      <c r="B2560" s="1">
        <v>45992</v>
      </c>
      <c r="C2560">
        <v>19</v>
      </c>
      <c r="D2560">
        <v>12</v>
      </c>
      <c r="E2560">
        <v>7</v>
      </c>
      <c r="F2560">
        <v>6</v>
      </c>
      <c r="G2560">
        <v>63.2</v>
      </c>
    </row>
    <row r="2561" spans="1:7">
      <c r="A2561">
        <v>214</v>
      </c>
      <c r="B2561" s="1">
        <v>46023</v>
      </c>
      <c r="C2561">
        <v>20</v>
      </c>
      <c r="D2561">
        <v>14</v>
      </c>
      <c r="E2561">
        <v>6</v>
      </c>
      <c r="F2561">
        <v>6</v>
      </c>
      <c r="G2561">
        <v>70</v>
      </c>
    </row>
    <row r="2562" spans="1:7">
      <c r="A2562">
        <v>214</v>
      </c>
      <c r="B2562" s="1">
        <v>46054</v>
      </c>
      <c r="C2562">
        <v>22</v>
      </c>
      <c r="D2562">
        <v>13</v>
      </c>
      <c r="E2562">
        <v>9</v>
      </c>
      <c r="F2562">
        <v>6</v>
      </c>
      <c r="G2562">
        <v>59.1</v>
      </c>
    </row>
    <row r="2563" spans="1:7">
      <c r="A2563">
        <v>214</v>
      </c>
      <c r="B2563" s="1">
        <v>46082</v>
      </c>
      <c r="C2563">
        <v>18</v>
      </c>
      <c r="D2563">
        <v>14</v>
      </c>
      <c r="E2563">
        <v>4</v>
      </c>
      <c r="F2563">
        <v>2</v>
      </c>
      <c r="G2563">
        <v>77.8</v>
      </c>
    </row>
    <row r="2564" spans="1:7">
      <c r="A2564">
        <v>214</v>
      </c>
      <c r="B2564" s="1">
        <v>46113</v>
      </c>
      <c r="C2564">
        <v>18</v>
      </c>
      <c r="D2564">
        <v>10</v>
      </c>
      <c r="E2564">
        <v>8</v>
      </c>
      <c r="F2564">
        <v>0</v>
      </c>
      <c r="G2564">
        <v>55.6</v>
      </c>
    </row>
    <row r="2565" spans="1:7">
      <c r="A2565">
        <v>214</v>
      </c>
      <c r="B2565" s="1">
        <v>46143</v>
      </c>
      <c r="C2565">
        <v>20</v>
      </c>
      <c r="D2565">
        <v>13</v>
      </c>
      <c r="E2565">
        <v>7</v>
      </c>
      <c r="F2565">
        <v>2</v>
      </c>
      <c r="G2565">
        <v>65</v>
      </c>
    </row>
    <row r="2566" spans="1:7">
      <c r="A2566">
        <v>214</v>
      </c>
      <c r="B2566" s="1">
        <v>46174</v>
      </c>
      <c r="C2566">
        <v>22</v>
      </c>
      <c r="D2566">
        <v>17</v>
      </c>
      <c r="E2566">
        <v>5</v>
      </c>
      <c r="F2566">
        <v>5</v>
      </c>
      <c r="G2566">
        <v>77.3</v>
      </c>
    </row>
    <row r="2567" spans="1:7">
      <c r="A2567">
        <v>214</v>
      </c>
      <c r="B2567" s="1">
        <v>46204</v>
      </c>
      <c r="C2567">
        <v>19</v>
      </c>
      <c r="D2567">
        <v>17</v>
      </c>
      <c r="E2567">
        <v>2</v>
      </c>
      <c r="F2567">
        <v>1</v>
      </c>
      <c r="G2567">
        <v>89.5</v>
      </c>
    </row>
    <row r="2568" spans="1:7">
      <c r="A2568">
        <v>214</v>
      </c>
      <c r="B2568" s="1">
        <v>46235</v>
      </c>
      <c r="C2568">
        <v>22</v>
      </c>
      <c r="D2568">
        <v>19</v>
      </c>
      <c r="E2568">
        <v>3</v>
      </c>
      <c r="F2568">
        <v>6</v>
      </c>
      <c r="G2568">
        <v>86.4</v>
      </c>
    </row>
    <row r="2569" spans="1:7">
      <c r="A2569">
        <v>214</v>
      </c>
      <c r="B2569" s="1">
        <v>46266</v>
      </c>
      <c r="C2569">
        <v>19</v>
      </c>
      <c r="D2569">
        <v>14</v>
      </c>
      <c r="E2569">
        <v>5</v>
      </c>
      <c r="F2569">
        <v>6</v>
      </c>
      <c r="G2569">
        <v>73.7</v>
      </c>
    </row>
    <row r="2570" spans="1:7">
      <c r="A2570">
        <v>215</v>
      </c>
      <c r="B2570" s="1">
        <v>45931</v>
      </c>
      <c r="C2570">
        <v>22</v>
      </c>
      <c r="D2570">
        <v>10</v>
      </c>
      <c r="E2570">
        <v>12</v>
      </c>
      <c r="F2570">
        <v>3</v>
      </c>
      <c r="G2570">
        <v>45.5</v>
      </c>
    </row>
    <row r="2571" spans="1:7">
      <c r="A2571">
        <v>215</v>
      </c>
      <c r="B2571" s="1">
        <v>45962</v>
      </c>
      <c r="C2571">
        <v>21</v>
      </c>
      <c r="D2571">
        <v>15</v>
      </c>
      <c r="E2571">
        <v>6</v>
      </c>
      <c r="F2571">
        <v>5</v>
      </c>
      <c r="G2571">
        <v>71.400000000000006</v>
      </c>
    </row>
    <row r="2572" spans="1:7">
      <c r="A2572">
        <v>215</v>
      </c>
      <c r="B2572" s="1">
        <v>45992</v>
      </c>
      <c r="C2572">
        <v>18</v>
      </c>
      <c r="D2572">
        <v>10</v>
      </c>
      <c r="E2572">
        <v>8</v>
      </c>
      <c r="F2572">
        <v>3</v>
      </c>
      <c r="G2572">
        <v>55.6</v>
      </c>
    </row>
    <row r="2573" spans="1:7">
      <c r="A2573">
        <v>215</v>
      </c>
      <c r="B2573" s="1">
        <v>46023</v>
      </c>
      <c r="C2573">
        <v>21</v>
      </c>
      <c r="D2573">
        <v>12</v>
      </c>
      <c r="E2573">
        <v>9</v>
      </c>
      <c r="F2573">
        <v>2</v>
      </c>
      <c r="G2573">
        <v>57.1</v>
      </c>
    </row>
    <row r="2574" spans="1:7">
      <c r="A2574">
        <v>215</v>
      </c>
      <c r="B2574" s="1">
        <v>46054</v>
      </c>
      <c r="C2574">
        <v>20</v>
      </c>
      <c r="D2574">
        <v>11</v>
      </c>
      <c r="E2574">
        <v>9</v>
      </c>
      <c r="F2574">
        <v>0</v>
      </c>
      <c r="G2574">
        <v>55</v>
      </c>
    </row>
    <row r="2575" spans="1:7">
      <c r="A2575">
        <v>215</v>
      </c>
      <c r="B2575" s="1">
        <v>46082</v>
      </c>
      <c r="C2575">
        <v>20</v>
      </c>
      <c r="D2575">
        <v>13</v>
      </c>
      <c r="E2575">
        <v>7</v>
      </c>
      <c r="F2575">
        <v>6</v>
      </c>
      <c r="G2575">
        <v>65</v>
      </c>
    </row>
    <row r="2576" spans="1:7">
      <c r="A2576">
        <v>215</v>
      </c>
      <c r="B2576" s="1">
        <v>46113</v>
      </c>
      <c r="C2576">
        <v>20</v>
      </c>
      <c r="D2576">
        <v>11</v>
      </c>
      <c r="E2576">
        <v>9</v>
      </c>
      <c r="F2576">
        <v>6</v>
      </c>
      <c r="G2576">
        <v>55</v>
      </c>
    </row>
    <row r="2577" spans="1:7">
      <c r="A2577">
        <v>215</v>
      </c>
      <c r="B2577" s="1">
        <v>46143</v>
      </c>
      <c r="C2577">
        <v>19</v>
      </c>
      <c r="D2577">
        <v>12</v>
      </c>
      <c r="E2577">
        <v>7</v>
      </c>
      <c r="F2577">
        <v>5</v>
      </c>
      <c r="G2577">
        <v>63.2</v>
      </c>
    </row>
    <row r="2578" spans="1:7">
      <c r="A2578">
        <v>215</v>
      </c>
      <c r="B2578" s="1">
        <v>46174</v>
      </c>
      <c r="C2578">
        <v>19</v>
      </c>
      <c r="D2578">
        <v>10</v>
      </c>
      <c r="E2578">
        <v>9</v>
      </c>
      <c r="F2578">
        <v>3</v>
      </c>
      <c r="G2578">
        <v>52.6</v>
      </c>
    </row>
    <row r="2579" spans="1:7">
      <c r="A2579">
        <v>215</v>
      </c>
      <c r="B2579" s="1">
        <v>46204</v>
      </c>
      <c r="C2579">
        <v>18</v>
      </c>
      <c r="D2579">
        <v>10</v>
      </c>
      <c r="E2579">
        <v>8</v>
      </c>
      <c r="F2579">
        <v>1</v>
      </c>
      <c r="G2579">
        <v>55.6</v>
      </c>
    </row>
    <row r="2580" spans="1:7">
      <c r="A2580">
        <v>215</v>
      </c>
      <c r="B2580" s="1">
        <v>46235</v>
      </c>
      <c r="C2580">
        <v>18</v>
      </c>
      <c r="D2580">
        <v>10</v>
      </c>
      <c r="E2580">
        <v>8</v>
      </c>
      <c r="F2580">
        <v>3</v>
      </c>
      <c r="G2580">
        <v>55.6</v>
      </c>
    </row>
    <row r="2581" spans="1:7">
      <c r="A2581">
        <v>215</v>
      </c>
      <c r="B2581" s="1">
        <v>46266</v>
      </c>
      <c r="C2581">
        <v>19</v>
      </c>
      <c r="D2581">
        <v>12</v>
      </c>
      <c r="E2581">
        <v>7</v>
      </c>
      <c r="F2581">
        <v>3</v>
      </c>
      <c r="G2581">
        <v>63.2</v>
      </c>
    </row>
    <row r="2582" spans="1:7">
      <c r="A2582">
        <v>216</v>
      </c>
      <c r="B2582" s="1">
        <v>45931</v>
      </c>
      <c r="C2582">
        <v>18</v>
      </c>
      <c r="D2582">
        <v>18</v>
      </c>
      <c r="E2582">
        <v>0</v>
      </c>
      <c r="F2582">
        <v>2</v>
      </c>
      <c r="G2582">
        <v>100</v>
      </c>
    </row>
    <row r="2583" spans="1:7">
      <c r="A2583">
        <v>216</v>
      </c>
      <c r="B2583" s="1">
        <v>45962</v>
      </c>
      <c r="C2583">
        <v>20</v>
      </c>
      <c r="D2583">
        <v>16</v>
      </c>
      <c r="E2583">
        <v>4</v>
      </c>
      <c r="F2583">
        <v>5</v>
      </c>
      <c r="G2583">
        <v>80</v>
      </c>
    </row>
    <row r="2584" spans="1:7">
      <c r="A2584">
        <v>216</v>
      </c>
      <c r="B2584" s="1">
        <v>45992</v>
      </c>
      <c r="C2584">
        <v>21</v>
      </c>
      <c r="D2584">
        <v>21</v>
      </c>
      <c r="E2584">
        <v>0</v>
      </c>
      <c r="F2584">
        <v>0</v>
      </c>
      <c r="G2584">
        <v>100</v>
      </c>
    </row>
    <row r="2585" spans="1:7">
      <c r="A2585">
        <v>216</v>
      </c>
      <c r="B2585" s="1">
        <v>46023</v>
      </c>
      <c r="C2585">
        <v>19</v>
      </c>
      <c r="D2585">
        <v>19</v>
      </c>
      <c r="E2585">
        <v>0</v>
      </c>
      <c r="F2585">
        <v>1</v>
      </c>
      <c r="G2585">
        <v>100</v>
      </c>
    </row>
    <row r="2586" spans="1:7">
      <c r="A2586">
        <v>216</v>
      </c>
      <c r="B2586" s="1">
        <v>46054</v>
      </c>
      <c r="C2586">
        <v>20</v>
      </c>
      <c r="D2586">
        <v>20</v>
      </c>
      <c r="E2586">
        <v>0</v>
      </c>
      <c r="F2586">
        <v>1</v>
      </c>
      <c r="G2586">
        <v>100</v>
      </c>
    </row>
    <row r="2587" spans="1:7">
      <c r="A2587">
        <v>216</v>
      </c>
      <c r="B2587" s="1">
        <v>46082</v>
      </c>
      <c r="C2587">
        <v>21</v>
      </c>
      <c r="D2587">
        <v>19</v>
      </c>
      <c r="E2587">
        <v>2</v>
      </c>
      <c r="F2587">
        <v>1</v>
      </c>
      <c r="G2587">
        <v>90.5</v>
      </c>
    </row>
    <row r="2588" spans="1:7">
      <c r="A2588">
        <v>216</v>
      </c>
      <c r="B2588" s="1">
        <v>46113</v>
      </c>
      <c r="C2588">
        <v>18</v>
      </c>
      <c r="D2588">
        <v>18</v>
      </c>
      <c r="E2588">
        <v>0</v>
      </c>
      <c r="F2588">
        <v>2</v>
      </c>
      <c r="G2588">
        <v>100</v>
      </c>
    </row>
    <row r="2589" spans="1:7">
      <c r="A2589">
        <v>216</v>
      </c>
      <c r="B2589" s="1">
        <v>46143</v>
      </c>
      <c r="C2589">
        <v>22</v>
      </c>
      <c r="D2589">
        <v>20</v>
      </c>
      <c r="E2589">
        <v>2</v>
      </c>
      <c r="F2589">
        <v>5</v>
      </c>
      <c r="G2589">
        <v>90.9</v>
      </c>
    </row>
    <row r="2590" spans="1:7">
      <c r="A2590">
        <v>216</v>
      </c>
      <c r="B2590" s="1">
        <v>46174</v>
      </c>
      <c r="C2590">
        <v>18</v>
      </c>
      <c r="D2590">
        <v>15</v>
      </c>
      <c r="E2590">
        <v>3</v>
      </c>
      <c r="F2590">
        <v>5</v>
      </c>
      <c r="G2590">
        <v>83.3</v>
      </c>
    </row>
    <row r="2591" spans="1:7">
      <c r="A2591">
        <v>216</v>
      </c>
      <c r="B2591" s="1">
        <v>46204</v>
      </c>
      <c r="C2591">
        <v>18</v>
      </c>
      <c r="D2591">
        <v>14</v>
      </c>
      <c r="E2591">
        <v>4</v>
      </c>
      <c r="F2591">
        <v>1</v>
      </c>
      <c r="G2591">
        <v>77.8</v>
      </c>
    </row>
    <row r="2592" spans="1:7">
      <c r="A2592">
        <v>216</v>
      </c>
      <c r="B2592" s="1">
        <v>46235</v>
      </c>
      <c r="C2592">
        <v>18</v>
      </c>
      <c r="D2592">
        <v>16</v>
      </c>
      <c r="E2592">
        <v>2</v>
      </c>
      <c r="F2592">
        <v>0</v>
      </c>
      <c r="G2592">
        <v>88.9</v>
      </c>
    </row>
    <row r="2593" spans="1:7">
      <c r="A2593">
        <v>216</v>
      </c>
      <c r="B2593" s="1">
        <v>46266</v>
      </c>
      <c r="C2593">
        <v>21</v>
      </c>
      <c r="D2593">
        <v>21</v>
      </c>
      <c r="E2593">
        <v>0</v>
      </c>
      <c r="F2593">
        <v>3</v>
      </c>
      <c r="G2593">
        <v>100</v>
      </c>
    </row>
    <row r="2594" spans="1:7">
      <c r="A2594">
        <v>217</v>
      </c>
      <c r="B2594" s="1">
        <v>45931</v>
      </c>
      <c r="C2594">
        <v>20</v>
      </c>
      <c r="D2594">
        <v>15</v>
      </c>
      <c r="E2594">
        <v>5</v>
      </c>
      <c r="F2594">
        <v>0</v>
      </c>
      <c r="G2594">
        <v>75</v>
      </c>
    </row>
    <row r="2595" spans="1:7">
      <c r="A2595">
        <v>217</v>
      </c>
      <c r="B2595" s="1">
        <v>45962</v>
      </c>
      <c r="C2595">
        <v>20</v>
      </c>
      <c r="D2595">
        <v>10</v>
      </c>
      <c r="E2595">
        <v>10</v>
      </c>
      <c r="F2595">
        <v>3</v>
      </c>
      <c r="G2595">
        <v>50</v>
      </c>
    </row>
    <row r="2596" spans="1:7">
      <c r="A2596">
        <v>217</v>
      </c>
      <c r="B2596" s="1">
        <v>45992</v>
      </c>
      <c r="C2596">
        <v>19</v>
      </c>
      <c r="D2596">
        <v>12</v>
      </c>
      <c r="E2596">
        <v>7</v>
      </c>
      <c r="F2596">
        <v>4</v>
      </c>
      <c r="G2596">
        <v>63.2</v>
      </c>
    </row>
    <row r="2597" spans="1:7">
      <c r="A2597">
        <v>217</v>
      </c>
      <c r="B2597" s="1">
        <v>46023</v>
      </c>
      <c r="C2597">
        <v>20</v>
      </c>
      <c r="D2597">
        <v>13</v>
      </c>
      <c r="E2597">
        <v>7</v>
      </c>
      <c r="F2597">
        <v>0</v>
      </c>
      <c r="G2597">
        <v>65</v>
      </c>
    </row>
    <row r="2598" spans="1:7">
      <c r="A2598">
        <v>217</v>
      </c>
      <c r="B2598" s="1">
        <v>46054</v>
      </c>
      <c r="C2598">
        <v>21</v>
      </c>
      <c r="D2598">
        <v>16</v>
      </c>
      <c r="E2598">
        <v>5</v>
      </c>
      <c r="F2598">
        <v>5</v>
      </c>
      <c r="G2598">
        <v>76.2</v>
      </c>
    </row>
    <row r="2599" spans="1:7">
      <c r="A2599">
        <v>217</v>
      </c>
      <c r="B2599" s="1">
        <v>46082</v>
      </c>
      <c r="C2599">
        <v>21</v>
      </c>
      <c r="D2599">
        <v>15</v>
      </c>
      <c r="E2599">
        <v>6</v>
      </c>
      <c r="F2599">
        <v>5</v>
      </c>
      <c r="G2599">
        <v>71.400000000000006</v>
      </c>
    </row>
    <row r="2600" spans="1:7">
      <c r="A2600">
        <v>217</v>
      </c>
      <c r="B2600" s="1">
        <v>46113</v>
      </c>
      <c r="C2600">
        <v>21</v>
      </c>
      <c r="D2600">
        <v>15</v>
      </c>
      <c r="E2600">
        <v>6</v>
      </c>
      <c r="F2600">
        <v>1</v>
      </c>
      <c r="G2600">
        <v>71.400000000000006</v>
      </c>
    </row>
    <row r="2601" spans="1:7">
      <c r="A2601">
        <v>217</v>
      </c>
      <c r="B2601" s="1">
        <v>46143</v>
      </c>
      <c r="C2601">
        <v>22</v>
      </c>
      <c r="D2601">
        <v>15</v>
      </c>
      <c r="E2601">
        <v>7</v>
      </c>
      <c r="F2601">
        <v>2</v>
      </c>
      <c r="G2601">
        <v>68.2</v>
      </c>
    </row>
    <row r="2602" spans="1:7">
      <c r="A2602">
        <v>217</v>
      </c>
      <c r="B2602" s="1">
        <v>46174</v>
      </c>
      <c r="C2602">
        <v>22</v>
      </c>
      <c r="D2602">
        <v>18</v>
      </c>
      <c r="E2602">
        <v>4</v>
      </c>
      <c r="F2602">
        <v>0</v>
      </c>
      <c r="G2602">
        <v>81.8</v>
      </c>
    </row>
    <row r="2603" spans="1:7">
      <c r="A2603">
        <v>217</v>
      </c>
      <c r="B2603" s="1">
        <v>46204</v>
      </c>
      <c r="C2603">
        <v>18</v>
      </c>
      <c r="D2603">
        <v>14</v>
      </c>
      <c r="E2603">
        <v>4</v>
      </c>
      <c r="F2603">
        <v>5</v>
      </c>
      <c r="G2603">
        <v>77.8</v>
      </c>
    </row>
    <row r="2604" spans="1:7">
      <c r="A2604">
        <v>217</v>
      </c>
      <c r="B2604" s="1">
        <v>46235</v>
      </c>
      <c r="C2604">
        <v>19</v>
      </c>
      <c r="D2604">
        <v>12</v>
      </c>
      <c r="E2604">
        <v>7</v>
      </c>
      <c r="F2604">
        <v>0</v>
      </c>
      <c r="G2604">
        <v>63.2</v>
      </c>
    </row>
    <row r="2605" spans="1:7">
      <c r="A2605">
        <v>217</v>
      </c>
      <c r="B2605" s="1">
        <v>46266</v>
      </c>
      <c r="C2605">
        <v>18</v>
      </c>
      <c r="D2605">
        <v>13</v>
      </c>
      <c r="E2605">
        <v>5</v>
      </c>
      <c r="F2605">
        <v>4</v>
      </c>
      <c r="G2605">
        <v>72.2</v>
      </c>
    </row>
    <row r="2606" spans="1:7">
      <c r="A2606">
        <v>218</v>
      </c>
      <c r="B2606" s="1">
        <v>45931</v>
      </c>
      <c r="C2606">
        <v>20</v>
      </c>
      <c r="D2606">
        <v>14</v>
      </c>
      <c r="E2606">
        <v>6</v>
      </c>
      <c r="F2606">
        <v>2</v>
      </c>
      <c r="G2606">
        <v>70</v>
      </c>
    </row>
    <row r="2607" spans="1:7">
      <c r="A2607">
        <v>218</v>
      </c>
      <c r="B2607" s="1">
        <v>45962</v>
      </c>
      <c r="C2607">
        <v>19</v>
      </c>
      <c r="D2607">
        <v>11</v>
      </c>
      <c r="E2607">
        <v>8</v>
      </c>
      <c r="F2607">
        <v>4</v>
      </c>
      <c r="G2607">
        <v>57.9</v>
      </c>
    </row>
    <row r="2608" spans="1:7">
      <c r="A2608">
        <v>218</v>
      </c>
      <c r="B2608" s="1">
        <v>45992</v>
      </c>
      <c r="C2608">
        <v>21</v>
      </c>
      <c r="D2608">
        <v>16</v>
      </c>
      <c r="E2608">
        <v>5</v>
      </c>
      <c r="F2608">
        <v>5</v>
      </c>
      <c r="G2608">
        <v>76.2</v>
      </c>
    </row>
    <row r="2609" spans="1:7">
      <c r="A2609">
        <v>218</v>
      </c>
      <c r="B2609" s="1">
        <v>46023</v>
      </c>
      <c r="C2609">
        <v>20</v>
      </c>
      <c r="D2609">
        <v>14</v>
      </c>
      <c r="E2609">
        <v>6</v>
      </c>
      <c r="F2609">
        <v>3</v>
      </c>
      <c r="G2609">
        <v>70</v>
      </c>
    </row>
    <row r="2610" spans="1:7">
      <c r="A2610">
        <v>218</v>
      </c>
      <c r="B2610" s="1">
        <v>46054</v>
      </c>
      <c r="C2610">
        <v>19</v>
      </c>
      <c r="D2610">
        <v>13</v>
      </c>
      <c r="E2610">
        <v>6</v>
      </c>
      <c r="F2610">
        <v>5</v>
      </c>
      <c r="G2610">
        <v>68.400000000000006</v>
      </c>
    </row>
    <row r="2611" spans="1:7">
      <c r="A2611">
        <v>218</v>
      </c>
      <c r="B2611" s="1">
        <v>46082</v>
      </c>
      <c r="C2611">
        <v>20</v>
      </c>
      <c r="D2611">
        <v>13</v>
      </c>
      <c r="E2611">
        <v>7</v>
      </c>
      <c r="F2611">
        <v>5</v>
      </c>
      <c r="G2611">
        <v>65</v>
      </c>
    </row>
    <row r="2612" spans="1:7">
      <c r="A2612">
        <v>218</v>
      </c>
      <c r="B2612" s="1">
        <v>46113</v>
      </c>
      <c r="C2612">
        <v>22</v>
      </c>
      <c r="D2612">
        <v>17</v>
      </c>
      <c r="E2612">
        <v>5</v>
      </c>
      <c r="F2612">
        <v>1</v>
      </c>
      <c r="G2612">
        <v>77.3</v>
      </c>
    </row>
    <row r="2613" spans="1:7">
      <c r="A2613">
        <v>218</v>
      </c>
      <c r="B2613" s="1">
        <v>46143</v>
      </c>
      <c r="C2613">
        <v>22</v>
      </c>
      <c r="D2613">
        <v>16</v>
      </c>
      <c r="E2613">
        <v>6</v>
      </c>
      <c r="F2613">
        <v>5</v>
      </c>
      <c r="G2613">
        <v>72.7</v>
      </c>
    </row>
    <row r="2614" spans="1:7">
      <c r="A2614">
        <v>218</v>
      </c>
      <c r="B2614" s="1">
        <v>46174</v>
      </c>
      <c r="C2614">
        <v>22</v>
      </c>
      <c r="D2614">
        <v>18</v>
      </c>
      <c r="E2614">
        <v>4</v>
      </c>
      <c r="F2614">
        <v>5</v>
      </c>
      <c r="G2614">
        <v>81.8</v>
      </c>
    </row>
    <row r="2615" spans="1:7">
      <c r="A2615">
        <v>218</v>
      </c>
      <c r="B2615" s="1">
        <v>46204</v>
      </c>
      <c r="C2615">
        <v>19</v>
      </c>
      <c r="D2615">
        <v>13</v>
      </c>
      <c r="E2615">
        <v>6</v>
      </c>
      <c r="F2615">
        <v>1</v>
      </c>
      <c r="G2615">
        <v>68.400000000000006</v>
      </c>
    </row>
    <row r="2616" spans="1:7">
      <c r="A2616">
        <v>218</v>
      </c>
      <c r="B2616" s="1">
        <v>46235</v>
      </c>
      <c r="C2616">
        <v>20</v>
      </c>
      <c r="D2616">
        <v>15</v>
      </c>
      <c r="E2616">
        <v>5</v>
      </c>
      <c r="F2616">
        <v>2</v>
      </c>
      <c r="G2616">
        <v>75</v>
      </c>
    </row>
    <row r="2617" spans="1:7">
      <c r="A2617">
        <v>218</v>
      </c>
      <c r="B2617" s="1">
        <v>46266</v>
      </c>
      <c r="C2617">
        <v>21</v>
      </c>
      <c r="D2617">
        <v>17</v>
      </c>
      <c r="E2617">
        <v>4</v>
      </c>
      <c r="F2617">
        <v>1</v>
      </c>
      <c r="G2617">
        <v>81</v>
      </c>
    </row>
    <row r="2618" spans="1:7">
      <c r="A2618">
        <v>219</v>
      </c>
      <c r="B2618" s="1">
        <v>45931</v>
      </c>
      <c r="C2618">
        <v>18</v>
      </c>
      <c r="D2618">
        <v>18</v>
      </c>
      <c r="E2618">
        <v>0</v>
      </c>
      <c r="F2618">
        <v>0</v>
      </c>
      <c r="G2618">
        <v>100</v>
      </c>
    </row>
    <row r="2619" spans="1:7">
      <c r="A2619">
        <v>219</v>
      </c>
      <c r="B2619" s="1">
        <v>45962</v>
      </c>
      <c r="C2619">
        <v>19</v>
      </c>
      <c r="D2619">
        <v>19</v>
      </c>
      <c r="E2619">
        <v>0</v>
      </c>
      <c r="F2619">
        <v>2</v>
      </c>
      <c r="G2619">
        <v>100</v>
      </c>
    </row>
    <row r="2620" spans="1:7">
      <c r="A2620">
        <v>219</v>
      </c>
      <c r="B2620" s="1">
        <v>45992</v>
      </c>
      <c r="C2620">
        <v>18</v>
      </c>
      <c r="D2620">
        <v>15</v>
      </c>
      <c r="E2620">
        <v>3</v>
      </c>
      <c r="F2620">
        <v>0</v>
      </c>
      <c r="G2620">
        <v>83.3</v>
      </c>
    </row>
    <row r="2621" spans="1:7">
      <c r="A2621">
        <v>219</v>
      </c>
      <c r="B2621" s="1">
        <v>46023</v>
      </c>
      <c r="C2621">
        <v>22</v>
      </c>
      <c r="D2621">
        <v>18</v>
      </c>
      <c r="E2621">
        <v>4</v>
      </c>
      <c r="F2621">
        <v>2</v>
      </c>
      <c r="G2621">
        <v>81.8</v>
      </c>
    </row>
    <row r="2622" spans="1:7">
      <c r="A2622">
        <v>219</v>
      </c>
      <c r="B2622" s="1">
        <v>46054</v>
      </c>
      <c r="C2622">
        <v>21</v>
      </c>
      <c r="D2622">
        <v>21</v>
      </c>
      <c r="E2622">
        <v>0</v>
      </c>
      <c r="F2622">
        <v>1</v>
      </c>
      <c r="G2622">
        <v>100</v>
      </c>
    </row>
    <row r="2623" spans="1:7">
      <c r="A2623">
        <v>219</v>
      </c>
      <c r="B2623" s="1">
        <v>46082</v>
      </c>
      <c r="C2623">
        <v>21</v>
      </c>
      <c r="D2623">
        <v>21</v>
      </c>
      <c r="E2623">
        <v>0</v>
      </c>
      <c r="F2623">
        <v>0</v>
      </c>
      <c r="G2623">
        <v>100</v>
      </c>
    </row>
    <row r="2624" spans="1:7">
      <c r="A2624">
        <v>219</v>
      </c>
      <c r="B2624" s="1">
        <v>46113</v>
      </c>
      <c r="C2624">
        <v>18</v>
      </c>
      <c r="D2624">
        <v>15</v>
      </c>
      <c r="E2624">
        <v>3</v>
      </c>
      <c r="F2624">
        <v>2</v>
      </c>
      <c r="G2624">
        <v>83.3</v>
      </c>
    </row>
    <row r="2625" spans="1:7">
      <c r="A2625">
        <v>219</v>
      </c>
      <c r="B2625" s="1">
        <v>46143</v>
      </c>
      <c r="C2625">
        <v>19</v>
      </c>
      <c r="D2625">
        <v>19</v>
      </c>
      <c r="E2625">
        <v>0</v>
      </c>
      <c r="F2625">
        <v>1</v>
      </c>
      <c r="G2625">
        <v>100</v>
      </c>
    </row>
    <row r="2626" spans="1:7">
      <c r="A2626">
        <v>219</v>
      </c>
      <c r="B2626" s="1">
        <v>46174</v>
      </c>
      <c r="C2626">
        <v>19</v>
      </c>
      <c r="D2626">
        <v>17</v>
      </c>
      <c r="E2626">
        <v>2</v>
      </c>
      <c r="F2626">
        <v>5</v>
      </c>
      <c r="G2626">
        <v>89.5</v>
      </c>
    </row>
    <row r="2627" spans="1:7">
      <c r="A2627">
        <v>219</v>
      </c>
      <c r="B2627" s="1">
        <v>46204</v>
      </c>
      <c r="C2627">
        <v>20</v>
      </c>
      <c r="D2627">
        <v>19</v>
      </c>
      <c r="E2627">
        <v>1</v>
      </c>
      <c r="F2627">
        <v>3</v>
      </c>
      <c r="G2627">
        <v>95</v>
      </c>
    </row>
    <row r="2628" spans="1:7">
      <c r="A2628">
        <v>219</v>
      </c>
      <c r="B2628" s="1">
        <v>46235</v>
      </c>
      <c r="C2628">
        <v>21</v>
      </c>
      <c r="D2628">
        <v>20</v>
      </c>
      <c r="E2628">
        <v>1</v>
      </c>
      <c r="F2628">
        <v>2</v>
      </c>
      <c r="G2628">
        <v>95.2</v>
      </c>
    </row>
    <row r="2629" spans="1:7">
      <c r="A2629">
        <v>219</v>
      </c>
      <c r="B2629" s="1">
        <v>46266</v>
      </c>
      <c r="C2629">
        <v>21</v>
      </c>
      <c r="D2629">
        <v>21</v>
      </c>
      <c r="E2629">
        <v>0</v>
      </c>
      <c r="F2629">
        <v>2</v>
      </c>
      <c r="G2629">
        <v>100</v>
      </c>
    </row>
    <row r="2630" spans="1:7">
      <c r="A2630">
        <v>220</v>
      </c>
      <c r="B2630" s="1">
        <v>45931</v>
      </c>
      <c r="C2630">
        <v>20</v>
      </c>
      <c r="D2630">
        <v>20</v>
      </c>
      <c r="E2630">
        <v>0</v>
      </c>
      <c r="F2630">
        <v>2</v>
      </c>
      <c r="G2630">
        <v>100</v>
      </c>
    </row>
    <row r="2631" spans="1:7">
      <c r="A2631">
        <v>220</v>
      </c>
      <c r="B2631" s="1">
        <v>45962</v>
      </c>
      <c r="C2631">
        <v>20</v>
      </c>
      <c r="D2631">
        <v>18</v>
      </c>
      <c r="E2631">
        <v>2</v>
      </c>
      <c r="F2631">
        <v>4</v>
      </c>
      <c r="G2631">
        <v>90</v>
      </c>
    </row>
    <row r="2632" spans="1:7">
      <c r="A2632">
        <v>220</v>
      </c>
      <c r="B2632" s="1">
        <v>45992</v>
      </c>
      <c r="C2632">
        <v>22</v>
      </c>
      <c r="D2632">
        <v>22</v>
      </c>
      <c r="E2632">
        <v>0</v>
      </c>
      <c r="F2632">
        <v>0</v>
      </c>
      <c r="G2632">
        <v>100</v>
      </c>
    </row>
    <row r="2633" spans="1:7">
      <c r="A2633">
        <v>220</v>
      </c>
      <c r="B2633" s="1">
        <v>46023</v>
      </c>
      <c r="C2633">
        <v>19</v>
      </c>
      <c r="D2633">
        <v>17</v>
      </c>
      <c r="E2633">
        <v>2</v>
      </c>
      <c r="F2633">
        <v>3</v>
      </c>
      <c r="G2633">
        <v>89.5</v>
      </c>
    </row>
    <row r="2634" spans="1:7">
      <c r="A2634">
        <v>220</v>
      </c>
      <c r="B2634" s="1">
        <v>46054</v>
      </c>
      <c r="C2634">
        <v>19</v>
      </c>
      <c r="D2634">
        <v>18</v>
      </c>
      <c r="E2634">
        <v>1</v>
      </c>
      <c r="F2634">
        <v>3</v>
      </c>
      <c r="G2634">
        <v>94.7</v>
      </c>
    </row>
    <row r="2635" spans="1:7">
      <c r="A2635">
        <v>220</v>
      </c>
      <c r="B2635" s="1">
        <v>46082</v>
      </c>
      <c r="C2635">
        <v>18</v>
      </c>
      <c r="D2635">
        <v>17</v>
      </c>
      <c r="E2635">
        <v>1</v>
      </c>
      <c r="F2635">
        <v>1</v>
      </c>
      <c r="G2635">
        <v>94.4</v>
      </c>
    </row>
    <row r="2636" spans="1:7">
      <c r="A2636">
        <v>220</v>
      </c>
      <c r="B2636" s="1">
        <v>46113</v>
      </c>
      <c r="C2636">
        <v>22</v>
      </c>
      <c r="D2636">
        <v>21</v>
      </c>
      <c r="E2636">
        <v>1</v>
      </c>
      <c r="F2636">
        <v>2</v>
      </c>
      <c r="G2636">
        <v>95.5</v>
      </c>
    </row>
    <row r="2637" spans="1:7">
      <c r="A2637">
        <v>220</v>
      </c>
      <c r="B2637" s="1">
        <v>46143</v>
      </c>
      <c r="C2637">
        <v>19</v>
      </c>
      <c r="D2637">
        <v>19</v>
      </c>
      <c r="E2637">
        <v>0</v>
      </c>
      <c r="F2637">
        <v>0</v>
      </c>
      <c r="G2637">
        <v>100</v>
      </c>
    </row>
    <row r="2638" spans="1:7">
      <c r="A2638">
        <v>220</v>
      </c>
      <c r="B2638" s="1">
        <v>46174</v>
      </c>
      <c r="C2638">
        <v>19</v>
      </c>
      <c r="D2638">
        <v>16</v>
      </c>
      <c r="E2638">
        <v>3</v>
      </c>
      <c r="F2638">
        <v>0</v>
      </c>
      <c r="G2638">
        <v>84.2</v>
      </c>
    </row>
    <row r="2639" spans="1:7">
      <c r="A2639">
        <v>220</v>
      </c>
      <c r="B2639" s="1">
        <v>46204</v>
      </c>
      <c r="C2639">
        <v>20</v>
      </c>
      <c r="D2639">
        <v>19</v>
      </c>
      <c r="E2639">
        <v>1</v>
      </c>
      <c r="F2639">
        <v>4</v>
      </c>
      <c r="G2639">
        <v>95</v>
      </c>
    </row>
    <row r="2640" spans="1:7">
      <c r="A2640">
        <v>220</v>
      </c>
      <c r="B2640" s="1">
        <v>46235</v>
      </c>
      <c r="C2640">
        <v>21</v>
      </c>
      <c r="D2640">
        <v>15</v>
      </c>
      <c r="E2640">
        <v>6</v>
      </c>
      <c r="F2640">
        <v>1</v>
      </c>
      <c r="G2640">
        <v>71.400000000000006</v>
      </c>
    </row>
    <row r="2641" spans="1:7">
      <c r="A2641">
        <v>220</v>
      </c>
      <c r="B2641" s="1">
        <v>46266</v>
      </c>
      <c r="C2641">
        <v>20</v>
      </c>
      <c r="D2641">
        <v>19</v>
      </c>
      <c r="E2641">
        <v>1</v>
      </c>
      <c r="F2641">
        <v>2</v>
      </c>
      <c r="G2641">
        <v>95</v>
      </c>
    </row>
    <row r="2642" spans="1:7">
      <c r="A2642">
        <v>221</v>
      </c>
      <c r="B2642" s="1">
        <v>45931</v>
      </c>
      <c r="C2642">
        <v>20</v>
      </c>
      <c r="D2642">
        <v>20</v>
      </c>
      <c r="E2642">
        <v>0</v>
      </c>
      <c r="F2642">
        <v>2</v>
      </c>
      <c r="G2642">
        <v>100</v>
      </c>
    </row>
    <row r="2643" spans="1:7">
      <c r="A2643">
        <v>221</v>
      </c>
      <c r="B2643" s="1">
        <v>45962</v>
      </c>
      <c r="C2643">
        <v>20</v>
      </c>
      <c r="D2643">
        <v>18</v>
      </c>
      <c r="E2643">
        <v>2</v>
      </c>
      <c r="F2643">
        <v>1</v>
      </c>
      <c r="G2643">
        <v>90</v>
      </c>
    </row>
    <row r="2644" spans="1:7">
      <c r="A2644">
        <v>221</v>
      </c>
      <c r="B2644" s="1">
        <v>45992</v>
      </c>
      <c r="C2644">
        <v>18</v>
      </c>
      <c r="D2644">
        <v>18</v>
      </c>
      <c r="E2644">
        <v>0</v>
      </c>
      <c r="F2644">
        <v>0</v>
      </c>
      <c r="G2644">
        <v>100</v>
      </c>
    </row>
    <row r="2645" spans="1:7">
      <c r="A2645">
        <v>221</v>
      </c>
      <c r="B2645" s="1">
        <v>46023</v>
      </c>
      <c r="C2645">
        <v>21</v>
      </c>
      <c r="D2645">
        <v>21</v>
      </c>
      <c r="E2645">
        <v>0</v>
      </c>
      <c r="F2645">
        <v>3</v>
      </c>
      <c r="G2645">
        <v>100</v>
      </c>
    </row>
    <row r="2646" spans="1:7">
      <c r="A2646">
        <v>221</v>
      </c>
      <c r="B2646" s="1">
        <v>46054</v>
      </c>
      <c r="C2646">
        <v>22</v>
      </c>
      <c r="D2646">
        <v>18</v>
      </c>
      <c r="E2646">
        <v>4</v>
      </c>
      <c r="F2646">
        <v>2</v>
      </c>
      <c r="G2646">
        <v>81.8</v>
      </c>
    </row>
    <row r="2647" spans="1:7">
      <c r="A2647">
        <v>221</v>
      </c>
      <c r="B2647" s="1">
        <v>46082</v>
      </c>
      <c r="C2647">
        <v>18</v>
      </c>
      <c r="D2647">
        <v>18</v>
      </c>
      <c r="E2647">
        <v>0</v>
      </c>
      <c r="F2647">
        <v>0</v>
      </c>
      <c r="G2647">
        <v>100</v>
      </c>
    </row>
    <row r="2648" spans="1:7">
      <c r="A2648">
        <v>221</v>
      </c>
      <c r="B2648" s="1">
        <v>46113</v>
      </c>
      <c r="C2648">
        <v>21</v>
      </c>
      <c r="D2648">
        <v>19</v>
      </c>
      <c r="E2648">
        <v>2</v>
      </c>
      <c r="F2648">
        <v>5</v>
      </c>
      <c r="G2648">
        <v>90.5</v>
      </c>
    </row>
    <row r="2649" spans="1:7">
      <c r="A2649">
        <v>221</v>
      </c>
      <c r="B2649" s="1">
        <v>46143</v>
      </c>
      <c r="C2649">
        <v>19</v>
      </c>
      <c r="D2649">
        <v>19</v>
      </c>
      <c r="E2649">
        <v>0</v>
      </c>
      <c r="F2649">
        <v>2</v>
      </c>
      <c r="G2649">
        <v>100</v>
      </c>
    </row>
    <row r="2650" spans="1:7">
      <c r="A2650">
        <v>221</v>
      </c>
      <c r="B2650" s="1">
        <v>46174</v>
      </c>
      <c r="C2650">
        <v>22</v>
      </c>
      <c r="D2650">
        <v>22</v>
      </c>
      <c r="E2650">
        <v>0</v>
      </c>
      <c r="F2650">
        <v>3</v>
      </c>
      <c r="G2650">
        <v>100</v>
      </c>
    </row>
    <row r="2651" spans="1:7">
      <c r="A2651">
        <v>221</v>
      </c>
      <c r="B2651" s="1">
        <v>46204</v>
      </c>
      <c r="C2651">
        <v>20</v>
      </c>
      <c r="D2651">
        <v>20</v>
      </c>
      <c r="E2651">
        <v>0</v>
      </c>
      <c r="F2651">
        <v>0</v>
      </c>
      <c r="G2651">
        <v>100</v>
      </c>
    </row>
    <row r="2652" spans="1:7">
      <c r="A2652">
        <v>221</v>
      </c>
      <c r="B2652" s="1">
        <v>46235</v>
      </c>
      <c r="C2652">
        <v>20</v>
      </c>
      <c r="D2652">
        <v>19</v>
      </c>
      <c r="E2652">
        <v>1</v>
      </c>
      <c r="F2652">
        <v>2</v>
      </c>
      <c r="G2652">
        <v>95</v>
      </c>
    </row>
    <row r="2653" spans="1:7">
      <c r="A2653">
        <v>221</v>
      </c>
      <c r="B2653" s="1">
        <v>46266</v>
      </c>
      <c r="C2653">
        <v>22</v>
      </c>
      <c r="D2653">
        <v>21</v>
      </c>
      <c r="E2653">
        <v>1</v>
      </c>
      <c r="F2653">
        <v>0</v>
      </c>
      <c r="G2653">
        <v>95.5</v>
      </c>
    </row>
    <row r="2654" spans="1:7">
      <c r="A2654">
        <v>222</v>
      </c>
      <c r="B2654" s="1">
        <v>45931</v>
      </c>
      <c r="C2654">
        <v>18</v>
      </c>
      <c r="D2654">
        <v>11</v>
      </c>
      <c r="E2654">
        <v>7</v>
      </c>
      <c r="F2654">
        <v>2</v>
      </c>
      <c r="G2654">
        <v>61.1</v>
      </c>
    </row>
    <row r="2655" spans="1:7">
      <c r="A2655">
        <v>222</v>
      </c>
      <c r="B2655" s="1">
        <v>45962</v>
      </c>
      <c r="C2655">
        <v>18</v>
      </c>
      <c r="D2655">
        <v>11</v>
      </c>
      <c r="E2655">
        <v>7</v>
      </c>
      <c r="F2655">
        <v>0</v>
      </c>
      <c r="G2655">
        <v>61.1</v>
      </c>
    </row>
    <row r="2656" spans="1:7">
      <c r="A2656">
        <v>222</v>
      </c>
      <c r="B2656" s="1">
        <v>45992</v>
      </c>
      <c r="C2656">
        <v>20</v>
      </c>
      <c r="D2656">
        <v>10</v>
      </c>
      <c r="E2656">
        <v>10</v>
      </c>
      <c r="F2656">
        <v>6</v>
      </c>
      <c r="G2656">
        <v>50</v>
      </c>
    </row>
    <row r="2657" spans="1:7">
      <c r="A2657">
        <v>222</v>
      </c>
      <c r="B2657" s="1">
        <v>46023</v>
      </c>
      <c r="C2657">
        <v>22</v>
      </c>
      <c r="D2657">
        <v>12</v>
      </c>
      <c r="E2657">
        <v>10</v>
      </c>
      <c r="F2657">
        <v>5</v>
      </c>
      <c r="G2657">
        <v>54.5</v>
      </c>
    </row>
    <row r="2658" spans="1:7">
      <c r="A2658">
        <v>222</v>
      </c>
      <c r="B2658" s="1">
        <v>46054</v>
      </c>
      <c r="C2658">
        <v>22</v>
      </c>
      <c r="D2658">
        <v>14</v>
      </c>
      <c r="E2658">
        <v>8</v>
      </c>
      <c r="F2658">
        <v>2</v>
      </c>
      <c r="G2658">
        <v>63.6</v>
      </c>
    </row>
    <row r="2659" spans="1:7">
      <c r="A2659">
        <v>222</v>
      </c>
      <c r="B2659" s="1">
        <v>46082</v>
      </c>
      <c r="C2659">
        <v>19</v>
      </c>
      <c r="D2659">
        <v>11</v>
      </c>
      <c r="E2659">
        <v>8</v>
      </c>
      <c r="F2659">
        <v>5</v>
      </c>
      <c r="G2659">
        <v>57.9</v>
      </c>
    </row>
    <row r="2660" spans="1:7">
      <c r="A2660">
        <v>222</v>
      </c>
      <c r="B2660" s="1">
        <v>46113</v>
      </c>
      <c r="C2660">
        <v>19</v>
      </c>
      <c r="D2660">
        <v>16</v>
      </c>
      <c r="E2660">
        <v>3</v>
      </c>
      <c r="F2660">
        <v>2</v>
      </c>
      <c r="G2660">
        <v>84.2</v>
      </c>
    </row>
    <row r="2661" spans="1:7">
      <c r="A2661">
        <v>222</v>
      </c>
      <c r="B2661" s="1">
        <v>46143</v>
      </c>
      <c r="C2661">
        <v>19</v>
      </c>
      <c r="D2661">
        <v>10</v>
      </c>
      <c r="E2661">
        <v>9</v>
      </c>
      <c r="F2661">
        <v>0</v>
      </c>
      <c r="G2661">
        <v>52.6</v>
      </c>
    </row>
    <row r="2662" spans="1:7">
      <c r="A2662">
        <v>222</v>
      </c>
      <c r="B2662" s="1">
        <v>46174</v>
      </c>
      <c r="C2662">
        <v>21</v>
      </c>
      <c r="D2662">
        <v>13</v>
      </c>
      <c r="E2662">
        <v>8</v>
      </c>
      <c r="F2662">
        <v>5</v>
      </c>
      <c r="G2662">
        <v>61.9</v>
      </c>
    </row>
    <row r="2663" spans="1:7">
      <c r="A2663">
        <v>222</v>
      </c>
      <c r="B2663" s="1">
        <v>46204</v>
      </c>
      <c r="C2663">
        <v>21</v>
      </c>
      <c r="D2663">
        <v>15</v>
      </c>
      <c r="E2663">
        <v>6</v>
      </c>
      <c r="F2663">
        <v>3</v>
      </c>
      <c r="G2663">
        <v>71.400000000000006</v>
      </c>
    </row>
    <row r="2664" spans="1:7">
      <c r="A2664">
        <v>222</v>
      </c>
      <c r="B2664" s="1">
        <v>46235</v>
      </c>
      <c r="C2664">
        <v>21</v>
      </c>
      <c r="D2664">
        <v>13</v>
      </c>
      <c r="E2664">
        <v>8</v>
      </c>
      <c r="F2664">
        <v>2</v>
      </c>
      <c r="G2664">
        <v>61.9</v>
      </c>
    </row>
    <row r="2665" spans="1:7">
      <c r="A2665">
        <v>222</v>
      </c>
      <c r="B2665" s="1">
        <v>46266</v>
      </c>
      <c r="C2665">
        <v>20</v>
      </c>
      <c r="D2665">
        <v>13</v>
      </c>
      <c r="E2665">
        <v>7</v>
      </c>
      <c r="F2665">
        <v>4</v>
      </c>
      <c r="G2665">
        <v>65</v>
      </c>
    </row>
    <row r="2666" spans="1:7">
      <c r="A2666">
        <v>223</v>
      </c>
      <c r="B2666" s="1">
        <v>45931</v>
      </c>
      <c r="C2666">
        <v>20</v>
      </c>
      <c r="D2666">
        <v>12</v>
      </c>
      <c r="E2666">
        <v>8</v>
      </c>
      <c r="F2666">
        <v>2</v>
      </c>
      <c r="G2666">
        <v>60</v>
      </c>
    </row>
    <row r="2667" spans="1:7">
      <c r="A2667">
        <v>223</v>
      </c>
      <c r="B2667" s="1">
        <v>45962</v>
      </c>
      <c r="C2667">
        <v>22</v>
      </c>
      <c r="D2667">
        <v>13</v>
      </c>
      <c r="E2667">
        <v>9</v>
      </c>
      <c r="F2667">
        <v>1</v>
      </c>
      <c r="G2667">
        <v>59.1</v>
      </c>
    </row>
    <row r="2668" spans="1:7">
      <c r="A2668">
        <v>223</v>
      </c>
      <c r="B2668" s="1">
        <v>45992</v>
      </c>
      <c r="C2668">
        <v>19</v>
      </c>
      <c r="D2668">
        <v>12</v>
      </c>
      <c r="E2668">
        <v>7</v>
      </c>
      <c r="F2668">
        <v>1</v>
      </c>
      <c r="G2668">
        <v>63.2</v>
      </c>
    </row>
    <row r="2669" spans="1:7">
      <c r="A2669">
        <v>223</v>
      </c>
      <c r="B2669" s="1">
        <v>46023</v>
      </c>
      <c r="C2669">
        <v>20</v>
      </c>
      <c r="D2669">
        <v>11</v>
      </c>
      <c r="E2669">
        <v>9</v>
      </c>
      <c r="F2669">
        <v>2</v>
      </c>
      <c r="G2669">
        <v>55</v>
      </c>
    </row>
    <row r="2670" spans="1:7">
      <c r="A2670">
        <v>223</v>
      </c>
      <c r="B2670" s="1">
        <v>46054</v>
      </c>
      <c r="C2670">
        <v>18</v>
      </c>
      <c r="D2670">
        <v>13</v>
      </c>
      <c r="E2670">
        <v>5</v>
      </c>
      <c r="F2670">
        <v>3</v>
      </c>
      <c r="G2670">
        <v>72.2</v>
      </c>
    </row>
    <row r="2671" spans="1:7">
      <c r="A2671">
        <v>223</v>
      </c>
      <c r="B2671" s="1">
        <v>46082</v>
      </c>
      <c r="C2671">
        <v>22</v>
      </c>
      <c r="D2671">
        <v>11</v>
      </c>
      <c r="E2671">
        <v>11</v>
      </c>
      <c r="F2671">
        <v>1</v>
      </c>
      <c r="G2671">
        <v>50</v>
      </c>
    </row>
    <row r="2672" spans="1:7">
      <c r="A2672">
        <v>223</v>
      </c>
      <c r="B2672" s="1">
        <v>46113</v>
      </c>
      <c r="C2672">
        <v>21</v>
      </c>
      <c r="D2672">
        <v>14</v>
      </c>
      <c r="E2672">
        <v>7</v>
      </c>
      <c r="F2672">
        <v>0</v>
      </c>
      <c r="G2672">
        <v>66.7</v>
      </c>
    </row>
    <row r="2673" spans="1:7">
      <c r="A2673">
        <v>223</v>
      </c>
      <c r="B2673" s="1">
        <v>46143</v>
      </c>
      <c r="C2673">
        <v>19</v>
      </c>
      <c r="D2673">
        <v>16</v>
      </c>
      <c r="E2673">
        <v>3</v>
      </c>
      <c r="F2673">
        <v>4</v>
      </c>
      <c r="G2673">
        <v>84.2</v>
      </c>
    </row>
    <row r="2674" spans="1:7">
      <c r="A2674">
        <v>223</v>
      </c>
      <c r="B2674" s="1">
        <v>46174</v>
      </c>
      <c r="C2674">
        <v>21</v>
      </c>
      <c r="D2674">
        <v>15</v>
      </c>
      <c r="E2674">
        <v>6</v>
      </c>
      <c r="F2674">
        <v>5</v>
      </c>
      <c r="G2674">
        <v>71.400000000000006</v>
      </c>
    </row>
    <row r="2675" spans="1:7">
      <c r="A2675">
        <v>223</v>
      </c>
      <c r="B2675" s="1">
        <v>46204</v>
      </c>
      <c r="C2675">
        <v>20</v>
      </c>
      <c r="D2675">
        <v>16</v>
      </c>
      <c r="E2675">
        <v>4</v>
      </c>
      <c r="F2675">
        <v>3</v>
      </c>
      <c r="G2675">
        <v>80</v>
      </c>
    </row>
    <row r="2676" spans="1:7">
      <c r="A2676">
        <v>223</v>
      </c>
      <c r="B2676" s="1">
        <v>46235</v>
      </c>
      <c r="C2676">
        <v>20</v>
      </c>
      <c r="D2676">
        <v>15</v>
      </c>
      <c r="E2676">
        <v>5</v>
      </c>
      <c r="F2676">
        <v>3</v>
      </c>
      <c r="G2676">
        <v>75</v>
      </c>
    </row>
    <row r="2677" spans="1:7">
      <c r="A2677">
        <v>223</v>
      </c>
      <c r="B2677" s="1">
        <v>46266</v>
      </c>
      <c r="C2677">
        <v>21</v>
      </c>
      <c r="D2677">
        <v>13</v>
      </c>
      <c r="E2677">
        <v>8</v>
      </c>
      <c r="F2677">
        <v>0</v>
      </c>
      <c r="G2677">
        <v>61.9</v>
      </c>
    </row>
    <row r="2678" spans="1:7">
      <c r="A2678">
        <v>224</v>
      </c>
      <c r="B2678" s="1">
        <v>45931</v>
      </c>
      <c r="C2678">
        <v>22</v>
      </c>
      <c r="D2678">
        <v>12</v>
      </c>
      <c r="E2678">
        <v>10</v>
      </c>
      <c r="F2678">
        <v>0</v>
      </c>
      <c r="G2678">
        <v>54.5</v>
      </c>
    </row>
    <row r="2679" spans="1:7">
      <c r="A2679">
        <v>224</v>
      </c>
      <c r="B2679" s="1">
        <v>45962</v>
      </c>
      <c r="C2679">
        <v>19</v>
      </c>
      <c r="D2679">
        <v>11</v>
      </c>
      <c r="E2679">
        <v>8</v>
      </c>
      <c r="F2679">
        <v>4</v>
      </c>
      <c r="G2679">
        <v>57.9</v>
      </c>
    </row>
    <row r="2680" spans="1:7">
      <c r="A2680">
        <v>224</v>
      </c>
      <c r="B2680" s="1">
        <v>45992</v>
      </c>
      <c r="C2680">
        <v>20</v>
      </c>
      <c r="D2680">
        <v>12</v>
      </c>
      <c r="E2680">
        <v>8</v>
      </c>
      <c r="F2680">
        <v>2</v>
      </c>
      <c r="G2680">
        <v>60</v>
      </c>
    </row>
    <row r="2681" spans="1:7">
      <c r="A2681">
        <v>224</v>
      </c>
      <c r="B2681" s="1">
        <v>46023</v>
      </c>
      <c r="C2681">
        <v>19</v>
      </c>
      <c r="D2681">
        <v>14</v>
      </c>
      <c r="E2681">
        <v>5</v>
      </c>
      <c r="F2681">
        <v>4</v>
      </c>
      <c r="G2681">
        <v>73.7</v>
      </c>
    </row>
    <row r="2682" spans="1:7">
      <c r="A2682">
        <v>224</v>
      </c>
      <c r="B2682" s="1">
        <v>46054</v>
      </c>
      <c r="C2682">
        <v>22</v>
      </c>
      <c r="D2682">
        <v>12</v>
      </c>
      <c r="E2682">
        <v>10</v>
      </c>
      <c r="F2682">
        <v>0</v>
      </c>
      <c r="G2682">
        <v>54.5</v>
      </c>
    </row>
    <row r="2683" spans="1:7">
      <c r="A2683">
        <v>224</v>
      </c>
      <c r="B2683" s="1">
        <v>46082</v>
      </c>
      <c r="C2683">
        <v>21</v>
      </c>
      <c r="D2683">
        <v>16</v>
      </c>
      <c r="E2683">
        <v>5</v>
      </c>
      <c r="F2683">
        <v>1</v>
      </c>
      <c r="G2683">
        <v>76.2</v>
      </c>
    </row>
    <row r="2684" spans="1:7">
      <c r="A2684">
        <v>224</v>
      </c>
      <c r="B2684" s="1">
        <v>46113</v>
      </c>
      <c r="C2684">
        <v>21</v>
      </c>
      <c r="D2684">
        <v>15</v>
      </c>
      <c r="E2684">
        <v>6</v>
      </c>
      <c r="F2684">
        <v>6</v>
      </c>
      <c r="G2684">
        <v>71.400000000000006</v>
      </c>
    </row>
    <row r="2685" spans="1:7">
      <c r="A2685">
        <v>224</v>
      </c>
      <c r="B2685" s="1">
        <v>46143</v>
      </c>
      <c r="C2685">
        <v>22</v>
      </c>
      <c r="D2685">
        <v>17</v>
      </c>
      <c r="E2685">
        <v>5</v>
      </c>
      <c r="F2685">
        <v>3</v>
      </c>
      <c r="G2685">
        <v>77.3</v>
      </c>
    </row>
    <row r="2686" spans="1:7">
      <c r="A2686">
        <v>224</v>
      </c>
      <c r="B2686" s="1">
        <v>46174</v>
      </c>
      <c r="C2686">
        <v>18</v>
      </c>
      <c r="D2686">
        <v>10</v>
      </c>
      <c r="E2686">
        <v>8</v>
      </c>
      <c r="F2686">
        <v>5</v>
      </c>
      <c r="G2686">
        <v>55.6</v>
      </c>
    </row>
    <row r="2687" spans="1:7">
      <c r="A2687">
        <v>224</v>
      </c>
      <c r="B2687" s="1">
        <v>46204</v>
      </c>
      <c r="C2687">
        <v>18</v>
      </c>
      <c r="D2687">
        <v>10</v>
      </c>
      <c r="E2687">
        <v>8</v>
      </c>
      <c r="F2687">
        <v>2</v>
      </c>
      <c r="G2687">
        <v>55.6</v>
      </c>
    </row>
    <row r="2688" spans="1:7">
      <c r="A2688">
        <v>224</v>
      </c>
      <c r="B2688" s="1">
        <v>46235</v>
      </c>
      <c r="C2688">
        <v>22</v>
      </c>
      <c r="D2688">
        <v>14</v>
      </c>
      <c r="E2688">
        <v>8</v>
      </c>
      <c r="F2688">
        <v>3</v>
      </c>
      <c r="G2688">
        <v>63.6</v>
      </c>
    </row>
    <row r="2689" spans="1:7">
      <c r="A2689">
        <v>224</v>
      </c>
      <c r="B2689" s="1">
        <v>46266</v>
      </c>
      <c r="C2689">
        <v>20</v>
      </c>
      <c r="D2689">
        <v>12</v>
      </c>
      <c r="E2689">
        <v>8</v>
      </c>
      <c r="F2689">
        <v>6</v>
      </c>
      <c r="G2689">
        <v>60</v>
      </c>
    </row>
    <row r="2690" spans="1:7">
      <c r="A2690">
        <v>225</v>
      </c>
      <c r="B2690" s="1">
        <v>45931</v>
      </c>
      <c r="C2690">
        <v>18</v>
      </c>
      <c r="D2690">
        <v>13</v>
      </c>
      <c r="E2690">
        <v>5</v>
      </c>
      <c r="F2690">
        <v>4</v>
      </c>
      <c r="G2690">
        <v>72.2</v>
      </c>
    </row>
    <row r="2691" spans="1:7">
      <c r="A2691">
        <v>225</v>
      </c>
      <c r="B2691" s="1">
        <v>45962</v>
      </c>
      <c r="C2691">
        <v>18</v>
      </c>
      <c r="D2691">
        <v>13</v>
      </c>
      <c r="E2691">
        <v>5</v>
      </c>
      <c r="F2691">
        <v>5</v>
      </c>
      <c r="G2691">
        <v>72.2</v>
      </c>
    </row>
    <row r="2692" spans="1:7">
      <c r="A2692">
        <v>225</v>
      </c>
      <c r="B2692" s="1">
        <v>45992</v>
      </c>
      <c r="C2692">
        <v>19</v>
      </c>
      <c r="D2692">
        <v>18</v>
      </c>
      <c r="E2692">
        <v>1</v>
      </c>
      <c r="F2692">
        <v>3</v>
      </c>
      <c r="G2692">
        <v>94.7</v>
      </c>
    </row>
    <row r="2693" spans="1:7">
      <c r="A2693">
        <v>225</v>
      </c>
      <c r="B2693" s="1">
        <v>46023</v>
      </c>
      <c r="C2693">
        <v>19</v>
      </c>
      <c r="D2693">
        <v>16</v>
      </c>
      <c r="E2693">
        <v>3</v>
      </c>
      <c r="F2693">
        <v>1</v>
      </c>
      <c r="G2693">
        <v>84.2</v>
      </c>
    </row>
    <row r="2694" spans="1:7">
      <c r="A2694">
        <v>225</v>
      </c>
      <c r="B2694" s="1">
        <v>46054</v>
      </c>
      <c r="C2694">
        <v>19</v>
      </c>
      <c r="D2694">
        <v>16</v>
      </c>
      <c r="E2694">
        <v>3</v>
      </c>
      <c r="F2694">
        <v>0</v>
      </c>
      <c r="G2694">
        <v>84.2</v>
      </c>
    </row>
    <row r="2695" spans="1:7">
      <c r="A2695">
        <v>225</v>
      </c>
      <c r="B2695" s="1">
        <v>46082</v>
      </c>
      <c r="C2695">
        <v>21</v>
      </c>
      <c r="D2695">
        <v>16</v>
      </c>
      <c r="E2695">
        <v>5</v>
      </c>
      <c r="F2695">
        <v>4</v>
      </c>
      <c r="G2695">
        <v>76.2</v>
      </c>
    </row>
    <row r="2696" spans="1:7">
      <c r="A2696">
        <v>225</v>
      </c>
      <c r="B2696" s="1">
        <v>46113</v>
      </c>
      <c r="C2696">
        <v>19</v>
      </c>
      <c r="D2696">
        <v>16</v>
      </c>
      <c r="E2696">
        <v>3</v>
      </c>
      <c r="F2696">
        <v>4</v>
      </c>
      <c r="G2696">
        <v>84.2</v>
      </c>
    </row>
    <row r="2697" spans="1:7">
      <c r="A2697">
        <v>225</v>
      </c>
      <c r="B2697" s="1">
        <v>46143</v>
      </c>
      <c r="C2697">
        <v>18</v>
      </c>
      <c r="D2697">
        <v>15</v>
      </c>
      <c r="E2697">
        <v>3</v>
      </c>
      <c r="F2697">
        <v>4</v>
      </c>
      <c r="G2697">
        <v>83.3</v>
      </c>
    </row>
    <row r="2698" spans="1:7">
      <c r="A2698">
        <v>225</v>
      </c>
      <c r="B2698" s="1">
        <v>46174</v>
      </c>
      <c r="C2698">
        <v>18</v>
      </c>
      <c r="D2698">
        <v>15</v>
      </c>
      <c r="E2698">
        <v>3</v>
      </c>
      <c r="F2698">
        <v>0</v>
      </c>
      <c r="G2698">
        <v>83.3</v>
      </c>
    </row>
    <row r="2699" spans="1:7">
      <c r="A2699">
        <v>225</v>
      </c>
      <c r="B2699" s="1">
        <v>46204</v>
      </c>
      <c r="C2699">
        <v>22</v>
      </c>
      <c r="D2699">
        <v>18</v>
      </c>
      <c r="E2699">
        <v>4</v>
      </c>
      <c r="F2699">
        <v>3</v>
      </c>
      <c r="G2699">
        <v>81.8</v>
      </c>
    </row>
    <row r="2700" spans="1:7">
      <c r="A2700">
        <v>225</v>
      </c>
      <c r="B2700" s="1">
        <v>46235</v>
      </c>
      <c r="C2700">
        <v>21</v>
      </c>
      <c r="D2700">
        <v>17</v>
      </c>
      <c r="E2700">
        <v>4</v>
      </c>
      <c r="F2700">
        <v>3</v>
      </c>
      <c r="G2700">
        <v>81</v>
      </c>
    </row>
    <row r="2701" spans="1:7">
      <c r="A2701">
        <v>225</v>
      </c>
      <c r="B2701" s="1">
        <v>46266</v>
      </c>
      <c r="C2701">
        <v>21</v>
      </c>
      <c r="D2701">
        <v>18</v>
      </c>
      <c r="E2701">
        <v>3</v>
      </c>
      <c r="F2701">
        <v>1</v>
      </c>
      <c r="G2701">
        <v>85.7</v>
      </c>
    </row>
    <row r="2702" spans="1:7">
      <c r="A2702">
        <v>226</v>
      </c>
      <c r="B2702" s="1">
        <v>45931</v>
      </c>
      <c r="C2702">
        <v>19</v>
      </c>
      <c r="D2702">
        <v>12</v>
      </c>
      <c r="E2702">
        <v>7</v>
      </c>
      <c r="F2702">
        <v>6</v>
      </c>
      <c r="G2702">
        <v>63.2</v>
      </c>
    </row>
    <row r="2703" spans="1:7">
      <c r="A2703">
        <v>226</v>
      </c>
      <c r="B2703" s="1">
        <v>45962</v>
      </c>
      <c r="C2703">
        <v>22</v>
      </c>
      <c r="D2703">
        <v>18</v>
      </c>
      <c r="E2703">
        <v>4</v>
      </c>
      <c r="F2703">
        <v>5</v>
      </c>
      <c r="G2703">
        <v>81.8</v>
      </c>
    </row>
    <row r="2704" spans="1:7">
      <c r="A2704">
        <v>226</v>
      </c>
      <c r="B2704" s="1">
        <v>45992</v>
      </c>
      <c r="C2704">
        <v>21</v>
      </c>
      <c r="D2704">
        <v>13</v>
      </c>
      <c r="E2704">
        <v>8</v>
      </c>
      <c r="F2704">
        <v>3</v>
      </c>
      <c r="G2704">
        <v>61.9</v>
      </c>
    </row>
    <row r="2705" spans="1:7">
      <c r="A2705">
        <v>226</v>
      </c>
      <c r="B2705" s="1">
        <v>46023</v>
      </c>
      <c r="C2705">
        <v>19</v>
      </c>
      <c r="D2705">
        <v>15</v>
      </c>
      <c r="E2705">
        <v>4</v>
      </c>
      <c r="F2705">
        <v>5</v>
      </c>
      <c r="G2705">
        <v>78.900000000000006</v>
      </c>
    </row>
    <row r="2706" spans="1:7">
      <c r="A2706">
        <v>226</v>
      </c>
      <c r="B2706" s="1">
        <v>46054</v>
      </c>
      <c r="C2706">
        <v>18</v>
      </c>
      <c r="D2706">
        <v>11</v>
      </c>
      <c r="E2706">
        <v>7</v>
      </c>
      <c r="F2706">
        <v>5</v>
      </c>
      <c r="G2706">
        <v>61.1</v>
      </c>
    </row>
    <row r="2707" spans="1:7">
      <c r="A2707">
        <v>226</v>
      </c>
      <c r="B2707" s="1">
        <v>46082</v>
      </c>
      <c r="C2707">
        <v>19</v>
      </c>
      <c r="D2707">
        <v>10</v>
      </c>
      <c r="E2707">
        <v>9</v>
      </c>
      <c r="F2707">
        <v>1</v>
      </c>
      <c r="G2707">
        <v>52.6</v>
      </c>
    </row>
    <row r="2708" spans="1:7">
      <c r="A2708">
        <v>226</v>
      </c>
      <c r="B2708" s="1">
        <v>46113</v>
      </c>
      <c r="C2708">
        <v>22</v>
      </c>
      <c r="D2708">
        <v>16</v>
      </c>
      <c r="E2708">
        <v>6</v>
      </c>
      <c r="F2708">
        <v>3</v>
      </c>
      <c r="G2708">
        <v>72.7</v>
      </c>
    </row>
    <row r="2709" spans="1:7">
      <c r="A2709">
        <v>226</v>
      </c>
      <c r="B2709" s="1">
        <v>46143</v>
      </c>
      <c r="C2709">
        <v>21</v>
      </c>
      <c r="D2709">
        <v>18</v>
      </c>
      <c r="E2709">
        <v>3</v>
      </c>
      <c r="F2709">
        <v>2</v>
      </c>
      <c r="G2709">
        <v>85.7</v>
      </c>
    </row>
    <row r="2710" spans="1:7">
      <c r="A2710">
        <v>226</v>
      </c>
      <c r="B2710" s="1">
        <v>46174</v>
      </c>
      <c r="C2710">
        <v>20</v>
      </c>
      <c r="D2710">
        <v>17</v>
      </c>
      <c r="E2710">
        <v>3</v>
      </c>
      <c r="F2710">
        <v>3</v>
      </c>
      <c r="G2710">
        <v>85</v>
      </c>
    </row>
    <row r="2711" spans="1:7">
      <c r="A2711">
        <v>226</v>
      </c>
      <c r="B2711" s="1">
        <v>46204</v>
      </c>
      <c r="C2711">
        <v>20</v>
      </c>
      <c r="D2711">
        <v>18</v>
      </c>
      <c r="E2711">
        <v>2</v>
      </c>
      <c r="F2711">
        <v>5</v>
      </c>
      <c r="G2711">
        <v>90</v>
      </c>
    </row>
    <row r="2712" spans="1:7">
      <c r="A2712">
        <v>226</v>
      </c>
      <c r="B2712" s="1">
        <v>46235</v>
      </c>
      <c r="C2712">
        <v>20</v>
      </c>
      <c r="D2712">
        <v>16</v>
      </c>
      <c r="E2712">
        <v>4</v>
      </c>
      <c r="F2712">
        <v>0</v>
      </c>
      <c r="G2712">
        <v>80</v>
      </c>
    </row>
    <row r="2713" spans="1:7">
      <c r="A2713">
        <v>226</v>
      </c>
      <c r="B2713" s="1">
        <v>46266</v>
      </c>
      <c r="C2713">
        <v>21</v>
      </c>
      <c r="D2713">
        <v>13</v>
      </c>
      <c r="E2713">
        <v>8</v>
      </c>
      <c r="F2713">
        <v>3</v>
      </c>
      <c r="G2713">
        <v>61.9</v>
      </c>
    </row>
    <row r="2714" spans="1:7">
      <c r="A2714">
        <v>227</v>
      </c>
      <c r="B2714" s="1">
        <v>45931</v>
      </c>
      <c r="C2714">
        <v>21</v>
      </c>
      <c r="D2714">
        <v>18</v>
      </c>
      <c r="E2714">
        <v>3</v>
      </c>
      <c r="F2714">
        <v>0</v>
      </c>
      <c r="G2714">
        <v>85.7</v>
      </c>
    </row>
    <row r="2715" spans="1:7">
      <c r="A2715">
        <v>227</v>
      </c>
      <c r="B2715" s="1">
        <v>45962</v>
      </c>
      <c r="C2715">
        <v>22</v>
      </c>
      <c r="D2715">
        <v>18</v>
      </c>
      <c r="E2715">
        <v>4</v>
      </c>
      <c r="F2715">
        <v>3</v>
      </c>
      <c r="G2715">
        <v>81.8</v>
      </c>
    </row>
    <row r="2716" spans="1:7">
      <c r="A2716">
        <v>227</v>
      </c>
      <c r="B2716" s="1">
        <v>45992</v>
      </c>
      <c r="C2716">
        <v>18</v>
      </c>
      <c r="D2716">
        <v>16</v>
      </c>
      <c r="E2716">
        <v>2</v>
      </c>
      <c r="F2716">
        <v>5</v>
      </c>
      <c r="G2716">
        <v>88.9</v>
      </c>
    </row>
    <row r="2717" spans="1:7">
      <c r="A2717">
        <v>227</v>
      </c>
      <c r="B2717" s="1">
        <v>46023</v>
      </c>
      <c r="C2717">
        <v>22</v>
      </c>
      <c r="D2717">
        <v>20</v>
      </c>
      <c r="E2717">
        <v>2</v>
      </c>
      <c r="F2717">
        <v>3</v>
      </c>
      <c r="G2717">
        <v>90.9</v>
      </c>
    </row>
    <row r="2718" spans="1:7">
      <c r="A2718">
        <v>227</v>
      </c>
      <c r="B2718" s="1">
        <v>46054</v>
      </c>
      <c r="C2718">
        <v>18</v>
      </c>
      <c r="D2718">
        <v>14</v>
      </c>
      <c r="E2718">
        <v>4</v>
      </c>
      <c r="F2718">
        <v>1</v>
      </c>
      <c r="G2718">
        <v>77.8</v>
      </c>
    </row>
    <row r="2719" spans="1:7">
      <c r="A2719">
        <v>227</v>
      </c>
      <c r="B2719" s="1">
        <v>46082</v>
      </c>
      <c r="C2719">
        <v>21</v>
      </c>
      <c r="D2719">
        <v>20</v>
      </c>
      <c r="E2719">
        <v>1</v>
      </c>
      <c r="F2719">
        <v>3</v>
      </c>
      <c r="G2719">
        <v>95.2</v>
      </c>
    </row>
    <row r="2720" spans="1:7">
      <c r="A2720">
        <v>227</v>
      </c>
      <c r="B2720" s="1">
        <v>46113</v>
      </c>
      <c r="C2720">
        <v>20</v>
      </c>
      <c r="D2720">
        <v>17</v>
      </c>
      <c r="E2720">
        <v>3</v>
      </c>
      <c r="F2720">
        <v>4</v>
      </c>
      <c r="G2720">
        <v>85</v>
      </c>
    </row>
    <row r="2721" spans="1:7">
      <c r="A2721">
        <v>227</v>
      </c>
      <c r="B2721" s="1">
        <v>46143</v>
      </c>
      <c r="C2721">
        <v>22</v>
      </c>
      <c r="D2721">
        <v>20</v>
      </c>
      <c r="E2721">
        <v>2</v>
      </c>
      <c r="F2721">
        <v>1</v>
      </c>
      <c r="G2721">
        <v>90.9</v>
      </c>
    </row>
    <row r="2722" spans="1:7">
      <c r="A2722">
        <v>227</v>
      </c>
      <c r="B2722" s="1">
        <v>46174</v>
      </c>
      <c r="C2722">
        <v>20</v>
      </c>
      <c r="D2722">
        <v>16</v>
      </c>
      <c r="E2722">
        <v>4</v>
      </c>
      <c r="F2722">
        <v>4</v>
      </c>
      <c r="G2722">
        <v>80</v>
      </c>
    </row>
    <row r="2723" spans="1:7">
      <c r="A2723">
        <v>227</v>
      </c>
      <c r="B2723" s="1">
        <v>46204</v>
      </c>
      <c r="C2723">
        <v>18</v>
      </c>
      <c r="D2723">
        <v>17</v>
      </c>
      <c r="E2723">
        <v>1</v>
      </c>
      <c r="F2723">
        <v>1</v>
      </c>
      <c r="G2723">
        <v>94.4</v>
      </c>
    </row>
    <row r="2724" spans="1:7">
      <c r="A2724">
        <v>227</v>
      </c>
      <c r="B2724" s="1">
        <v>46235</v>
      </c>
      <c r="C2724">
        <v>19</v>
      </c>
      <c r="D2724">
        <v>19</v>
      </c>
      <c r="E2724">
        <v>0</v>
      </c>
      <c r="F2724">
        <v>2</v>
      </c>
      <c r="G2724">
        <v>100</v>
      </c>
    </row>
    <row r="2725" spans="1:7">
      <c r="A2725">
        <v>227</v>
      </c>
      <c r="B2725" s="1">
        <v>46266</v>
      </c>
      <c r="C2725">
        <v>21</v>
      </c>
      <c r="D2725">
        <v>16</v>
      </c>
      <c r="E2725">
        <v>5</v>
      </c>
      <c r="F2725">
        <v>5</v>
      </c>
      <c r="G2725">
        <v>76.2</v>
      </c>
    </row>
    <row r="2726" spans="1:7">
      <c r="A2726">
        <v>228</v>
      </c>
      <c r="B2726" s="1">
        <v>45931</v>
      </c>
      <c r="C2726">
        <v>19</v>
      </c>
      <c r="D2726">
        <v>11</v>
      </c>
      <c r="E2726">
        <v>8</v>
      </c>
      <c r="F2726">
        <v>2</v>
      </c>
      <c r="G2726">
        <v>57.9</v>
      </c>
    </row>
    <row r="2727" spans="1:7">
      <c r="A2727">
        <v>228</v>
      </c>
      <c r="B2727" s="1">
        <v>45962</v>
      </c>
      <c r="C2727">
        <v>21</v>
      </c>
      <c r="D2727">
        <v>10</v>
      </c>
      <c r="E2727">
        <v>11</v>
      </c>
      <c r="F2727">
        <v>0</v>
      </c>
      <c r="G2727">
        <v>47.6</v>
      </c>
    </row>
    <row r="2728" spans="1:7">
      <c r="A2728">
        <v>228</v>
      </c>
      <c r="B2728" s="1">
        <v>45992</v>
      </c>
      <c r="C2728">
        <v>21</v>
      </c>
      <c r="D2728">
        <v>14</v>
      </c>
      <c r="E2728">
        <v>7</v>
      </c>
      <c r="F2728">
        <v>5</v>
      </c>
      <c r="G2728">
        <v>66.7</v>
      </c>
    </row>
    <row r="2729" spans="1:7">
      <c r="A2729">
        <v>228</v>
      </c>
      <c r="B2729" s="1">
        <v>46023</v>
      </c>
      <c r="C2729">
        <v>19</v>
      </c>
      <c r="D2729">
        <v>10</v>
      </c>
      <c r="E2729">
        <v>9</v>
      </c>
      <c r="F2729">
        <v>4</v>
      </c>
      <c r="G2729">
        <v>52.6</v>
      </c>
    </row>
    <row r="2730" spans="1:7">
      <c r="A2730">
        <v>228</v>
      </c>
      <c r="B2730" s="1">
        <v>46054</v>
      </c>
      <c r="C2730">
        <v>22</v>
      </c>
      <c r="D2730">
        <v>13</v>
      </c>
      <c r="E2730">
        <v>9</v>
      </c>
      <c r="F2730">
        <v>1</v>
      </c>
      <c r="G2730">
        <v>59.1</v>
      </c>
    </row>
    <row r="2731" spans="1:7">
      <c r="A2731">
        <v>228</v>
      </c>
      <c r="B2731" s="1">
        <v>46082</v>
      </c>
      <c r="C2731">
        <v>20</v>
      </c>
      <c r="D2731">
        <v>13</v>
      </c>
      <c r="E2731">
        <v>7</v>
      </c>
      <c r="F2731">
        <v>4</v>
      </c>
      <c r="G2731">
        <v>65</v>
      </c>
    </row>
    <row r="2732" spans="1:7">
      <c r="A2732">
        <v>228</v>
      </c>
      <c r="B2732" s="1">
        <v>46113</v>
      </c>
      <c r="C2732">
        <v>22</v>
      </c>
      <c r="D2732">
        <v>15</v>
      </c>
      <c r="E2732">
        <v>7</v>
      </c>
      <c r="F2732">
        <v>3</v>
      </c>
      <c r="G2732">
        <v>68.2</v>
      </c>
    </row>
    <row r="2733" spans="1:7">
      <c r="A2733">
        <v>228</v>
      </c>
      <c r="B2733" s="1">
        <v>46143</v>
      </c>
      <c r="C2733">
        <v>18</v>
      </c>
      <c r="D2733">
        <v>10</v>
      </c>
      <c r="E2733">
        <v>8</v>
      </c>
      <c r="F2733">
        <v>0</v>
      </c>
      <c r="G2733">
        <v>55.6</v>
      </c>
    </row>
    <row r="2734" spans="1:7">
      <c r="A2734">
        <v>228</v>
      </c>
      <c r="B2734" s="1">
        <v>46174</v>
      </c>
      <c r="C2734">
        <v>18</v>
      </c>
      <c r="D2734">
        <v>10</v>
      </c>
      <c r="E2734">
        <v>8</v>
      </c>
      <c r="F2734">
        <v>0</v>
      </c>
      <c r="G2734">
        <v>55.6</v>
      </c>
    </row>
    <row r="2735" spans="1:7">
      <c r="A2735">
        <v>228</v>
      </c>
      <c r="B2735" s="1">
        <v>46204</v>
      </c>
      <c r="C2735">
        <v>18</v>
      </c>
      <c r="D2735">
        <v>10</v>
      </c>
      <c r="E2735">
        <v>8</v>
      </c>
      <c r="F2735">
        <v>3</v>
      </c>
      <c r="G2735">
        <v>55.6</v>
      </c>
    </row>
    <row r="2736" spans="1:7">
      <c r="A2736">
        <v>228</v>
      </c>
      <c r="B2736" s="1">
        <v>46235</v>
      </c>
      <c r="C2736">
        <v>21</v>
      </c>
      <c r="D2736">
        <v>13</v>
      </c>
      <c r="E2736">
        <v>8</v>
      </c>
      <c r="F2736">
        <v>6</v>
      </c>
      <c r="G2736">
        <v>61.9</v>
      </c>
    </row>
    <row r="2737" spans="1:7">
      <c r="A2737">
        <v>228</v>
      </c>
      <c r="B2737" s="1">
        <v>46266</v>
      </c>
      <c r="C2737">
        <v>19</v>
      </c>
      <c r="D2737">
        <v>10</v>
      </c>
      <c r="E2737">
        <v>9</v>
      </c>
      <c r="F2737">
        <v>0</v>
      </c>
      <c r="G2737">
        <v>52.6</v>
      </c>
    </row>
    <row r="2738" spans="1:7">
      <c r="A2738">
        <v>229</v>
      </c>
      <c r="B2738" s="1">
        <v>45931</v>
      </c>
      <c r="C2738">
        <v>19</v>
      </c>
      <c r="D2738">
        <v>14</v>
      </c>
      <c r="E2738">
        <v>5</v>
      </c>
      <c r="F2738">
        <v>3</v>
      </c>
      <c r="G2738">
        <v>73.7</v>
      </c>
    </row>
    <row r="2739" spans="1:7">
      <c r="A2739">
        <v>229</v>
      </c>
      <c r="B2739" s="1">
        <v>45962</v>
      </c>
      <c r="C2739">
        <v>18</v>
      </c>
      <c r="D2739">
        <v>15</v>
      </c>
      <c r="E2739">
        <v>3</v>
      </c>
      <c r="F2739">
        <v>0</v>
      </c>
      <c r="G2739">
        <v>83.3</v>
      </c>
    </row>
    <row r="2740" spans="1:7">
      <c r="A2740">
        <v>229</v>
      </c>
      <c r="B2740" s="1">
        <v>45992</v>
      </c>
      <c r="C2740">
        <v>22</v>
      </c>
      <c r="D2740">
        <v>17</v>
      </c>
      <c r="E2740">
        <v>5</v>
      </c>
      <c r="F2740">
        <v>5</v>
      </c>
      <c r="G2740">
        <v>77.3</v>
      </c>
    </row>
    <row r="2741" spans="1:7">
      <c r="A2741">
        <v>229</v>
      </c>
      <c r="B2741" s="1">
        <v>46023</v>
      </c>
      <c r="C2741">
        <v>18</v>
      </c>
      <c r="D2741">
        <v>12</v>
      </c>
      <c r="E2741">
        <v>6</v>
      </c>
      <c r="F2741">
        <v>3</v>
      </c>
      <c r="G2741">
        <v>66.7</v>
      </c>
    </row>
    <row r="2742" spans="1:7">
      <c r="A2742">
        <v>229</v>
      </c>
      <c r="B2742" s="1">
        <v>46054</v>
      </c>
      <c r="C2742">
        <v>20</v>
      </c>
      <c r="D2742">
        <v>18</v>
      </c>
      <c r="E2742">
        <v>2</v>
      </c>
      <c r="F2742">
        <v>1</v>
      </c>
      <c r="G2742">
        <v>90</v>
      </c>
    </row>
    <row r="2743" spans="1:7">
      <c r="A2743">
        <v>229</v>
      </c>
      <c r="B2743" s="1">
        <v>46082</v>
      </c>
      <c r="C2743">
        <v>20</v>
      </c>
      <c r="D2743">
        <v>17</v>
      </c>
      <c r="E2743">
        <v>3</v>
      </c>
      <c r="F2743">
        <v>0</v>
      </c>
      <c r="G2743">
        <v>85</v>
      </c>
    </row>
    <row r="2744" spans="1:7">
      <c r="A2744">
        <v>229</v>
      </c>
      <c r="B2744" s="1">
        <v>46113</v>
      </c>
      <c r="C2744">
        <v>21</v>
      </c>
      <c r="D2744">
        <v>20</v>
      </c>
      <c r="E2744">
        <v>1</v>
      </c>
      <c r="F2744">
        <v>4</v>
      </c>
      <c r="G2744">
        <v>95.2</v>
      </c>
    </row>
    <row r="2745" spans="1:7">
      <c r="A2745">
        <v>229</v>
      </c>
      <c r="B2745" s="1">
        <v>46143</v>
      </c>
      <c r="C2745">
        <v>22</v>
      </c>
      <c r="D2745">
        <v>13</v>
      </c>
      <c r="E2745">
        <v>9</v>
      </c>
      <c r="F2745">
        <v>1</v>
      </c>
      <c r="G2745">
        <v>59.1</v>
      </c>
    </row>
    <row r="2746" spans="1:7">
      <c r="A2746">
        <v>229</v>
      </c>
      <c r="B2746" s="1">
        <v>46174</v>
      </c>
      <c r="C2746">
        <v>19</v>
      </c>
      <c r="D2746">
        <v>14</v>
      </c>
      <c r="E2746">
        <v>5</v>
      </c>
      <c r="F2746">
        <v>2</v>
      </c>
      <c r="G2746">
        <v>73.7</v>
      </c>
    </row>
    <row r="2747" spans="1:7">
      <c r="A2747">
        <v>229</v>
      </c>
      <c r="B2747" s="1">
        <v>46204</v>
      </c>
      <c r="C2747">
        <v>19</v>
      </c>
      <c r="D2747">
        <v>12</v>
      </c>
      <c r="E2747">
        <v>7</v>
      </c>
      <c r="F2747">
        <v>1</v>
      </c>
      <c r="G2747">
        <v>63.2</v>
      </c>
    </row>
    <row r="2748" spans="1:7">
      <c r="A2748">
        <v>229</v>
      </c>
      <c r="B2748" s="1">
        <v>46235</v>
      </c>
      <c r="C2748">
        <v>19</v>
      </c>
      <c r="D2748">
        <v>16</v>
      </c>
      <c r="E2748">
        <v>3</v>
      </c>
      <c r="F2748">
        <v>6</v>
      </c>
      <c r="G2748">
        <v>84.2</v>
      </c>
    </row>
    <row r="2749" spans="1:7">
      <c r="A2749">
        <v>229</v>
      </c>
      <c r="B2749" s="1">
        <v>46266</v>
      </c>
      <c r="C2749">
        <v>19</v>
      </c>
      <c r="D2749">
        <v>13</v>
      </c>
      <c r="E2749">
        <v>6</v>
      </c>
      <c r="F2749">
        <v>0</v>
      </c>
      <c r="G2749">
        <v>68.400000000000006</v>
      </c>
    </row>
    <row r="2750" spans="1:7">
      <c r="A2750">
        <v>230</v>
      </c>
      <c r="B2750" s="1">
        <v>45931</v>
      </c>
      <c r="C2750">
        <v>22</v>
      </c>
      <c r="D2750">
        <v>10</v>
      </c>
      <c r="E2750">
        <v>12</v>
      </c>
      <c r="F2750">
        <v>0</v>
      </c>
      <c r="G2750">
        <v>45.5</v>
      </c>
    </row>
    <row r="2751" spans="1:7">
      <c r="A2751">
        <v>230</v>
      </c>
      <c r="B2751" s="1">
        <v>45962</v>
      </c>
      <c r="C2751">
        <v>19</v>
      </c>
      <c r="D2751">
        <v>12</v>
      </c>
      <c r="E2751">
        <v>7</v>
      </c>
      <c r="F2751">
        <v>0</v>
      </c>
      <c r="G2751">
        <v>63.2</v>
      </c>
    </row>
    <row r="2752" spans="1:7">
      <c r="A2752">
        <v>230</v>
      </c>
      <c r="B2752" s="1">
        <v>45992</v>
      </c>
      <c r="C2752">
        <v>19</v>
      </c>
      <c r="D2752">
        <v>11</v>
      </c>
      <c r="E2752">
        <v>8</v>
      </c>
      <c r="F2752">
        <v>3</v>
      </c>
      <c r="G2752">
        <v>57.9</v>
      </c>
    </row>
    <row r="2753" spans="1:7">
      <c r="A2753">
        <v>230</v>
      </c>
      <c r="B2753" s="1">
        <v>46023</v>
      </c>
      <c r="C2753">
        <v>22</v>
      </c>
      <c r="D2753">
        <v>16</v>
      </c>
      <c r="E2753">
        <v>6</v>
      </c>
      <c r="F2753">
        <v>4</v>
      </c>
      <c r="G2753">
        <v>72.7</v>
      </c>
    </row>
    <row r="2754" spans="1:7">
      <c r="A2754">
        <v>230</v>
      </c>
      <c r="B2754" s="1">
        <v>46054</v>
      </c>
      <c r="C2754">
        <v>18</v>
      </c>
      <c r="D2754">
        <v>13</v>
      </c>
      <c r="E2754">
        <v>5</v>
      </c>
      <c r="F2754">
        <v>5</v>
      </c>
      <c r="G2754">
        <v>72.2</v>
      </c>
    </row>
    <row r="2755" spans="1:7">
      <c r="A2755">
        <v>230</v>
      </c>
      <c r="B2755" s="1">
        <v>46082</v>
      </c>
      <c r="C2755">
        <v>22</v>
      </c>
      <c r="D2755">
        <v>13</v>
      </c>
      <c r="E2755">
        <v>9</v>
      </c>
      <c r="F2755">
        <v>3</v>
      </c>
      <c r="G2755">
        <v>59.1</v>
      </c>
    </row>
    <row r="2756" spans="1:7">
      <c r="A2756">
        <v>230</v>
      </c>
      <c r="B2756" s="1">
        <v>46113</v>
      </c>
      <c r="C2756">
        <v>19</v>
      </c>
      <c r="D2756">
        <v>11</v>
      </c>
      <c r="E2756">
        <v>8</v>
      </c>
      <c r="F2756">
        <v>3</v>
      </c>
      <c r="G2756">
        <v>57.9</v>
      </c>
    </row>
    <row r="2757" spans="1:7">
      <c r="A2757">
        <v>230</v>
      </c>
      <c r="B2757" s="1">
        <v>46143</v>
      </c>
      <c r="C2757">
        <v>22</v>
      </c>
      <c r="D2757">
        <v>18</v>
      </c>
      <c r="E2757">
        <v>4</v>
      </c>
      <c r="F2757">
        <v>2</v>
      </c>
      <c r="G2757">
        <v>81.8</v>
      </c>
    </row>
    <row r="2758" spans="1:7">
      <c r="A2758">
        <v>230</v>
      </c>
      <c r="B2758" s="1">
        <v>46174</v>
      </c>
      <c r="C2758">
        <v>20</v>
      </c>
      <c r="D2758">
        <v>15</v>
      </c>
      <c r="E2758">
        <v>5</v>
      </c>
      <c r="F2758">
        <v>1</v>
      </c>
      <c r="G2758">
        <v>75</v>
      </c>
    </row>
    <row r="2759" spans="1:7">
      <c r="A2759">
        <v>230</v>
      </c>
      <c r="B2759" s="1">
        <v>46204</v>
      </c>
      <c r="C2759">
        <v>18</v>
      </c>
      <c r="D2759">
        <v>13</v>
      </c>
      <c r="E2759">
        <v>5</v>
      </c>
      <c r="F2759">
        <v>3</v>
      </c>
      <c r="G2759">
        <v>72.2</v>
      </c>
    </row>
    <row r="2760" spans="1:7">
      <c r="A2760">
        <v>230</v>
      </c>
      <c r="B2760" s="1">
        <v>46235</v>
      </c>
      <c r="C2760">
        <v>21</v>
      </c>
      <c r="D2760">
        <v>17</v>
      </c>
      <c r="E2760">
        <v>4</v>
      </c>
      <c r="F2760">
        <v>4</v>
      </c>
      <c r="G2760">
        <v>81</v>
      </c>
    </row>
    <row r="2761" spans="1:7">
      <c r="A2761">
        <v>230</v>
      </c>
      <c r="B2761" s="1">
        <v>46266</v>
      </c>
      <c r="C2761">
        <v>18</v>
      </c>
      <c r="D2761">
        <v>14</v>
      </c>
      <c r="E2761">
        <v>4</v>
      </c>
      <c r="F2761">
        <v>1</v>
      </c>
      <c r="G2761">
        <v>77.8</v>
      </c>
    </row>
    <row r="2762" spans="1:7">
      <c r="A2762">
        <v>231</v>
      </c>
      <c r="B2762" s="1">
        <v>45931</v>
      </c>
      <c r="C2762">
        <v>22</v>
      </c>
      <c r="D2762">
        <v>13</v>
      </c>
      <c r="E2762">
        <v>9</v>
      </c>
      <c r="F2762">
        <v>1</v>
      </c>
      <c r="G2762">
        <v>59.1</v>
      </c>
    </row>
    <row r="2763" spans="1:7">
      <c r="A2763">
        <v>231</v>
      </c>
      <c r="B2763" s="1">
        <v>45962</v>
      </c>
      <c r="C2763">
        <v>18</v>
      </c>
      <c r="D2763">
        <v>10</v>
      </c>
      <c r="E2763">
        <v>8</v>
      </c>
      <c r="F2763">
        <v>4</v>
      </c>
      <c r="G2763">
        <v>55.6</v>
      </c>
    </row>
    <row r="2764" spans="1:7">
      <c r="A2764">
        <v>231</v>
      </c>
      <c r="B2764" s="1">
        <v>45992</v>
      </c>
      <c r="C2764">
        <v>22</v>
      </c>
      <c r="D2764">
        <v>14</v>
      </c>
      <c r="E2764">
        <v>8</v>
      </c>
      <c r="F2764">
        <v>2</v>
      </c>
      <c r="G2764">
        <v>63.6</v>
      </c>
    </row>
    <row r="2765" spans="1:7">
      <c r="A2765">
        <v>231</v>
      </c>
      <c r="B2765" s="1">
        <v>46023</v>
      </c>
      <c r="C2765">
        <v>20</v>
      </c>
      <c r="D2765">
        <v>10</v>
      </c>
      <c r="E2765">
        <v>10</v>
      </c>
      <c r="F2765">
        <v>3</v>
      </c>
      <c r="G2765">
        <v>50</v>
      </c>
    </row>
    <row r="2766" spans="1:7">
      <c r="A2766">
        <v>231</v>
      </c>
      <c r="B2766" s="1">
        <v>46054</v>
      </c>
      <c r="C2766">
        <v>20</v>
      </c>
      <c r="D2766">
        <v>10</v>
      </c>
      <c r="E2766">
        <v>10</v>
      </c>
      <c r="F2766">
        <v>2</v>
      </c>
      <c r="G2766">
        <v>50</v>
      </c>
    </row>
    <row r="2767" spans="1:7">
      <c r="A2767">
        <v>231</v>
      </c>
      <c r="B2767" s="1">
        <v>46082</v>
      </c>
      <c r="C2767">
        <v>18</v>
      </c>
      <c r="D2767">
        <v>10</v>
      </c>
      <c r="E2767">
        <v>8</v>
      </c>
      <c r="F2767">
        <v>4</v>
      </c>
      <c r="G2767">
        <v>55.6</v>
      </c>
    </row>
    <row r="2768" spans="1:7">
      <c r="A2768">
        <v>231</v>
      </c>
      <c r="B2768" s="1">
        <v>46113</v>
      </c>
      <c r="C2768">
        <v>22</v>
      </c>
      <c r="D2768">
        <v>13</v>
      </c>
      <c r="E2768">
        <v>9</v>
      </c>
      <c r="F2768">
        <v>4</v>
      </c>
      <c r="G2768">
        <v>59.1</v>
      </c>
    </row>
    <row r="2769" spans="1:7">
      <c r="A2769">
        <v>231</v>
      </c>
      <c r="B2769" s="1">
        <v>46143</v>
      </c>
      <c r="C2769">
        <v>22</v>
      </c>
      <c r="D2769">
        <v>10</v>
      </c>
      <c r="E2769">
        <v>12</v>
      </c>
      <c r="F2769">
        <v>2</v>
      </c>
      <c r="G2769">
        <v>45.5</v>
      </c>
    </row>
    <row r="2770" spans="1:7">
      <c r="A2770">
        <v>231</v>
      </c>
      <c r="B2770" s="1">
        <v>46174</v>
      </c>
      <c r="C2770">
        <v>21</v>
      </c>
      <c r="D2770">
        <v>14</v>
      </c>
      <c r="E2770">
        <v>7</v>
      </c>
      <c r="F2770">
        <v>0</v>
      </c>
      <c r="G2770">
        <v>66.7</v>
      </c>
    </row>
    <row r="2771" spans="1:7">
      <c r="A2771">
        <v>231</v>
      </c>
      <c r="B2771" s="1">
        <v>46204</v>
      </c>
      <c r="C2771">
        <v>22</v>
      </c>
      <c r="D2771">
        <v>15</v>
      </c>
      <c r="E2771">
        <v>7</v>
      </c>
      <c r="F2771">
        <v>3</v>
      </c>
      <c r="G2771">
        <v>68.2</v>
      </c>
    </row>
    <row r="2772" spans="1:7">
      <c r="A2772">
        <v>231</v>
      </c>
      <c r="B2772" s="1">
        <v>46235</v>
      </c>
      <c r="C2772">
        <v>20</v>
      </c>
      <c r="D2772">
        <v>11</v>
      </c>
      <c r="E2772">
        <v>9</v>
      </c>
      <c r="F2772">
        <v>3</v>
      </c>
      <c r="G2772">
        <v>55</v>
      </c>
    </row>
    <row r="2773" spans="1:7">
      <c r="A2773">
        <v>231</v>
      </c>
      <c r="B2773" s="1">
        <v>46266</v>
      </c>
      <c r="C2773">
        <v>20</v>
      </c>
      <c r="D2773">
        <v>11</v>
      </c>
      <c r="E2773">
        <v>9</v>
      </c>
      <c r="F2773">
        <v>1</v>
      </c>
      <c r="G2773">
        <v>55</v>
      </c>
    </row>
    <row r="2774" spans="1:7">
      <c r="A2774">
        <v>232</v>
      </c>
      <c r="B2774" s="1">
        <v>45931</v>
      </c>
      <c r="C2774">
        <v>20</v>
      </c>
      <c r="D2774">
        <v>15</v>
      </c>
      <c r="E2774">
        <v>5</v>
      </c>
      <c r="F2774">
        <v>1</v>
      </c>
      <c r="G2774">
        <v>75</v>
      </c>
    </row>
    <row r="2775" spans="1:7">
      <c r="A2775">
        <v>232</v>
      </c>
      <c r="B2775" s="1">
        <v>45962</v>
      </c>
      <c r="C2775">
        <v>22</v>
      </c>
      <c r="D2775">
        <v>18</v>
      </c>
      <c r="E2775">
        <v>4</v>
      </c>
      <c r="F2775">
        <v>6</v>
      </c>
      <c r="G2775">
        <v>81.8</v>
      </c>
    </row>
    <row r="2776" spans="1:7">
      <c r="A2776">
        <v>232</v>
      </c>
      <c r="B2776" s="1">
        <v>45992</v>
      </c>
      <c r="C2776">
        <v>20</v>
      </c>
      <c r="D2776">
        <v>13</v>
      </c>
      <c r="E2776">
        <v>7</v>
      </c>
      <c r="F2776">
        <v>0</v>
      </c>
      <c r="G2776">
        <v>65</v>
      </c>
    </row>
    <row r="2777" spans="1:7">
      <c r="A2777">
        <v>232</v>
      </c>
      <c r="B2777" s="1">
        <v>46023</v>
      </c>
      <c r="C2777">
        <v>19</v>
      </c>
      <c r="D2777">
        <v>16</v>
      </c>
      <c r="E2777">
        <v>3</v>
      </c>
      <c r="F2777">
        <v>3</v>
      </c>
      <c r="G2777">
        <v>84.2</v>
      </c>
    </row>
    <row r="2778" spans="1:7">
      <c r="A2778">
        <v>232</v>
      </c>
      <c r="B2778" s="1">
        <v>46054</v>
      </c>
      <c r="C2778">
        <v>18</v>
      </c>
      <c r="D2778">
        <v>13</v>
      </c>
      <c r="E2778">
        <v>5</v>
      </c>
      <c r="F2778">
        <v>4</v>
      </c>
      <c r="G2778">
        <v>72.2</v>
      </c>
    </row>
    <row r="2779" spans="1:7">
      <c r="A2779">
        <v>232</v>
      </c>
      <c r="B2779" s="1">
        <v>46082</v>
      </c>
      <c r="C2779">
        <v>18</v>
      </c>
      <c r="D2779">
        <v>16</v>
      </c>
      <c r="E2779">
        <v>2</v>
      </c>
      <c r="F2779">
        <v>2</v>
      </c>
      <c r="G2779">
        <v>88.9</v>
      </c>
    </row>
    <row r="2780" spans="1:7">
      <c r="A2780">
        <v>232</v>
      </c>
      <c r="B2780" s="1">
        <v>46113</v>
      </c>
      <c r="C2780">
        <v>18</v>
      </c>
      <c r="D2780">
        <v>11</v>
      </c>
      <c r="E2780">
        <v>7</v>
      </c>
      <c r="F2780">
        <v>4</v>
      </c>
      <c r="G2780">
        <v>61.1</v>
      </c>
    </row>
    <row r="2781" spans="1:7">
      <c r="A2781">
        <v>232</v>
      </c>
      <c r="B2781" s="1">
        <v>46143</v>
      </c>
      <c r="C2781">
        <v>18</v>
      </c>
      <c r="D2781">
        <v>15</v>
      </c>
      <c r="E2781">
        <v>3</v>
      </c>
      <c r="F2781">
        <v>4</v>
      </c>
      <c r="G2781">
        <v>83.3</v>
      </c>
    </row>
    <row r="2782" spans="1:7">
      <c r="A2782">
        <v>232</v>
      </c>
      <c r="B2782" s="1">
        <v>46174</v>
      </c>
      <c r="C2782">
        <v>21</v>
      </c>
      <c r="D2782">
        <v>15</v>
      </c>
      <c r="E2782">
        <v>6</v>
      </c>
      <c r="F2782">
        <v>0</v>
      </c>
      <c r="G2782">
        <v>71.400000000000006</v>
      </c>
    </row>
    <row r="2783" spans="1:7">
      <c r="A2783">
        <v>232</v>
      </c>
      <c r="B2783" s="1">
        <v>46204</v>
      </c>
      <c r="C2783">
        <v>18</v>
      </c>
      <c r="D2783">
        <v>14</v>
      </c>
      <c r="E2783">
        <v>4</v>
      </c>
      <c r="F2783">
        <v>0</v>
      </c>
      <c r="G2783">
        <v>77.8</v>
      </c>
    </row>
    <row r="2784" spans="1:7">
      <c r="A2784">
        <v>232</v>
      </c>
      <c r="B2784" s="1">
        <v>46235</v>
      </c>
      <c r="C2784">
        <v>21</v>
      </c>
      <c r="D2784">
        <v>20</v>
      </c>
      <c r="E2784">
        <v>1</v>
      </c>
      <c r="F2784">
        <v>3</v>
      </c>
      <c r="G2784">
        <v>95.2</v>
      </c>
    </row>
    <row r="2785" spans="1:7">
      <c r="A2785">
        <v>232</v>
      </c>
      <c r="B2785" s="1">
        <v>46266</v>
      </c>
      <c r="C2785">
        <v>21</v>
      </c>
      <c r="D2785">
        <v>17</v>
      </c>
      <c r="E2785">
        <v>4</v>
      </c>
      <c r="F2785">
        <v>2</v>
      </c>
      <c r="G2785">
        <v>81</v>
      </c>
    </row>
    <row r="2786" spans="1:7">
      <c r="A2786">
        <v>233</v>
      </c>
      <c r="B2786" s="1">
        <v>45931</v>
      </c>
      <c r="C2786">
        <v>19</v>
      </c>
      <c r="D2786">
        <v>14</v>
      </c>
      <c r="E2786">
        <v>5</v>
      </c>
      <c r="F2786">
        <v>6</v>
      </c>
      <c r="G2786">
        <v>73.7</v>
      </c>
    </row>
    <row r="2787" spans="1:7">
      <c r="A2787">
        <v>233</v>
      </c>
      <c r="B2787" s="1">
        <v>45962</v>
      </c>
      <c r="C2787">
        <v>19</v>
      </c>
      <c r="D2787">
        <v>15</v>
      </c>
      <c r="E2787">
        <v>4</v>
      </c>
      <c r="F2787">
        <v>4</v>
      </c>
      <c r="G2787">
        <v>78.900000000000006</v>
      </c>
    </row>
    <row r="2788" spans="1:7">
      <c r="A2788">
        <v>233</v>
      </c>
      <c r="B2788" s="1">
        <v>45992</v>
      </c>
      <c r="C2788">
        <v>22</v>
      </c>
      <c r="D2788">
        <v>16</v>
      </c>
      <c r="E2788">
        <v>6</v>
      </c>
      <c r="F2788">
        <v>5</v>
      </c>
      <c r="G2788">
        <v>72.7</v>
      </c>
    </row>
    <row r="2789" spans="1:7">
      <c r="A2789">
        <v>233</v>
      </c>
      <c r="B2789" s="1">
        <v>46023</v>
      </c>
      <c r="C2789">
        <v>18</v>
      </c>
      <c r="D2789">
        <v>16</v>
      </c>
      <c r="E2789">
        <v>2</v>
      </c>
      <c r="F2789">
        <v>4</v>
      </c>
      <c r="G2789">
        <v>88.9</v>
      </c>
    </row>
    <row r="2790" spans="1:7">
      <c r="A2790">
        <v>233</v>
      </c>
      <c r="B2790" s="1">
        <v>46054</v>
      </c>
      <c r="C2790">
        <v>21</v>
      </c>
      <c r="D2790">
        <v>14</v>
      </c>
      <c r="E2790">
        <v>7</v>
      </c>
      <c r="F2790">
        <v>5</v>
      </c>
      <c r="G2790">
        <v>66.7</v>
      </c>
    </row>
    <row r="2791" spans="1:7">
      <c r="A2791">
        <v>233</v>
      </c>
      <c r="B2791" s="1">
        <v>46082</v>
      </c>
      <c r="C2791">
        <v>19</v>
      </c>
      <c r="D2791">
        <v>14</v>
      </c>
      <c r="E2791">
        <v>5</v>
      </c>
      <c r="F2791">
        <v>3</v>
      </c>
      <c r="G2791">
        <v>73.7</v>
      </c>
    </row>
    <row r="2792" spans="1:7">
      <c r="A2792">
        <v>233</v>
      </c>
      <c r="B2792" s="1">
        <v>46113</v>
      </c>
      <c r="C2792">
        <v>21</v>
      </c>
      <c r="D2792">
        <v>18</v>
      </c>
      <c r="E2792">
        <v>3</v>
      </c>
      <c r="F2792">
        <v>0</v>
      </c>
      <c r="G2792">
        <v>85.7</v>
      </c>
    </row>
    <row r="2793" spans="1:7">
      <c r="A2793">
        <v>233</v>
      </c>
      <c r="B2793" s="1">
        <v>46143</v>
      </c>
      <c r="C2793">
        <v>22</v>
      </c>
      <c r="D2793">
        <v>18</v>
      </c>
      <c r="E2793">
        <v>4</v>
      </c>
      <c r="F2793">
        <v>2</v>
      </c>
      <c r="G2793">
        <v>81.8</v>
      </c>
    </row>
    <row r="2794" spans="1:7">
      <c r="A2794">
        <v>233</v>
      </c>
      <c r="B2794" s="1">
        <v>46174</v>
      </c>
      <c r="C2794">
        <v>20</v>
      </c>
      <c r="D2794">
        <v>15</v>
      </c>
      <c r="E2794">
        <v>5</v>
      </c>
      <c r="F2794">
        <v>0</v>
      </c>
      <c r="G2794">
        <v>75</v>
      </c>
    </row>
    <row r="2795" spans="1:7">
      <c r="A2795">
        <v>233</v>
      </c>
      <c r="B2795" s="1">
        <v>46204</v>
      </c>
      <c r="C2795">
        <v>19</v>
      </c>
      <c r="D2795">
        <v>13</v>
      </c>
      <c r="E2795">
        <v>6</v>
      </c>
      <c r="F2795">
        <v>1</v>
      </c>
      <c r="G2795">
        <v>68.400000000000006</v>
      </c>
    </row>
    <row r="2796" spans="1:7">
      <c r="A2796">
        <v>233</v>
      </c>
      <c r="B2796" s="1">
        <v>46235</v>
      </c>
      <c r="C2796">
        <v>18</v>
      </c>
      <c r="D2796">
        <v>15</v>
      </c>
      <c r="E2796">
        <v>3</v>
      </c>
      <c r="F2796">
        <v>5</v>
      </c>
      <c r="G2796">
        <v>83.3</v>
      </c>
    </row>
    <row r="2797" spans="1:7">
      <c r="A2797">
        <v>233</v>
      </c>
      <c r="B2797" s="1">
        <v>46266</v>
      </c>
      <c r="C2797">
        <v>22</v>
      </c>
      <c r="D2797">
        <v>19</v>
      </c>
      <c r="E2797">
        <v>3</v>
      </c>
      <c r="F2797">
        <v>4</v>
      </c>
      <c r="G2797">
        <v>86.4</v>
      </c>
    </row>
    <row r="2798" spans="1:7">
      <c r="A2798">
        <v>234</v>
      </c>
      <c r="B2798" s="1">
        <v>45931</v>
      </c>
      <c r="C2798">
        <v>18</v>
      </c>
      <c r="D2798">
        <v>13</v>
      </c>
      <c r="E2798">
        <v>5</v>
      </c>
      <c r="F2798">
        <v>5</v>
      </c>
      <c r="G2798">
        <v>72.2</v>
      </c>
    </row>
    <row r="2799" spans="1:7">
      <c r="A2799">
        <v>234</v>
      </c>
      <c r="B2799" s="1">
        <v>45962</v>
      </c>
      <c r="C2799">
        <v>19</v>
      </c>
      <c r="D2799">
        <v>15</v>
      </c>
      <c r="E2799">
        <v>4</v>
      </c>
      <c r="F2799">
        <v>6</v>
      </c>
      <c r="G2799">
        <v>78.900000000000006</v>
      </c>
    </row>
    <row r="2800" spans="1:7">
      <c r="A2800">
        <v>234</v>
      </c>
      <c r="B2800" s="1">
        <v>45992</v>
      </c>
      <c r="C2800">
        <v>18</v>
      </c>
      <c r="D2800">
        <v>13</v>
      </c>
      <c r="E2800">
        <v>5</v>
      </c>
      <c r="F2800">
        <v>1</v>
      </c>
      <c r="G2800">
        <v>72.2</v>
      </c>
    </row>
    <row r="2801" spans="1:7">
      <c r="A2801">
        <v>234</v>
      </c>
      <c r="B2801" s="1">
        <v>46023</v>
      </c>
      <c r="C2801">
        <v>20</v>
      </c>
      <c r="D2801">
        <v>15</v>
      </c>
      <c r="E2801">
        <v>5</v>
      </c>
      <c r="F2801">
        <v>0</v>
      </c>
      <c r="G2801">
        <v>75</v>
      </c>
    </row>
    <row r="2802" spans="1:7">
      <c r="A2802">
        <v>234</v>
      </c>
      <c r="B2802" s="1">
        <v>46054</v>
      </c>
      <c r="C2802">
        <v>20</v>
      </c>
      <c r="D2802">
        <v>17</v>
      </c>
      <c r="E2802">
        <v>3</v>
      </c>
      <c r="F2802">
        <v>1</v>
      </c>
      <c r="G2802">
        <v>85</v>
      </c>
    </row>
    <row r="2803" spans="1:7">
      <c r="A2803">
        <v>234</v>
      </c>
      <c r="B2803" s="1">
        <v>46082</v>
      </c>
      <c r="C2803">
        <v>20</v>
      </c>
      <c r="D2803">
        <v>13</v>
      </c>
      <c r="E2803">
        <v>7</v>
      </c>
      <c r="F2803">
        <v>1</v>
      </c>
      <c r="G2803">
        <v>65</v>
      </c>
    </row>
    <row r="2804" spans="1:7">
      <c r="A2804">
        <v>234</v>
      </c>
      <c r="B2804" s="1">
        <v>46113</v>
      </c>
      <c r="C2804">
        <v>22</v>
      </c>
      <c r="D2804">
        <v>20</v>
      </c>
      <c r="E2804">
        <v>2</v>
      </c>
      <c r="F2804">
        <v>5</v>
      </c>
      <c r="G2804">
        <v>90.9</v>
      </c>
    </row>
    <row r="2805" spans="1:7">
      <c r="A2805">
        <v>234</v>
      </c>
      <c r="B2805" s="1">
        <v>46143</v>
      </c>
      <c r="C2805">
        <v>18</v>
      </c>
      <c r="D2805">
        <v>12</v>
      </c>
      <c r="E2805">
        <v>6</v>
      </c>
      <c r="F2805">
        <v>0</v>
      </c>
      <c r="G2805">
        <v>66.7</v>
      </c>
    </row>
    <row r="2806" spans="1:7">
      <c r="A2806">
        <v>234</v>
      </c>
      <c r="B2806" s="1">
        <v>46174</v>
      </c>
      <c r="C2806">
        <v>20</v>
      </c>
      <c r="D2806">
        <v>14</v>
      </c>
      <c r="E2806">
        <v>6</v>
      </c>
      <c r="F2806">
        <v>5</v>
      </c>
      <c r="G2806">
        <v>70</v>
      </c>
    </row>
    <row r="2807" spans="1:7">
      <c r="A2807">
        <v>234</v>
      </c>
      <c r="B2807" s="1">
        <v>46204</v>
      </c>
      <c r="C2807">
        <v>20</v>
      </c>
      <c r="D2807">
        <v>16</v>
      </c>
      <c r="E2807">
        <v>4</v>
      </c>
      <c r="F2807">
        <v>6</v>
      </c>
      <c r="G2807">
        <v>80</v>
      </c>
    </row>
    <row r="2808" spans="1:7">
      <c r="A2808">
        <v>234</v>
      </c>
      <c r="B2808" s="1">
        <v>46235</v>
      </c>
      <c r="C2808">
        <v>19</v>
      </c>
      <c r="D2808">
        <v>16</v>
      </c>
      <c r="E2808">
        <v>3</v>
      </c>
      <c r="F2808">
        <v>2</v>
      </c>
      <c r="G2808">
        <v>84.2</v>
      </c>
    </row>
    <row r="2809" spans="1:7">
      <c r="A2809">
        <v>234</v>
      </c>
      <c r="B2809" s="1">
        <v>46266</v>
      </c>
      <c r="C2809">
        <v>22</v>
      </c>
      <c r="D2809">
        <v>17</v>
      </c>
      <c r="E2809">
        <v>5</v>
      </c>
      <c r="F2809">
        <v>2</v>
      </c>
      <c r="G2809">
        <v>77.3</v>
      </c>
    </row>
    <row r="2810" spans="1:7">
      <c r="A2810">
        <v>235</v>
      </c>
      <c r="B2810" s="1">
        <v>45931</v>
      </c>
      <c r="C2810">
        <v>19</v>
      </c>
      <c r="D2810">
        <v>13</v>
      </c>
      <c r="E2810">
        <v>6</v>
      </c>
      <c r="F2810">
        <v>5</v>
      </c>
      <c r="G2810">
        <v>68.400000000000006</v>
      </c>
    </row>
    <row r="2811" spans="1:7">
      <c r="A2811">
        <v>235</v>
      </c>
      <c r="B2811" s="1">
        <v>45962</v>
      </c>
      <c r="C2811">
        <v>22</v>
      </c>
      <c r="D2811">
        <v>14</v>
      </c>
      <c r="E2811">
        <v>8</v>
      </c>
      <c r="F2811">
        <v>4</v>
      </c>
      <c r="G2811">
        <v>63.6</v>
      </c>
    </row>
    <row r="2812" spans="1:7">
      <c r="A2812">
        <v>235</v>
      </c>
      <c r="B2812" s="1">
        <v>45992</v>
      </c>
      <c r="C2812">
        <v>18</v>
      </c>
      <c r="D2812">
        <v>10</v>
      </c>
      <c r="E2812">
        <v>8</v>
      </c>
      <c r="F2812">
        <v>5</v>
      </c>
      <c r="G2812">
        <v>55.6</v>
      </c>
    </row>
    <row r="2813" spans="1:7">
      <c r="A2813">
        <v>235</v>
      </c>
      <c r="B2813" s="1">
        <v>46023</v>
      </c>
      <c r="C2813">
        <v>22</v>
      </c>
      <c r="D2813">
        <v>13</v>
      </c>
      <c r="E2813">
        <v>9</v>
      </c>
      <c r="F2813">
        <v>3</v>
      </c>
      <c r="G2813">
        <v>59.1</v>
      </c>
    </row>
    <row r="2814" spans="1:7">
      <c r="A2814">
        <v>235</v>
      </c>
      <c r="B2814" s="1">
        <v>46054</v>
      </c>
      <c r="C2814">
        <v>20</v>
      </c>
      <c r="D2814">
        <v>10</v>
      </c>
      <c r="E2814">
        <v>10</v>
      </c>
      <c r="F2814">
        <v>6</v>
      </c>
      <c r="G2814">
        <v>50</v>
      </c>
    </row>
    <row r="2815" spans="1:7">
      <c r="A2815">
        <v>235</v>
      </c>
      <c r="B2815" s="1">
        <v>46082</v>
      </c>
      <c r="C2815">
        <v>22</v>
      </c>
      <c r="D2815">
        <v>12</v>
      </c>
      <c r="E2815">
        <v>10</v>
      </c>
      <c r="F2815">
        <v>1</v>
      </c>
      <c r="G2815">
        <v>54.5</v>
      </c>
    </row>
    <row r="2816" spans="1:7">
      <c r="A2816">
        <v>235</v>
      </c>
      <c r="B2816" s="1">
        <v>46113</v>
      </c>
      <c r="C2816">
        <v>20</v>
      </c>
      <c r="D2816">
        <v>12</v>
      </c>
      <c r="E2816">
        <v>8</v>
      </c>
      <c r="F2816">
        <v>2</v>
      </c>
      <c r="G2816">
        <v>60</v>
      </c>
    </row>
    <row r="2817" spans="1:7">
      <c r="A2817">
        <v>235</v>
      </c>
      <c r="B2817" s="1">
        <v>46143</v>
      </c>
      <c r="C2817">
        <v>19</v>
      </c>
      <c r="D2817">
        <v>12</v>
      </c>
      <c r="E2817">
        <v>7</v>
      </c>
      <c r="F2817">
        <v>0</v>
      </c>
      <c r="G2817">
        <v>63.2</v>
      </c>
    </row>
    <row r="2818" spans="1:7">
      <c r="A2818">
        <v>235</v>
      </c>
      <c r="B2818" s="1">
        <v>46174</v>
      </c>
      <c r="C2818">
        <v>19</v>
      </c>
      <c r="D2818">
        <v>12</v>
      </c>
      <c r="E2818">
        <v>7</v>
      </c>
      <c r="F2818">
        <v>3</v>
      </c>
      <c r="G2818">
        <v>63.2</v>
      </c>
    </row>
    <row r="2819" spans="1:7">
      <c r="A2819">
        <v>235</v>
      </c>
      <c r="B2819" s="1">
        <v>46204</v>
      </c>
      <c r="C2819">
        <v>18</v>
      </c>
      <c r="D2819">
        <v>13</v>
      </c>
      <c r="E2819">
        <v>5</v>
      </c>
      <c r="F2819">
        <v>0</v>
      </c>
      <c r="G2819">
        <v>72.2</v>
      </c>
    </row>
    <row r="2820" spans="1:7">
      <c r="A2820">
        <v>235</v>
      </c>
      <c r="B2820" s="1">
        <v>46235</v>
      </c>
      <c r="C2820">
        <v>21</v>
      </c>
      <c r="D2820">
        <v>12</v>
      </c>
      <c r="E2820">
        <v>9</v>
      </c>
      <c r="F2820">
        <v>4</v>
      </c>
      <c r="G2820">
        <v>57.1</v>
      </c>
    </row>
    <row r="2821" spans="1:7">
      <c r="A2821">
        <v>235</v>
      </c>
      <c r="B2821" s="1">
        <v>46266</v>
      </c>
      <c r="C2821">
        <v>21</v>
      </c>
      <c r="D2821">
        <v>14</v>
      </c>
      <c r="E2821">
        <v>7</v>
      </c>
      <c r="F2821">
        <v>2</v>
      </c>
      <c r="G2821">
        <v>66.7</v>
      </c>
    </row>
    <row r="2822" spans="1:7">
      <c r="A2822">
        <v>236</v>
      </c>
      <c r="B2822" s="1">
        <v>45931</v>
      </c>
      <c r="C2822">
        <v>18</v>
      </c>
      <c r="D2822">
        <v>10</v>
      </c>
      <c r="E2822">
        <v>8</v>
      </c>
      <c r="F2822">
        <v>3</v>
      </c>
      <c r="G2822">
        <v>55.6</v>
      </c>
    </row>
    <row r="2823" spans="1:7">
      <c r="A2823">
        <v>236</v>
      </c>
      <c r="B2823" s="1">
        <v>45962</v>
      </c>
      <c r="C2823">
        <v>21</v>
      </c>
      <c r="D2823">
        <v>11</v>
      </c>
      <c r="E2823">
        <v>10</v>
      </c>
      <c r="F2823">
        <v>0</v>
      </c>
      <c r="G2823">
        <v>52.4</v>
      </c>
    </row>
    <row r="2824" spans="1:7">
      <c r="A2824">
        <v>236</v>
      </c>
      <c r="B2824" s="1">
        <v>45992</v>
      </c>
      <c r="C2824">
        <v>21</v>
      </c>
      <c r="D2824">
        <v>13</v>
      </c>
      <c r="E2824">
        <v>8</v>
      </c>
      <c r="F2824">
        <v>1</v>
      </c>
      <c r="G2824">
        <v>61.9</v>
      </c>
    </row>
    <row r="2825" spans="1:7">
      <c r="A2825">
        <v>236</v>
      </c>
      <c r="B2825" s="1">
        <v>46023</v>
      </c>
      <c r="C2825">
        <v>21</v>
      </c>
      <c r="D2825">
        <v>12</v>
      </c>
      <c r="E2825">
        <v>9</v>
      </c>
      <c r="F2825">
        <v>1</v>
      </c>
      <c r="G2825">
        <v>57.1</v>
      </c>
    </row>
    <row r="2826" spans="1:7">
      <c r="A2826">
        <v>236</v>
      </c>
      <c r="B2826" s="1">
        <v>46054</v>
      </c>
      <c r="C2826">
        <v>21</v>
      </c>
      <c r="D2826">
        <v>16</v>
      </c>
      <c r="E2826">
        <v>5</v>
      </c>
      <c r="F2826">
        <v>0</v>
      </c>
      <c r="G2826">
        <v>76.2</v>
      </c>
    </row>
    <row r="2827" spans="1:7">
      <c r="A2827">
        <v>236</v>
      </c>
      <c r="B2827" s="1">
        <v>46082</v>
      </c>
      <c r="C2827">
        <v>22</v>
      </c>
      <c r="D2827">
        <v>14</v>
      </c>
      <c r="E2827">
        <v>8</v>
      </c>
      <c r="F2827">
        <v>6</v>
      </c>
      <c r="G2827">
        <v>63.6</v>
      </c>
    </row>
    <row r="2828" spans="1:7">
      <c r="A2828">
        <v>236</v>
      </c>
      <c r="B2828" s="1">
        <v>46113</v>
      </c>
      <c r="C2828">
        <v>20</v>
      </c>
      <c r="D2828">
        <v>10</v>
      </c>
      <c r="E2828">
        <v>10</v>
      </c>
      <c r="F2828">
        <v>6</v>
      </c>
      <c r="G2828">
        <v>50</v>
      </c>
    </row>
    <row r="2829" spans="1:7">
      <c r="A2829">
        <v>236</v>
      </c>
      <c r="B2829" s="1">
        <v>46143</v>
      </c>
      <c r="C2829">
        <v>20</v>
      </c>
      <c r="D2829">
        <v>13</v>
      </c>
      <c r="E2829">
        <v>7</v>
      </c>
      <c r="F2829">
        <v>6</v>
      </c>
      <c r="G2829">
        <v>65</v>
      </c>
    </row>
    <row r="2830" spans="1:7">
      <c r="A2830">
        <v>236</v>
      </c>
      <c r="B2830" s="1">
        <v>46174</v>
      </c>
      <c r="C2830">
        <v>20</v>
      </c>
      <c r="D2830">
        <v>11</v>
      </c>
      <c r="E2830">
        <v>9</v>
      </c>
      <c r="F2830">
        <v>6</v>
      </c>
      <c r="G2830">
        <v>55</v>
      </c>
    </row>
    <row r="2831" spans="1:7">
      <c r="A2831">
        <v>236</v>
      </c>
      <c r="B2831" s="1">
        <v>46204</v>
      </c>
      <c r="C2831">
        <v>18</v>
      </c>
      <c r="D2831">
        <v>12</v>
      </c>
      <c r="E2831">
        <v>6</v>
      </c>
      <c r="F2831">
        <v>2</v>
      </c>
      <c r="G2831">
        <v>66.7</v>
      </c>
    </row>
    <row r="2832" spans="1:7">
      <c r="A2832">
        <v>236</v>
      </c>
      <c r="B2832" s="1">
        <v>46235</v>
      </c>
      <c r="C2832">
        <v>22</v>
      </c>
      <c r="D2832">
        <v>16</v>
      </c>
      <c r="E2832">
        <v>6</v>
      </c>
      <c r="F2832">
        <v>5</v>
      </c>
      <c r="G2832">
        <v>72.7</v>
      </c>
    </row>
    <row r="2833" spans="1:7">
      <c r="A2833">
        <v>236</v>
      </c>
      <c r="B2833" s="1">
        <v>46266</v>
      </c>
      <c r="C2833">
        <v>18</v>
      </c>
      <c r="D2833">
        <v>10</v>
      </c>
      <c r="E2833">
        <v>8</v>
      </c>
      <c r="F2833">
        <v>6</v>
      </c>
      <c r="G2833">
        <v>55.6</v>
      </c>
    </row>
    <row r="2834" spans="1:7">
      <c r="A2834">
        <v>237</v>
      </c>
      <c r="B2834" s="1">
        <v>45931</v>
      </c>
      <c r="C2834">
        <v>18</v>
      </c>
      <c r="D2834">
        <v>14</v>
      </c>
      <c r="E2834">
        <v>4</v>
      </c>
      <c r="F2834">
        <v>5</v>
      </c>
      <c r="G2834">
        <v>77.8</v>
      </c>
    </row>
    <row r="2835" spans="1:7">
      <c r="A2835">
        <v>237</v>
      </c>
      <c r="B2835" s="1">
        <v>45962</v>
      </c>
      <c r="C2835">
        <v>20</v>
      </c>
      <c r="D2835">
        <v>13</v>
      </c>
      <c r="E2835">
        <v>7</v>
      </c>
      <c r="F2835">
        <v>6</v>
      </c>
      <c r="G2835">
        <v>65</v>
      </c>
    </row>
    <row r="2836" spans="1:7">
      <c r="A2836">
        <v>237</v>
      </c>
      <c r="B2836" s="1">
        <v>45992</v>
      </c>
      <c r="C2836">
        <v>22</v>
      </c>
      <c r="D2836">
        <v>16</v>
      </c>
      <c r="E2836">
        <v>6</v>
      </c>
      <c r="F2836">
        <v>4</v>
      </c>
      <c r="G2836">
        <v>72.7</v>
      </c>
    </row>
    <row r="2837" spans="1:7">
      <c r="A2837">
        <v>237</v>
      </c>
      <c r="B2837" s="1">
        <v>46023</v>
      </c>
      <c r="C2837">
        <v>22</v>
      </c>
      <c r="D2837">
        <v>13</v>
      </c>
      <c r="E2837">
        <v>9</v>
      </c>
      <c r="F2837">
        <v>2</v>
      </c>
      <c r="G2837">
        <v>59.1</v>
      </c>
    </row>
    <row r="2838" spans="1:7">
      <c r="A2838">
        <v>237</v>
      </c>
      <c r="B2838" s="1">
        <v>46054</v>
      </c>
      <c r="C2838">
        <v>19</v>
      </c>
      <c r="D2838">
        <v>10</v>
      </c>
      <c r="E2838">
        <v>9</v>
      </c>
      <c r="F2838">
        <v>1</v>
      </c>
      <c r="G2838">
        <v>52.6</v>
      </c>
    </row>
    <row r="2839" spans="1:7">
      <c r="A2839">
        <v>237</v>
      </c>
      <c r="B2839" s="1">
        <v>46082</v>
      </c>
      <c r="C2839">
        <v>19</v>
      </c>
      <c r="D2839">
        <v>11</v>
      </c>
      <c r="E2839">
        <v>8</v>
      </c>
      <c r="F2839">
        <v>0</v>
      </c>
      <c r="G2839">
        <v>57.9</v>
      </c>
    </row>
    <row r="2840" spans="1:7">
      <c r="A2840">
        <v>237</v>
      </c>
      <c r="B2840" s="1">
        <v>46113</v>
      </c>
      <c r="C2840">
        <v>20</v>
      </c>
      <c r="D2840">
        <v>10</v>
      </c>
      <c r="E2840">
        <v>10</v>
      </c>
      <c r="F2840">
        <v>0</v>
      </c>
      <c r="G2840">
        <v>50</v>
      </c>
    </row>
    <row r="2841" spans="1:7">
      <c r="A2841">
        <v>237</v>
      </c>
      <c r="B2841" s="1">
        <v>46143</v>
      </c>
      <c r="C2841">
        <v>19</v>
      </c>
      <c r="D2841">
        <v>15</v>
      </c>
      <c r="E2841">
        <v>4</v>
      </c>
      <c r="F2841">
        <v>6</v>
      </c>
      <c r="G2841">
        <v>78.900000000000006</v>
      </c>
    </row>
    <row r="2842" spans="1:7">
      <c r="A2842">
        <v>237</v>
      </c>
      <c r="B2842" s="1">
        <v>46174</v>
      </c>
      <c r="C2842">
        <v>22</v>
      </c>
      <c r="D2842">
        <v>14</v>
      </c>
      <c r="E2842">
        <v>8</v>
      </c>
      <c r="F2842">
        <v>0</v>
      </c>
      <c r="G2842">
        <v>63.6</v>
      </c>
    </row>
    <row r="2843" spans="1:7">
      <c r="A2843">
        <v>237</v>
      </c>
      <c r="B2843" s="1">
        <v>46204</v>
      </c>
      <c r="C2843">
        <v>22</v>
      </c>
      <c r="D2843">
        <v>11</v>
      </c>
      <c r="E2843">
        <v>11</v>
      </c>
      <c r="F2843">
        <v>2</v>
      </c>
      <c r="G2843">
        <v>50</v>
      </c>
    </row>
    <row r="2844" spans="1:7">
      <c r="A2844">
        <v>237</v>
      </c>
      <c r="B2844" s="1">
        <v>46235</v>
      </c>
      <c r="C2844">
        <v>20</v>
      </c>
      <c r="D2844">
        <v>12</v>
      </c>
      <c r="E2844">
        <v>8</v>
      </c>
      <c r="F2844">
        <v>5</v>
      </c>
      <c r="G2844">
        <v>60</v>
      </c>
    </row>
    <row r="2845" spans="1:7">
      <c r="A2845">
        <v>237</v>
      </c>
      <c r="B2845" s="1">
        <v>46266</v>
      </c>
      <c r="C2845">
        <v>22</v>
      </c>
      <c r="D2845">
        <v>12</v>
      </c>
      <c r="E2845">
        <v>10</v>
      </c>
      <c r="F2845">
        <v>0</v>
      </c>
      <c r="G2845">
        <v>54.5</v>
      </c>
    </row>
    <row r="2846" spans="1:7">
      <c r="A2846">
        <v>238</v>
      </c>
      <c r="B2846" s="1">
        <v>45931</v>
      </c>
      <c r="C2846">
        <v>18</v>
      </c>
      <c r="D2846">
        <v>11</v>
      </c>
      <c r="E2846">
        <v>7</v>
      </c>
      <c r="F2846">
        <v>6</v>
      </c>
      <c r="G2846">
        <v>61.1</v>
      </c>
    </row>
    <row r="2847" spans="1:7">
      <c r="A2847">
        <v>238</v>
      </c>
      <c r="B2847" s="1">
        <v>45962</v>
      </c>
      <c r="C2847">
        <v>20</v>
      </c>
      <c r="D2847">
        <v>10</v>
      </c>
      <c r="E2847">
        <v>10</v>
      </c>
      <c r="F2847">
        <v>6</v>
      </c>
      <c r="G2847">
        <v>50</v>
      </c>
    </row>
    <row r="2848" spans="1:7">
      <c r="A2848">
        <v>238</v>
      </c>
      <c r="B2848" s="1">
        <v>45992</v>
      </c>
      <c r="C2848">
        <v>19</v>
      </c>
      <c r="D2848">
        <v>11</v>
      </c>
      <c r="E2848">
        <v>8</v>
      </c>
      <c r="F2848">
        <v>0</v>
      </c>
      <c r="G2848">
        <v>57.9</v>
      </c>
    </row>
    <row r="2849" spans="1:7">
      <c r="A2849">
        <v>238</v>
      </c>
      <c r="B2849" s="1">
        <v>46023</v>
      </c>
      <c r="C2849">
        <v>21</v>
      </c>
      <c r="D2849">
        <v>13</v>
      </c>
      <c r="E2849">
        <v>8</v>
      </c>
      <c r="F2849">
        <v>0</v>
      </c>
      <c r="G2849">
        <v>61.9</v>
      </c>
    </row>
    <row r="2850" spans="1:7">
      <c r="A2850">
        <v>238</v>
      </c>
      <c r="B2850" s="1">
        <v>46054</v>
      </c>
      <c r="C2850">
        <v>20</v>
      </c>
      <c r="D2850">
        <v>16</v>
      </c>
      <c r="E2850">
        <v>4</v>
      </c>
      <c r="F2850">
        <v>1</v>
      </c>
      <c r="G2850">
        <v>80</v>
      </c>
    </row>
    <row r="2851" spans="1:7">
      <c r="A2851">
        <v>238</v>
      </c>
      <c r="B2851" s="1">
        <v>46082</v>
      </c>
      <c r="C2851">
        <v>21</v>
      </c>
      <c r="D2851">
        <v>13</v>
      </c>
      <c r="E2851">
        <v>8</v>
      </c>
      <c r="F2851">
        <v>0</v>
      </c>
      <c r="G2851">
        <v>61.9</v>
      </c>
    </row>
    <row r="2852" spans="1:7">
      <c r="A2852">
        <v>238</v>
      </c>
      <c r="B2852" s="1">
        <v>46113</v>
      </c>
      <c r="C2852">
        <v>22</v>
      </c>
      <c r="D2852">
        <v>13</v>
      </c>
      <c r="E2852">
        <v>9</v>
      </c>
      <c r="F2852">
        <v>4</v>
      </c>
      <c r="G2852">
        <v>59.1</v>
      </c>
    </row>
    <row r="2853" spans="1:7">
      <c r="A2853">
        <v>238</v>
      </c>
      <c r="B2853" s="1">
        <v>46143</v>
      </c>
      <c r="C2853">
        <v>22</v>
      </c>
      <c r="D2853">
        <v>15</v>
      </c>
      <c r="E2853">
        <v>7</v>
      </c>
      <c r="F2853">
        <v>2</v>
      </c>
      <c r="G2853">
        <v>68.2</v>
      </c>
    </row>
    <row r="2854" spans="1:7">
      <c r="A2854">
        <v>238</v>
      </c>
      <c r="B2854" s="1">
        <v>46174</v>
      </c>
      <c r="C2854">
        <v>18</v>
      </c>
      <c r="D2854">
        <v>12</v>
      </c>
      <c r="E2854">
        <v>6</v>
      </c>
      <c r="F2854">
        <v>6</v>
      </c>
      <c r="G2854">
        <v>66.7</v>
      </c>
    </row>
    <row r="2855" spans="1:7">
      <c r="A2855">
        <v>238</v>
      </c>
      <c r="B2855" s="1">
        <v>46204</v>
      </c>
      <c r="C2855">
        <v>20</v>
      </c>
      <c r="D2855">
        <v>12</v>
      </c>
      <c r="E2855">
        <v>8</v>
      </c>
      <c r="F2855">
        <v>2</v>
      </c>
      <c r="G2855">
        <v>60</v>
      </c>
    </row>
    <row r="2856" spans="1:7">
      <c r="A2856">
        <v>238</v>
      </c>
      <c r="B2856" s="1">
        <v>46235</v>
      </c>
      <c r="C2856">
        <v>21</v>
      </c>
      <c r="D2856">
        <v>11</v>
      </c>
      <c r="E2856">
        <v>10</v>
      </c>
      <c r="F2856">
        <v>1</v>
      </c>
      <c r="G2856">
        <v>52.4</v>
      </c>
    </row>
    <row r="2857" spans="1:7">
      <c r="A2857">
        <v>238</v>
      </c>
      <c r="B2857" s="1">
        <v>46266</v>
      </c>
      <c r="C2857">
        <v>22</v>
      </c>
      <c r="D2857">
        <v>12</v>
      </c>
      <c r="E2857">
        <v>10</v>
      </c>
      <c r="F2857">
        <v>5</v>
      </c>
      <c r="G2857">
        <v>54.5</v>
      </c>
    </row>
    <row r="2858" spans="1:7">
      <c r="A2858">
        <v>239</v>
      </c>
      <c r="B2858" s="1">
        <v>45931</v>
      </c>
      <c r="C2858">
        <v>18</v>
      </c>
      <c r="D2858">
        <v>14</v>
      </c>
      <c r="E2858">
        <v>4</v>
      </c>
      <c r="F2858">
        <v>1</v>
      </c>
      <c r="G2858">
        <v>77.8</v>
      </c>
    </row>
    <row r="2859" spans="1:7">
      <c r="A2859">
        <v>239</v>
      </c>
      <c r="B2859" s="1">
        <v>45962</v>
      </c>
      <c r="C2859">
        <v>22</v>
      </c>
      <c r="D2859">
        <v>15</v>
      </c>
      <c r="E2859">
        <v>7</v>
      </c>
      <c r="F2859">
        <v>6</v>
      </c>
      <c r="G2859">
        <v>68.2</v>
      </c>
    </row>
    <row r="2860" spans="1:7">
      <c r="A2860">
        <v>239</v>
      </c>
      <c r="B2860" s="1">
        <v>45992</v>
      </c>
      <c r="C2860">
        <v>21</v>
      </c>
      <c r="D2860">
        <v>18</v>
      </c>
      <c r="E2860">
        <v>3</v>
      </c>
      <c r="F2860">
        <v>5</v>
      </c>
      <c r="G2860">
        <v>85.7</v>
      </c>
    </row>
    <row r="2861" spans="1:7">
      <c r="A2861">
        <v>239</v>
      </c>
      <c r="B2861" s="1">
        <v>46023</v>
      </c>
      <c r="C2861">
        <v>19</v>
      </c>
      <c r="D2861">
        <v>15</v>
      </c>
      <c r="E2861">
        <v>4</v>
      </c>
      <c r="F2861">
        <v>0</v>
      </c>
      <c r="G2861">
        <v>78.900000000000006</v>
      </c>
    </row>
    <row r="2862" spans="1:7">
      <c r="A2862">
        <v>239</v>
      </c>
      <c r="B2862" s="1">
        <v>46054</v>
      </c>
      <c r="C2862">
        <v>20</v>
      </c>
      <c r="D2862">
        <v>16</v>
      </c>
      <c r="E2862">
        <v>4</v>
      </c>
      <c r="F2862">
        <v>6</v>
      </c>
      <c r="G2862">
        <v>80</v>
      </c>
    </row>
    <row r="2863" spans="1:7">
      <c r="A2863">
        <v>239</v>
      </c>
      <c r="B2863" s="1">
        <v>46082</v>
      </c>
      <c r="C2863">
        <v>20</v>
      </c>
      <c r="D2863">
        <v>16</v>
      </c>
      <c r="E2863">
        <v>4</v>
      </c>
      <c r="F2863">
        <v>4</v>
      </c>
      <c r="G2863">
        <v>80</v>
      </c>
    </row>
    <row r="2864" spans="1:7">
      <c r="A2864">
        <v>239</v>
      </c>
      <c r="B2864" s="1">
        <v>46113</v>
      </c>
      <c r="C2864">
        <v>18</v>
      </c>
      <c r="D2864">
        <v>16</v>
      </c>
      <c r="E2864">
        <v>2</v>
      </c>
      <c r="F2864">
        <v>0</v>
      </c>
      <c r="G2864">
        <v>88.9</v>
      </c>
    </row>
    <row r="2865" spans="1:7">
      <c r="A2865">
        <v>239</v>
      </c>
      <c r="B2865" s="1">
        <v>46143</v>
      </c>
      <c r="C2865">
        <v>22</v>
      </c>
      <c r="D2865">
        <v>19</v>
      </c>
      <c r="E2865">
        <v>3</v>
      </c>
      <c r="F2865">
        <v>3</v>
      </c>
      <c r="G2865">
        <v>86.4</v>
      </c>
    </row>
    <row r="2866" spans="1:7">
      <c r="A2866">
        <v>239</v>
      </c>
      <c r="B2866" s="1">
        <v>46174</v>
      </c>
      <c r="C2866">
        <v>18</v>
      </c>
      <c r="D2866">
        <v>16</v>
      </c>
      <c r="E2866">
        <v>2</v>
      </c>
      <c r="F2866">
        <v>2</v>
      </c>
      <c r="G2866">
        <v>88.9</v>
      </c>
    </row>
    <row r="2867" spans="1:7">
      <c r="A2867">
        <v>239</v>
      </c>
      <c r="B2867" s="1">
        <v>46204</v>
      </c>
      <c r="C2867">
        <v>22</v>
      </c>
      <c r="D2867">
        <v>18</v>
      </c>
      <c r="E2867">
        <v>4</v>
      </c>
      <c r="F2867">
        <v>2</v>
      </c>
      <c r="G2867">
        <v>81.8</v>
      </c>
    </row>
    <row r="2868" spans="1:7">
      <c r="A2868">
        <v>239</v>
      </c>
      <c r="B2868" s="1">
        <v>46235</v>
      </c>
      <c r="C2868">
        <v>21</v>
      </c>
      <c r="D2868">
        <v>15</v>
      </c>
      <c r="E2868">
        <v>6</v>
      </c>
      <c r="F2868">
        <v>2</v>
      </c>
      <c r="G2868">
        <v>71.400000000000006</v>
      </c>
    </row>
    <row r="2869" spans="1:7">
      <c r="A2869">
        <v>239</v>
      </c>
      <c r="B2869" s="1">
        <v>46266</v>
      </c>
      <c r="C2869">
        <v>19</v>
      </c>
      <c r="D2869">
        <v>14</v>
      </c>
      <c r="E2869">
        <v>5</v>
      </c>
      <c r="F2869">
        <v>0</v>
      </c>
      <c r="G2869">
        <v>73.7</v>
      </c>
    </row>
    <row r="2870" spans="1:7">
      <c r="A2870">
        <v>240</v>
      </c>
      <c r="B2870" s="1">
        <v>45931</v>
      </c>
      <c r="C2870">
        <v>20</v>
      </c>
      <c r="D2870">
        <v>18</v>
      </c>
      <c r="E2870">
        <v>2</v>
      </c>
      <c r="F2870">
        <v>3</v>
      </c>
      <c r="G2870">
        <v>90</v>
      </c>
    </row>
    <row r="2871" spans="1:7">
      <c r="A2871">
        <v>240</v>
      </c>
      <c r="B2871" s="1">
        <v>45962</v>
      </c>
      <c r="C2871">
        <v>20</v>
      </c>
      <c r="D2871">
        <v>17</v>
      </c>
      <c r="E2871">
        <v>3</v>
      </c>
      <c r="F2871">
        <v>3</v>
      </c>
      <c r="G2871">
        <v>85</v>
      </c>
    </row>
    <row r="2872" spans="1:7">
      <c r="A2872">
        <v>240</v>
      </c>
      <c r="B2872" s="1">
        <v>45992</v>
      </c>
      <c r="C2872">
        <v>20</v>
      </c>
      <c r="D2872">
        <v>17</v>
      </c>
      <c r="E2872">
        <v>3</v>
      </c>
      <c r="F2872">
        <v>0</v>
      </c>
      <c r="G2872">
        <v>85</v>
      </c>
    </row>
    <row r="2873" spans="1:7">
      <c r="A2873">
        <v>240</v>
      </c>
      <c r="B2873" s="1">
        <v>46023</v>
      </c>
      <c r="C2873">
        <v>20</v>
      </c>
      <c r="D2873">
        <v>17</v>
      </c>
      <c r="E2873">
        <v>3</v>
      </c>
      <c r="F2873">
        <v>1</v>
      </c>
      <c r="G2873">
        <v>85</v>
      </c>
    </row>
    <row r="2874" spans="1:7">
      <c r="A2874">
        <v>240</v>
      </c>
      <c r="B2874" s="1">
        <v>46054</v>
      </c>
      <c r="C2874">
        <v>22</v>
      </c>
      <c r="D2874">
        <v>15</v>
      </c>
      <c r="E2874">
        <v>7</v>
      </c>
      <c r="F2874">
        <v>6</v>
      </c>
      <c r="G2874">
        <v>68.2</v>
      </c>
    </row>
    <row r="2875" spans="1:7">
      <c r="A2875">
        <v>240</v>
      </c>
      <c r="B2875" s="1">
        <v>46082</v>
      </c>
      <c r="C2875">
        <v>20</v>
      </c>
      <c r="D2875">
        <v>16</v>
      </c>
      <c r="E2875">
        <v>4</v>
      </c>
      <c r="F2875">
        <v>4</v>
      </c>
      <c r="G2875">
        <v>80</v>
      </c>
    </row>
    <row r="2876" spans="1:7">
      <c r="A2876">
        <v>240</v>
      </c>
      <c r="B2876" s="1">
        <v>46113</v>
      </c>
      <c r="C2876">
        <v>22</v>
      </c>
      <c r="D2876">
        <v>17</v>
      </c>
      <c r="E2876">
        <v>5</v>
      </c>
      <c r="F2876">
        <v>1</v>
      </c>
      <c r="G2876">
        <v>77.3</v>
      </c>
    </row>
    <row r="2877" spans="1:7">
      <c r="A2877">
        <v>240</v>
      </c>
      <c r="B2877" s="1">
        <v>46143</v>
      </c>
      <c r="C2877">
        <v>21</v>
      </c>
      <c r="D2877">
        <v>20</v>
      </c>
      <c r="E2877">
        <v>1</v>
      </c>
      <c r="F2877">
        <v>4</v>
      </c>
      <c r="G2877">
        <v>95.2</v>
      </c>
    </row>
    <row r="2878" spans="1:7">
      <c r="A2878">
        <v>240</v>
      </c>
      <c r="B2878" s="1">
        <v>46174</v>
      </c>
      <c r="C2878">
        <v>18</v>
      </c>
      <c r="D2878">
        <v>15</v>
      </c>
      <c r="E2878">
        <v>3</v>
      </c>
      <c r="F2878">
        <v>6</v>
      </c>
      <c r="G2878">
        <v>83.3</v>
      </c>
    </row>
    <row r="2879" spans="1:7">
      <c r="A2879">
        <v>240</v>
      </c>
      <c r="B2879" s="1">
        <v>46204</v>
      </c>
      <c r="C2879">
        <v>18</v>
      </c>
      <c r="D2879">
        <v>15</v>
      </c>
      <c r="E2879">
        <v>3</v>
      </c>
      <c r="F2879">
        <v>0</v>
      </c>
      <c r="G2879">
        <v>83.3</v>
      </c>
    </row>
    <row r="2880" spans="1:7">
      <c r="A2880">
        <v>240</v>
      </c>
      <c r="B2880" s="1">
        <v>46235</v>
      </c>
      <c r="C2880">
        <v>19</v>
      </c>
      <c r="D2880">
        <v>19</v>
      </c>
      <c r="E2880">
        <v>0</v>
      </c>
      <c r="F2880">
        <v>3</v>
      </c>
      <c r="G2880">
        <v>100</v>
      </c>
    </row>
    <row r="2881" spans="1:7">
      <c r="A2881">
        <v>240</v>
      </c>
      <c r="B2881" s="1">
        <v>46266</v>
      </c>
      <c r="C2881">
        <v>22</v>
      </c>
      <c r="D2881">
        <v>21</v>
      </c>
      <c r="E2881">
        <v>1</v>
      </c>
      <c r="F2881">
        <v>0</v>
      </c>
      <c r="G2881">
        <v>95.5</v>
      </c>
    </row>
    <row r="2882" spans="1:7">
      <c r="A2882">
        <v>241</v>
      </c>
      <c r="B2882" s="1">
        <v>45931</v>
      </c>
      <c r="C2882">
        <v>22</v>
      </c>
      <c r="D2882">
        <v>18</v>
      </c>
      <c r="E2882">
        <v>4</v>
      </c>
      <c r="F2882">
        <v>5</v>
      </c>
      <c r="G2882">
        <v>81.8</v>
      </c>
    </row>
    <row r="2883" spans="1:7">
      <c r="A2883">
        <v>241</v>
      </c>
      <c r="B2883" s="1">
        <v>45962</v>
      </c>
      <c r="C2883">
        <v>22</v>
      </c>
      <c r="D2883">
        <v>21</v>
      </c>
      <c r="E2883">
        <v>1</v>
      </c>
      <c r="F2883">
        <v>4</v>
      </c>
      <c r="G2883">
        <v>95.5</v>
      </c>
    </row>
    <row r="2884" spans="1:7">
      <c r="A2884">
        <v>241</v>
      </c>
      <c r="B2884" s="1">
        <v>45992</v>
      </c>
      <c r="C2884">
        <v>21</v>
      </c>
      <c r="D2884">
        <v>18</v>
      </c>
      <c r="E2884">
        <v>3</v>
      </c>
      <c r="F2884">
        <v>4</v>
      </c>
      <c r="G2884">
        <v>85.7</v>
      </c>
    </row>
    <row r="2885" spans="1:7">
      <c r="A2885">
        <v>241</v>
      </c>
      <c r="B2885" s="1">
        <v>46023</v>
      </c>
      <c r="C2885">
        <v>20</v>
      </c>
      <c r="D2885">
        <v>15</v>
      </c>
      <c r="E2885">
        <v>5</v>
      </c>
      <c r="F2885">
        <v>1</v>
      </c>
      <c r="G2885">
        <v>75</v>
      </c>
    </row>
    <row r="2886" spans="1:7">
      <c r="A2886">
        <v>241</v>
      </c>
      <c r="B2886" s="1">
        <v>46054</v>
      </c>
      <c r="C2886">
        <v>20</v>
      </c>
      <c r="D2886">
        <v>16</v>
      </c>
      <c r="E2886">
        <v>4</v>
      </c>
      <c r="F2886">
        <v>2</v>
      </c>
      <c r="G2886">
        <v>80</v>
      </c>
    </row>
    <row r="2887" spans="1:7">
      <c r="A2887">
        <v>241</v>
      </c>
      <c r="B2887" s="1">
        <v>46082</v>
      </c>
      <c r="C2887">
        <v>19</v>
      </c>
      <c r="D2887">
        <v>12</v>
      </c>
      <c r="E2887">
        <v>7</v>
      </c>
      <c r="F2887">
        <v>3</v>
      </c>
      <c r="G2887">
        <v>63.2</v>
      </c>
    </row>
    <row r="2888" spans="1:7">
      <c r="A2888">
        <v>241</v>
      </c>
      <c r="B2888" s="1">
        <v>46113</v>
      </c>
      <c r="C2888">
        <v>20</v>
      </c>
      <c r="D2888">
        <v>17</v>
      </c>
      <c r="E2888">
        <v>3</v>
      </c>
      <c r="F2888">
        <v>1</v>
      </c>
      <c r="G2888">
        <v>85</v>
      </c>
    </row>
    <row r="2889" spans="1:7">
      <c r="A2889">
        <v>241</v>
      </c>
      <c r="B2889" s="1">
        <v>46143</v>
      </c>
      <c r="C2889">
        <v>21</v>
      </c>
      <c r="D2889">
        <v>18</v>
      </c>
      <c r="E2889">
        <v>3</v>
      </c>
      <c r="F2889">
        <v>5</v>
      </c>
      <c r="G2889">
        <v>85.7</v>
      </c>
    </row>
    <row r="2890" spans="1:7">
      <c r="A2890">
        <v>241</v>
      </c>
      <c r="B2890" s="1">
        <v>46174</v>
      </c>
      <c r="C2890">
        <v>21</v>
      </c>
      <c r="D2890">
        <v>19</v>
      </c>
      <c r="E2890">
        <v>2</v>
      </c>
      <c r="F2890">
        <v>4</v>
      </c>
      <c r="G2890">
        <v>90.5</v>
      </c>
    </row>
    <row r="2891" spans="1:7">
      <c r="A2891">
        <v>241</v>
      </c>
      <c r="B2891" s="1">
        <v>46204</v>
      </c>
      <c r="C2891">
        <v>18</v>
      </c>
      <c r="D2891">
        <v>13</v>
      </c>
      <c r="E2891">
        <v>5</v>
      </c>
      <c r="F2891">
        <v>2</v>
      </c>
      <c r="G2891">
        <v>72.2</v>
      </c>
    </row>
    <row r="2892" spans="1:7">
      <c r="A2892">
        <v>241</v>
      </c>
      <c r="B2892" s="1">
        <v>46235</v>
      </c>
      <c r="C2892">
        <v>21</v>
      </c>
      <c r="D2892">
        <v>19</v>
      </c>
      <c r="E2892">
        <v>2</v>
      </c>
      <c r="F2892">
        <v>3</v>
      </c>
      <c r="G2892">
        <v>90.5</v>
      </c>
    </row>
    <row r="2893" spans="1:7">
      <c r="A2893">
        <v>241</v>
      </c>
      <c r="B2893" s="1">
        <v>46266</v>
      </c>
      <c r="C2893">
        <v>19</v>
      </c>
      <c r="D2893">
        <v>17</v>
      </c>
      <c r="E2893">
        <v>2</v>
      </c>
      <c r="F2893">
        <v>4</v>
      </c>
      <c r="G2893">
        <v>89.5</v>
      </c>
    </row>
    <row r="2894" spans="1:7">
      <c r="A2894">
        <v>242</v>
      </c>
      <c r="B2894" s="1">
        <v>45931</v>
      </c>
      <c r="C2894">
        <v>19</v>
      </c>
      <c r="D2894">
        <v>18</v>
      </c>
      <c r="E2894">
        <v>1</v>
      </c>
      <c r="F2894">
        <v>3</v>
      </c>
      <c r="G2894">
        <v>94.7</v>
      </c>
    </row>
    <row r="2895" spans="1:7">
      <c r="A2895">
        <v>242</v>
      </c>
      <c r="B2895" s="1">
        <v>45962</v>
      </c>
      <c r="C2895">
        <v>22</v>
      </c>
      <c r="D2895">
        <v>22</v>
      </c>
      <c r="E2895">
        <v>0</v>
      </c>
      <c r="F2895">
        <v>1</v>
      </c>
      <c r="G2895">
        <v>100</v>
      </c>
    </row>
    <row r="2896" spans="1:7">
      <c r="A2896">
        <v>242</v>
      </c>
      <c r="B2896" s="1">
        <v>45992</v>
      </c>
      <c r="C2896">
        <v>22</v>
      </c>
      <c r="D2896">
        <v>22</v>
      </c>
      <c r="E2896">
        <v>0</v>
      </c>
      <c r="F2896">
        <v>2</v>
      </c>
      <c r="G2896">
        <v>100</v>
      </c>
    </row>
    <row r="2897" spans="1:7">
      <c r="A2897">
        <v>242</v>
      </c>
      <c r="B2897" s="1">
        <v>46023</v>
      </c>
      <c r="C2897">
        <v>18</v>
      </c>
      <c r="D2897">
        <v>17</v>
      </c>
      <c r="E2897">
        <v>1</v>
      </c>
      <c r="F2897">
        <v>0</v>
      </c>
      <c r="G2897">
        <v>94.4</v>
      </c>
    </row>
    <row r="2898" spans="1:7">
      <c r="A2898">
        <v>242</v>
      </c>
      <c r="B2898" s="1">
        <v>46054</v>
      </c>
      <c r="C2898">
        <v>21</v>
      </c>
      <c r="D2898">
        <v>21</v>
      </c>
      <c r="E2898">
        <v>0</v>
      </c>
      <c r="F2898">
        <v>3</v>
      </c>
      <c r="G2898">
        <v>100</v>
      </c>
    </row>
    <row r="2899" spans="1:7">
      <c r="A2899">
        <v>242</v>
      </c>
      <c r="B2899" s="1">
        <v>46082</v>
      </c>
      <c r="C2899">
        <v>19</v>
      </c>
      <c r="D2899">
        <v>17</v>
      </c>
      <c r="E2899">
        <v>2</v>
      </c>
      <c r="F2899">
        <v>1</v>
      </c>
      <c r="G2899">
        <v>89.5</v>
      </c>
    </row>
    <row r="2900" spans="1:7">
      <c r="A2900">
        <v>242</v>
      </c>
      <c r="B2900" s="1">
        <v>46113</v>
      </c>
      <c r="C2900">
        <v>21</v>
      </c>
      <c r="D2900">
        <v>20</v>
      </c>
      <c r="E2900">
        <v>1</v>
      </c>
      <c r="F2900">
        <v>2</v>
      </c>
      <c r="G2900">
        <v>95.2</v>
      </c>
    </row>
    <row r="2901" spans="1:7">
      <c r="A2901">
        <v>242</v>
      </c>
      <c r="B2901" s="1">
        <v>46143</v>
      </c>
      <c r="C2901">
        <v>22</v>
      </c>
      <c r="D2901">
        <v>22</v>
      </c>
      <c r="E2901">
        <v>0</v>
      </c>
      <c r="F2901">
        <v>3</v>
      </c>
      <c r="G2901">
        <v>100</v>
      </c>
    </row>
    <row r="2902" spans="1:7">
      <c r="A2902">
        <v>242</v>
      </c>
      <c r="B2902" s="1">
        <v>46174</v>
      </c>
      <c r="C2902">
        <v>18</v>
      </c>
      <c r="D2902">
        <v>18</v>
      </c>
      <c r="E2902">
        <v>0</v>
      </c>
      <c r="F2902">
        <v>3</v>
      </c>
      <c r="G2902">
        <v>100</v>
      </c>
    </row>
    <row r="2903" spans="1:7">
      <c r="A2903">
        <v>242</v>
      </c>
      <c r="B2903" s="1">
        <v>46204</v>
      </c>
      <c r="C2903">
        <v>18</v>
      </c>
      <c r="D2903">
        <v>18</v>
      </c>
      <c r="E2903">
        <v>0</v>
      </c>
      <c r="F2903">
        <v>1</v>
      </c>
      <c r="G2903">
        <v>100</v>
      </c>
    </row>
    <row r="2904" spans="1:7">
      <c r="A2904">
        <v>242</v>
      </c>
      <c r="B2904" s="1">
        <v>46235</v>
      </c>
      <c r="C2904">
        <v>18</v>
      </c>
      <c r="D2904">
        <v>16</v>
      </c>
      <c r="E2904">
        <v>2</v>
      </c>
      <c r="F2904">
        <v>3</v>
      </c>
      <c r="G2904">
        <v>88.9</v>
      </c>
    </row>
    <row r="2905" spans="1:7">
      <c r="A2905">
        <v>242</v>
      </c>
      <c r="B2905" s="1">
        <v>46266</v>
      </c>
      <c r="C2905">
        <v>21</v>
      </c>
      <c r="D2905">
        <v>19</v>
      </c>
      <c r="E2905">
        <v>2</v>
      </c>
      <c r="F2905">
        <v>2</v>
      </c>
      <c r="G2905">
        <v>90.5</v>
      </c>
    </row>
    <row r="2906" spans="1:7">
      <c r="A2906">
        <v>243</v>
      </c>
      <c r="B2906" s="1">
        <v>45931</v>
      </c>
      <c r="C2906">
        <v>19</v>
      </c>
      <c r="D2906">
        <v>19</v>
      </c>
      <c r="E2906">
        <v>0</v>
      </c>
      <c r="F2906">
        <v>2</v>
      </c>
      <c r="G2906">
        <v>100</v>
      </c>
    </row>
    <row r="2907" spans="1:7">
      <c r="A2907">
        <v>243</v>
      </c>
      <c r="B2907" s="1">
        <v>45962</v>
      </c>
      <c r="C2907">
        <v>18</v>
      </c>
      <c r="D2907">
        <v>14</v>
      </c>
      <c r="E2907">
        <v>4</v>
      </c>
      <c r="F2907">
        <v>2</v>
      </c>
      <c r="G2907">
        <v>77.8</v>
      </c>
    </row>
    <row r="2908" spans="1:7">
      <c r="A2908">
        <v>243</v>
      </c>
      <c r="B2908" s="1">
        <v>45992</v>
      </c>
      <c r="C2908">
        <v>20</v>
      </c>
      <c r="D2908">
        <v>20</v>
      </c>
      <c r="E2908">
        <v>0</v>
      </c>
      <c r="F2908">
        <v>0</v>
      </c>
      <c r="G2908">
        <v>100</v>
      </c>
    </row>
    <row r="2909" spans="1:7">
      <c r="A2909">
        <v>243</v>
      </c>
      <c r="B2909" s="1">
        <v>46023</v>
      </c>
      <c r="C2909">
        <v>18</v>
      </c>
      <c r="D2909">
        <v>17</v>
      </c>
      <c r="E2909">
        <v>1</v>
      </c>
      <c r="F2909">
        <v>2</v>
      </c>
      <c r="G2909">
        <v>94.4</v>
      </c>
    </row>
    <row r="2910" spans="1:7">
      <c r="A2910">
        <v>243</v>
      </c>
      <c r="B2910" s="1">
        <v>46054</v>
      </c>
      <c r="C2910">
        <v>21</v>
      </c>
      <c r="D2910">
        <v>16</v>
      </c>
      <c r="E2910">
        <v>5</v>
      </c>
      <c r="F2910">
        <v>5</v>
      </c>
      <c r="G2910">
        <v>76.2</v>
      </c>
    </row>
    <row r="2911" spans="1:7">
      <c r="A2911">
        <v>243</v>
      </c>
      <c r="B2911" s="1">
        <v>46082</v>
      </c>
      <c r="C2911">
        <v>21</v>
      </c>
      <c r="D2911">
        <v>20</v>
      </c>
      <c r="E2911">
        <v>1</v>
      </c>
      <c r="F2911">
        <v>2</v>
      </c>
      <c r="G2911">
        <v>95.2</v>
      </c>
    </row>
    <row r="2912" spans="1:7">
      <c r="A2912">
        <v>243</v>
      </c>
      <c r="B2912" s="1">
        <v>46113</v>
      </c>
      <c r="C2912">
        <v>21</v>
      </c>
      <c r="D2912">
        <v>20</v>
      </c>
      <c r="E2912">
        <v>1</v>
      </c>
      <c r="F2912">
        <v>4</v>
      </c>
      <c r="G2912">
        <v>95.2</v>
      </c>
    </row>
    <row r="2913" spans="1:7">
      <c r="A2913">
        <v>243</v>
      </c>
      <c r="B2913" s="1">
        <v>46143</v>
      </c>
      <c r="C2913">
        <v>22</v>
      </c>
      <c r="D2913">
        <v>22</v>
      </c>
      <c r="E2913">
        <v>0</v>
      </c>
      <c r="F2913">
        <v>0</v>
      </c>
      <c r="G2913">
        <v>100</v>
      </c>
    </row>
    <row r="2914" spans="1:7">
      <c r="A2914">
        <v>243</v>
      </c>
      <c r="B2914" s="1">
        <v>46174</v>
      </c>
      <c r="C2914">
        <v>19</v>
      </c>
      <c r="D2914">
        <v>15</v>
      </c>
      <c r="E2914">
        <v>4</v>
      </c>
      <c r="F2914">
        <v>2</v>
      </c>
      <c r="G2914">
        <v>78.900000000000006</v>
      </c>
    </row>
    <row r="2915" spans="1:7">
      <c r="A2915">
        <v>243</v>
      </c>
      <c r="B2915" s="1">
        <v>46204</v>
      </c>
      <c r="C2915">
        <v>21</v>
      </c>
      <c r="D2915">
        <v>20</v>
      </c>
      <c r="E2915">
        <v>1</v>
      </c>
      <c r="F2915">
        <v>3</v>
      </c>
      <c r="G2915">
        <v>95.2</v>
      </c>
    </row>
    <row r="2916" spans="1:7">
      <c r="A2916">
        <v>243</v>
      </c>
      <c r="B2916" s="1">
        <v>46235</v>
      </c>
      <c r="C2916">
        <v>20</v>
      </c>
      <c r="D2916">
        <v>20</v>
      </c>
      <c r="E2916">
        <v>0</v>
      </c>
      <c r="F2916">
        <v>2</v>
      </c>
      <c r="G2916">
        <v>100</v>
      </c>
    </row>
    <row r="2917" spans="1:7">
      <c r="A2917">
        <v>243</v>
      </c>
      <c r="B2917" s="1">
        <v>46266</v>
      </c>
      <c r="C2917">
        <v>18</v>
      </c>
      <c r="D2917">
        <v>15</v>
      </c>
      <c r="E2917">
        <v>3</v>
      </c>
      <c r="F2917">
        <v>1</v>
      </c>
      <c r="G2917">
        <v>83.3</v>
      </c>
    </row>
    <row r="2918" spans="1:7">
      <c r="A2918">
        <v>244</v>
      </c>
      <c r="B2918" s="1">
        <v>45931</v>
      </c>
      <c r="C2918">
        <v>20</v>
      </c>
      <c r="D2918">
        <v>14</v>
      </c>
      <c r="E2918">
        <v>6</v>
      </c>
      <c r="F2918">
        <v>4</v>
      </c>
      <c r="G2918">
        <v>70</v>
      </c>
    </row>
    <row r="2919" spans="1:7">
      <c r="A2919">
        <v>244</v>
      </c>
      <c r="B2919" s="1">
        <v>45962</v>
      </c>
      <c r="C2919">
        <v>22</v>
      </c>
      <c r="D2919">
        <v>16</v>
      </c>
      <c r="E2919">
        <v>6</v>
      </c>
      <c r="F2919">
        <v>4</v>
      </c>
      <c r="G2919">
        <v>72.7</v>
      </c>
    </row>
    <row r="2920" spans="1:7">
      <c r="A2920">
        <v>244</v>
      </c>
      <c r="B2920" s="1">
        <v>45992</v>
      </c>
      <c r="C2920">
        <v>22</v>
      </c>
      <c r="D2920">
        <v>15</v>
      </c>
      <c r="E2920">
        <v>7</v>
      </c>
      <c r="F2920">
        <v>2</v>
      </c>
      <c r="G2920">
        <v>68.2</v>
      </c>
    </row>
    <row r="2921" spans="1:7">
      <c r="A2921">
        <v>244</v>
      </c>
      <c r="B2921" s="1">
        <v>46023</v>
      </c>
      <c r="C2921">
        <v>21</v>
      </c>
      <c r="D2921">
        <v>16</v>
      </c>
      <c r="E2921">
        <v>5</v>
      </c>
      <c r="F2921">
        <v>2</v>
      </c>
      <c r="G2921">
        <v>76.2</v>
      </c>
    </row>
    <row r="2922" spans="1:7">
      <c r="A2922">
        <v>244</v>
      </c>
      <c r="B2922" s="1">
        <v>46054</v>
      </c>
      <c r="C2922">
        <v>19</v>
      </c>
      <c r="D2922">
        <v>12</v>
      </c>
      <c r="E2922">
        <v>7</v>
      </c>
      <c r="F2922">
        <v>5</v>
      </c>
      <c r="G2922">
        <v>63.2</v>
      </c>
    </row>
    <row r="2923" spans="1:7">
      <c r="A2923">
        <v>244</v>
      </c>
      <c r="B2923" s="1">
        <v>46082</v>
      </c>
      <c r="C2923">
        <v>19</v>
      </c>
      <c r="D2923">
        <v>13</v>
      </c>
      <c r="E2923">
        <v>6</v>
      </c>
      <c r="F2923">
        <v>3</v>
      </c>
      <c r="G2923">
        <v>68.400000000000006</v>
      </c>
    </row>
    <row r="2924" spans="1:7">
      <c r="A2924">
        <v>244</v>
      </c>
      <c r="B2924" s="1">
        <v>46113</v>
      </c>
      <c r="C2924">
        <v>22</v>
      </c>
      <c r="D2924">
        <v>16</v>
      </c>
      <c r="E2924">
        <v>6</v>
      </c>
      <c r="F2924">
        <v>2</v>
      </c>
      <c r="G2924">
        <v>72.7</v>
      </c>
    </row>
    <row r="2925" spans="1:7">
      <c r="A2925">
        <v>244</v>
      </c>
      <c r="B2925" s="1">
        <v>46143</v>
      </c>
      <c r="C2925">
        <v>18</v>
      </c>
      <c r="D2925">
        <v>10</v>
      </c>
      <c r="E2925">
        <v>8</v>
      </c>
      <c r="F2925">
        <v>2</v>
      </c>
      <c r="G2925">
        <v>55.6</v>
      </c>
    </row>
    <row r="2926" spans="1:7">
      <c r="A2926">
        <v>244</v>
      </c>
      <c r="B2926" s="1">
        <v>46174</v>
      </c>
      <c r="C2926">
        <v>20</v>
      </c>
      <c r="D2926">
        <v>13</v>
      </c>
      <c r="E2926">
        <v>7</v>
      </c>
      <c r="F2926">
        <v>3</v>
      </c>
      <c r="G2926">
        <v>65</v>
      </c>
    </row>
    <row r="2927" spans="1:7">
      <c r="A2927">
        <v>244</v>
      </c>
      <c r="B2927" s="1">
        <v>46204</v>
      </c>
      <c r="C2927">
        <v>21</v>
      </c>
      <c r="D2927">
        <v>13</v>
      </c>
      <c r="E2927">
        <v>8</v>
      </c>
      <c r="F2927">
        <v>1</v>
      </c>
      <c r="G2927">
        <v>61.9</v>
      </c>
    </row>
    <row r="2928" spans="1:7">
      <c r="A2928">
        <v>244</v>
      </c>
      <c r="B2928" s="1">
        <v>46235</v>
      </c>
      <c r="C2928">
        <v>19</v>
      </c>
      <c r="D2928">
        <v>14</v>
      </c>
      <c r="E2928">
        <v>5</v>
      </c>
      <c r="F2928">
        <v>4</v>
      </c>
      <c r="G2928">
        <v>73.7</v>
      </c>
    </row>
    <row r="2929" spans="1:7">
      <c r="A2929">
        <v>244</v>
      </c>
      <c r="B2929" s="1">
        <v>46266</v>
      </c>
      <c r="C2929">
        <v>18</v>
      </c>
      <c r="D2929">
        <v>10</v>
      </c>
      <c r="E2929">
        <v>8</v>
      </c>
      <c r="F2929">
        <v>1</v>
      </c>
      <c r="G2929">
        <v>55.6</v>
      </c>
    </row>
    <row r="2930" spans="1:7">
      <c r="A2930">
        <v>245</v>
      </c>
      <c r="B2930" s="1">
        <v>45931</v>
      </c>
      <c r="C2930">
        <v>20</v>
      </c>
      <c r="D2930">
        <v>16</v>
      </c>
      <c r="E2930">
        <v>4</v>
      </c>
      <c r="F2930">
        <v>6</v>
      </c>
      <c r="G2930">
        <v>80</v>
      </c>
    </row>
    <row r="2931" spans="1:7">
      <c r="A2931">
        <v>245</v>
      </c>
      <c r="B2931" s="1">
        <v>45962</v>
      </c>
      <c r="C2931">
        <v>22</v>
      </c>
      <c r="D2931">
        <v>18</v>
      </c>
      <c r="E2931">
        <v>4</v>
      </c>
      <c r="F2931">
        <v>6</v>
      </c>
      <c r="G2931">
        <v>81.8</v>
      </c>
    </row>
    <row r="2932" spans="1:7">
      <c r="A2932">
        <v>245</v>
      </c>
      <c r="B2932" s="1">
        <v>45992</v>
      </c>
      <c r="C2932">
        <v>19</v>
      </c>
      <c r="D2932">
        <v>12</v>
      </c>
      <c r="E2932">
        <v>7</v>
      </c>
      <c r="F2932">
        <v>4</v>
      </c>
      <c r="G2932">
        <v>63.2</v>
      </c>
    </row>
    <row r="2933" spans="1:7">
      <c r="A2933">
        <v>245</v>
      </c>
      <c r="B2933" s="1">
        <v>46023</v>
      </c>
      <c r="C2933">
        <v>22</v>
      </c>
      <c r="D2933">
        <v>18</v>
      </c>
      <c r="E2933">
        <v>4</v>
      </c>
      <c r="F2933">
        <v>6</v>
      </c>
      <c r="G2933">
        <v>81.8</v>
      </c>
    </row>
    <row r="2934" spans="1:7">
      <c r="A2934">
        <v>245</v>
      </c>
      <c r="B2934" s="1">
        <v>46054</v>
      </c>
      <c r="C2934">
        <v>19</v>
      </c>
      <c r="D2934">
        <v>12</v>
      </c>
      <c r="E2934">
        <v>7</v>
      </c>
      <c r="F2934">
        <v>0</v>
      </c>
      <c r="G2934">
        <v>63.2</v>
      </c>
    </row>
    <row r="2935" spans="1:7">
      <c r="A2935">
        <v>245</v>
      </c>
      <c r="B2935" s="1">
        <v>46082</v>
      </c>
      <c r="C2935">
        <v>20</v>
      </c>
      <c r="D2935">
        <v>17</v>
      </c>
      <c r="E2935">
        <v>3</v>
      </c>
      <c r="F2935">
        <v>1</v>
      </c>
      <c r="G2935">
        <v>85</v>
      </c>
    </row>
    <row r="2936" spans="1:7">
      <c r="A2936">
        <v>245</v>
      </c>
      <c r="B2936" s="1">
        <v>46113</v>
      </c>
      <c r="C2936">
        <v>20</v>
      </c>
      <c r="D2936">
        <v>14</v>
      </c>
      <c r="E2936">
        <v>6</v>
      </c>
      <c r="F2936">
        <v>5</v>
      </c>
      <c r="G2936">
        <v>70</v>
      </c>
    </row>
    <row r="2937" spans="1:7">
      <c r="A2937">
        <v>245</v>
      </c>
      <c r="B2937" s="1">
        <v>46143</v>
      </c>
      <c r="C2937">
        <v>21</v>
      </c>
      <c r="D2937">
        <v>19</v>
      </c>
      <c r="E2937">
        <v>2</v>
      </c>
      <c r="F2937">
        <v>4</v>
      </c>
      <c r="G2937">
        <v>90.5</v>
      </c>
    </row>
    <row r="2938" spans="1:7">
      <c r="A2938">
        <v>245</v>
      </c>
      <c r="B2938" s="1">
        <v>46174</v>
      </c>
      <c r="C2938">
        <v>19</v>
      </c>
      <c r="D2938">
        <v>15</v>
      </c>
      <c r="E2938">
        <v>4</v>
      </c>
      <c r="F2938">
        <v>0</v>
      </c>
      <c r="G2938">
        <v>78.900000000000006</v>
      </c>
    </row>
    <row r="2939" spans="1:7">
      <c r="A2939">
        <v>245</v>
      </c>
      <c r="B2939" s="1">
        <v>46204</v>
      </c>
      <c r="C2939">
        <v>18</v>
      </c>
      <c r="D2939">
        <v>16</v>
      </c>
      <c r="E2939">
        <v>2</v>
      </c>
      <c r="F2939">
        <v>3</v>
      </c>
      <c r="G2939">
        <v>88.9</v>
      </c>
    </row>
    <row r="2940" spans="1:7">
      <c r="A2940">
        <v>245</v>
      </c>
      <c r="B2940" s="1">
        <v>46235</v>
      </c>
      <c r="C2940">
        <v>21</v>
      </c>
      <c r="D2940">
        <v>19</v>
      </c>
      <c r="E2940">
        <v>2</v>
      </c>
      <c r="F2940">
        <v>1</v>
      </c>
      <c r="G2940">
        <v>90.5</v>
      </c>
    </row>
    <row r="2941" spans="1:7">
      <c r="A2941">
        <v>245</v>
      </c>
      <c r="B2941" s="1">
        <v>46266</v>
      </c>
      <c r="C2941">
        <v>20</v>
      </c>
      <c r="D2941">
        <v>17</v>
      </c>
      <c r="E2941">
        <v>3</v>
      </c>
      <c r="F2941">
        <v>5</v>
      </c>
      <c r="G2941">
        <v>85</v>
      </c>
    </row>
    <row r="2942" spans="1:7">
      <c r="A2942">
        <v>246</v>
      </c>
      <c r="B2942" s="1">
        <v>45931</v>
      </c>
      <c r="C2942">
        <v>18</v>
      </c>
      <c r="D2942">
        <v>11</v>
      </c>
      <c r="E2942">
        <v>7</v>
      </c>
      <c r="F2942">
        <v>5</v>
      </c>
      <c r="G2942">
        <v>61.1</v>
      </c>
    </row>
    <row r="2943" spans="1:7">
      <c r="A2943">
        <v>246</v>
      </c>
      <c r="B2943" s="1">
        <v>45962</v>
      </c>
      <c r="C2943">
        <v>19</v>
      </c>
      <c r="D2943">
        <v>17</v>
      </c>
      <c r="E2943">
        <v>2</v>
      </c>
      <c r="F2943">
        <v>5</v>
      </c>
      <c r="G2943">
        <v>89.5</v>
      </c>
    </row>
    <row r="2944" spans="1:7">
      <c r="A2944">
        <v>246</v>
      </c>
      <c r="B2944" s="1">
        <v>45992</v>
      </c>
      <c r="C2944">
        <v>18</v>
      </c>
      <c r="D2944">
        <v>16</v>
      </c>
      <c r="E2944">
        <v>2</v>
      </c>
      <c r="F2944">
        <v>2</v>
      </c>
      <c r="G2944">
        <v>88.9</v>
      </c>
    </row>
    <row r="2945" spans="1:7">
      <c r="A2945">
        <v>246</v>
      </c>
      <c r="B2945" s="1">
        <v>46023</v>
      </c>
      <c r="C2945">
        <v>21</v>
      </c>
      <c r="D2945">
        <v>16</v>
      </c>
      <c r="E2945">
        <v>5</v>
      </c>
      <c r="F2945">
        <v>5</v>
      </c>
      <c r="G2945">
        <v>76.2</v>
      </c>
    </row>
    <row r="2946" spans="1:7">
      <c r="A2946">
        <v>246</v>
      </c>
      <c r="B2946" s="1">
        <v>46054</v>
      </c>
      <c r="C2946">
        <v>22</v>
      </c>
      <c r="D2946">
        <v>19</v>
      </c>
      <c r="E2946">
        <v>3</v>
      </c>
      <c r="F2946">
        <v>5</v>
      </c>
      <c r="G2946">
        <v>86.4</v>
      </c>
    </row>
    <row r="2947" spans="1:7">
      <c r="A2947">
        <v>246</v>
      </c>
      <c r="B2947" s="1">
        <v>46082</v>
      </c>
      <c r="C2947">
        <v>20</v>
      </c>
      <c r="D2947">
        <v>18</v>
      </c>
      <c r="E2947">
        <v>2</v>
      </c>
      <c r="F2947">
        <v>0</v>
      </c>
      <c r="G2947">
        <v>90</v>
      </c>
    </row>
    <row r="2948" spans="1:7">
      <c r="A2948">
        <v>246</v>
      </c>
      <c r="B2948" s="1">
        <v>46113</v>
      </c>
      <c r="C2948">
        <v>21</v>
      </c>
      <c r="D2948">
        <v>15</v>
      </c>
      <c r="E2948">
        <v>6</v>
      </c>
      <c r="F2948">
        <v>4</v>
      </c>
      <c r="G2948">
        <v>71.400000000000006</v>
      </c>
    </row>
    <row r="2949" spans="1:7">
      <c r="A2949">
        <v>246</v>
      </c>
      <c r="B2949" s="1">
        <v>46143</v>
      </c>
      <c r="C2949">
        <v>20</v>
      </c>
      <c r="D2949">
        <v>15</v>
      </c>
      <c r="E2949">
        <v>5</v>
      </c>
      <c r="F2949">
        <v>1</v>
      </c>
      <c r="G2949">
        <v>75</v>
      </c>
    </row>
    <row r="2950" spans="1:7">
      <c r="A2950">
        <v>246</v>
      </c>
      <c r="B2950" s="1">
        <v>46174</v>
      </c>
      <c r="C2950">
        <v>22</v>
      </c>
      <c r="D2950">
        <v>21</v>
      </c>
      <c r="E2950">
        <v>1</v>
      </c>
      <c r="F2950">
        <v>0</v>
      </c>
      <c r="G2950">
        <v>95.5</v>
      </c>
    </row>
    <row r="2951" spans="1:7">
      <c r="A2951">
        <v>246</v>
      </c>
      <c r="B2951" s="1">
        <v>46204</v>
      </c>
      <c r="C2951">
        <v>18</v>
      </c>
      <c r="D2951">
        <v>18</v>
      </c>
      <c r="E2951">
        <v>0</v>
      </c>
      <c r="F2951">
        <v>1</v>
      </c>
      <c r="G2951">
        <v>100</v>
      </c>
    </row>
    <row r="2952" spans="1:7">
      <c r="A2952">
        <v>246</v>
      </c>
      <c r="B2952" s="1">
        <v>46235</v>
      </c>
      <c r="C2952">
        <v>19</v>
      </c>
      <c r="D2952">
        <v>19</v>
      </c>
      <c r="E2952">
        <v>0</v>
      </c>
      <c r="F2952">
        <v>1</v>
      </c>
      <c r="G2952">
        <v>100</v>
      </c>
    </row>
    <row r="2953" spans="1:7">
      <c r="A2953">
        <v>246</v>
      </c>
      <c r="B2953" s="1">
        <v>46266</v>
      </c>
      <c r="C2953">
        <v>19</v>
      </c>
      <c r="D2953">
        <v>18</v>
      </c>
      <c r="E2953">
        <v>1</v>
      </c>
      <c r="F2953">
        <v>2</v>
      </c>
      <c r="G2953">
        <v>94.7</v>
      </c>
    </row>
    <row r="2954" spans="1:7">
      <c r="A2954">
        <v>247</v>
      </c>
      <c r="B2954" s="1">
        <v>45931</v>
      </c>
      <c r="C2954">
        <v>21</v>
      </c>
      <c r="D2954">
        <v>17</v>
      </c>
      <c r="E2954">
        <v>4</v>
      </c>
      <c r="F2954">
        <v>5</v>
      </c>
      <c r="G2954">
        <v>81</v>
      </c>
    </row>
    <row r="2955" spans="1:7">
      <c r="A2955">
        <v>247</v>
      </c>
      <c r="B2955" s="1">
        <v>45962</v>
      </c>
      <c r="C2955">
        <v>21</v>
      </c>
      <c r="D2955">
        <v>16</v>
      </c>
      <c r="E2955">
        <v>5</v>
      </c>
      <c r="F2955">
        <v>2</v>
      </c>
      <c r="G2955">
        <v>76.2</v>
      </c>
    </row>
    <row r="2956" spans="1:7">
      <c r="A2956">
        <v>247</v>
      </c>
      <c r="B2956" s="1">
        <v>45992</v>
      </c>
      <c r="C2956">
        <v>19</v>
      </c>
      <c r="D2956">
        <v>15</v>
      </c>
      <c r="E2956">
        <v>4</v>
      </c>
      <c r="F2956">
        <v>4</v>
      </c>
      <c r="G2956">
        <v>78.900000000000006</v>
      </c>
    </row>
    <row r="2957" spans="1:7">
      <c r="A2957">
        <v>247</v>
      </c>
      <c r="B2957" s="1">
        <v>46023</v>
      </c>
      <c r="C2957">
        <v>19</v>
      </c>
      <c r="D2957">
        <v>13</v>
      </c>
      <c r="E2957">
        <v>6</v>
      </c>
      <c r="F2957">
        <v>0</v>
      </c>
      <c r="G2957">
        <v>68.400000000000006</v>
      </c>
    </row>
    <row r="2958" spans="1:7">
      <c r="A2958">
        <v>247</v>
      </c>
      <c r="B2958" s="1">
        <v>46054</v>
      </c>
      <c r="C2958">
        <v>21</v>
      </c>
      <c r="D2958">
        <v>16</v>
      </c>
      <c r="E2958">
        <v>5</v>
      </c>
      <c r="F2958">
        <v>1</v>
      </c>
      <c r="G2958">
        <v>76.2</v>
      </c>
    </row>
    <row r="2959" spans="1:7">
      <c r="A2959">
        <v>247</v>
      </c>
      <c r="B2959" s="1">
        <v>46082</v>
      </c>
      <c r="C2959">
        <v>19</v>
      </c>
      <c r="D2959">
        <v>16</v>
      </c>
      <c r="E2959">
        <v>3</v>
      </c>
      <c r="F2959">
        <v>0</v>
      </c>
      <c r="G2959">
        <v>84.2</v>
      </c>
    </row>
    <row r="2960" spans="1:7">
      <c r="A2960">
        <v>247</v>
      </c>
      <c r="B2960" s="1">
        <v>46113</v>
      </c>
      <c r="C2960">
        <v>21</v>
      </c>
      <c r="D2960">
        <v>20</v>
      </c>
      <c r="E2960">
        <v>1</v>
      </c>
      <c r="F2960">
        <v>4</v>
      </c>
      <c r="G2960">
        <v>95.2</v>
      </c>
    </row>
    <row r="2961" spans="1:7">
      <c r="A2961">
        <v>247</v>
      </c>
      <c r="B2961" s="1">
        <v>46143</v>
      </c>
      <c r="C2961">
        <v>19</v>
      </c>
      <c r="D2961">
        <v>19</v>
      </c>
      <c r="E2961">
        <v>0</v>
      </c>
      <c r="F2961">
        <v>2</v>
      </c>
      <c r="G2961">
        <v>100</v>
      </c>
    </row>
    <row r="2962" spans="1:7">
      <c r="A2962">
        <v>247</v>
      </c>
      <c r="B2962" s="1">
        <v>46174</v>
      </c>
      <c r="C2962">
        <v>21</v>
      </c>
      <c r="D2962">
        <v>21</v>
      </c>
      <c r="E2962">
        <v>0</v>
      </c>
      <c r="F2962">
        <v>2</v>
      </c>
      <c r="G2962">
        <v>100</v>
      </c>
    </row>
    <row r="2963" spans="1:7">
      <c r="A2963">
        <v>247</v>
      </c>
      <c r="B2963" s="1">
        <v>46204</v>
      </c>
      <c r="C2963">
        <v>19</v>
      </c>
      <c r="D2963">
        <v>18</v>
      </c>
      <c r="E2963">
        <v>1</v>
      </c>
      <c r="F2963">
        <v>2</v>
      </c>
      <c r="G2963">
        <v>94.7</v>
      </c>
    </row>
    <row r="2964" spans="1:7">
      <c r="A2964">
        <v>247</v>
      </c>
      <c r="B2964" s="1">
        <v>46235</v>
      </c>
      <c r="C2964">
        <v>21</v>
      </c>
      <c r="D2964">
        <v>21</v>
      </c>
      <c r="E2964">
        <v>0</v>
      </c>
      <c r="F2964">
        <v>2</v>
      </c>
      <c r="G2964">
        <v>100</v>
      </c>
    </row>
    <row r="2965" spans="1:7">
      <c r="A2965">
        <v>247</v>
      </c>
      <c r="B2965" s="1">
        <v>46266</v>
      </c>
      <c r="C2965">
        <v>22</v>
      </c>
      <c r="D2965">
        <v>20</v>
      </c>
      <c r="E2965">
        <v>2</v>
      </c>
      <c r="F2965">
        <v>3</v>
      </c>
      <c r="G2965">
        <v>90.9</v>
      </c>
    </row>
    <row r="2966" spans="1:7">
      <c r="A2966">
        <v>248</v>
      </c>
      <c r="B2966" s="1">
        <v>45931</v>
      </c>
      <c r="C2966">
        <v>20</v>
      </c>
      <c r="D2966">
        <v>20</v>
      </c>
      <c r="E2966">
        <v>0</v>
      </c>
      <c r="F2966">
        <v>2</v>
      </c>
      <c r="G2966">
        <v>100</v>
      </c>
    </row>
    <row r="2967" spans="1:7">
      <c r="A2967">
        <v>248</v>
      </c>
      <c r="B2967" s="1">
        <v>45962</v>
      </c>
      <c r="C2967">
        <v>21</v>
      </c>
      <c r="D2967">
        <v>21</v>
      </c>
      <c r="E2967">
        <v>0</v>
      </c>
      <c r="F2967">
        <v>3</v>
      </c>
      <c r="G2967">
        <v>100</v>
      </c>
    </row>
    <row r="2968" spans="1:7">
      <c r="A2968">
        <v>248</v>
      </c>
      <c r="B2968" s="1">
        <v>45992</v>
      </c>
      <c r="C2968">
        <v>20</v>
      </c>
      <c r="D2968">
        <v>20</v>
      </c>
      <c r="E2968">
        <v>0</v>
      </c>
      <c r="F2968">
        <v>1</v>
      </c>
      <c r="G2968">
        <v>100</v>
      </c>
    </row>
    <row r="2969" spans="1:7">
      <c r="A2969">
        <v>248</v>
      </c>
      <c r="B2969" s="1">
        <v>46023</v>
      </c>
      <c r="C2969">
        <v>21</v>
      </c>
      <c r="D2969">
        <v>19</v>
      </c>
      <c r="E2969">
        <v>2</v>
      </c>
      <c r="F2969">
        <v>2</v>
      </c>
      <c r="G2969">
        <v>90.5</v>
      </c>
    </row>
    <row r="2970" spans="1:7">
      <c r="A2970">
        <v>248</v>
      </c>
      <c r="B2970" s="1">
        <v>46054</v>
      </c>
      <c r="C2970">
        <v>18</v>
      </c>
      <c r="D2970">
        <v>18</v>
      </c>
      <c r="E2970">
        <v>0</v>
      </c>
      <c r="F2970">
        <v>1</v>
      </c>
      <c r="G2970">
        <v>100</v>
      </c>
    </row>
    <row r="2971" spans="1:7">
      <c r="A2971">
        <v>248</v>
      </c>
      <c r="B2971" s="1">
        <v>46082</v>
      </c>
      <c r="C2971">
        <v>21</v>
      </c>
      <c r="D2971">
        <v>20</v>
      </c>
      <c r="E2971">
        <v>1</v>
      </c>
      <c r="F2971">
        <v>3</v>
      </c>
      <c r="G2971">
        <v>95.2</v>
      </c>
    </row>
    <row r="2972" spans="1:7">
      <c r="A2972">
        <v>248</v>
      </c>
      <c r="B2972" s="1">
        <v>46113</v>
      </c>
      <c r="C2972">
        <v>22</v>
      </c>
      <c r="D2972">
        <v>22</v>
      </c>
      <c r="E2972">
        <v>0</v>
      </c>
      <c r="F2972">
        <v>2</v>
      </c>
      <c r="G2972">
        <v>100</v>
      </c>
    </row>
    <row r="2973" spans="1:7">
      <c r="A2973">
        <v>248</v>
      </c>
      <c r="B2973" s="1">
        <v>46143</v>
      </c>
      <c r="C2973">
        <v>20</v>
      </c>
      <c r="D2973">
        <v>20</v>
      </c>
      <c r="E2973">
        <v>0</v>
      </c>
      <c r="F2973">
        <v>1</v>
      </c>
      <c r="G2973">
        <v>100</v>
      </c>
    </row>
    <row r="2974" spans="1:7">
      <c r="A2974">
        <v>248</v>
      </c>
      <c r="B2974" s="1">
        <v>46174</v>
      </c>
      <c r="C2974">
        <v>21</v>
      </c>
      <c r="D2974">
        <v>18</v>
      </c>
      <c r="E2974">
        <v>3</v>
      </c>
      <c r="F2974">
        <v>2</v>
      </c>
      <c r="G2974">
        <v>85.7</v>
      </c>
    </row>
    <row r="2975" spans="1:7">
      <c r="A2975">
        <v>248</v>
      </c>
      <c r="B2975" s="1">
        <v>46204</v>
      </c>
      <c r="C2975">
        <v>20</v>
      </c>
      <c r="D2975">
        <v>19</v>
      </c>
      <c r="E2975">
        <v>1</v>
      </c>
      <c r="F2975">
        <v>3</v>
      </c>
      <c r="G2975">
        <v>95</v>
      </c>
    </row>
    <row r="2976" spans="1:7">
      <c r="A2976">
        <v>248</v>
      </c>
      <c r="B2976" s="1">
        <v>46235</v>
      </c>
      <c r="C2976">
        <v>21</v>
      </c>
      <c r="D2976">
        <v>21</v>
      </c>
      <c r="E2976">
        <v>0</v>
      </c>
      <c r="F2976">
        <v>2</v>
      </c>
      <c r="G2976">
        <v>100</v>
      </c>
    </row>
    <row r="2977" spans="1:7">
      <c r="A2977">
        <v>248</v>
      </c>
      <c r="B2977" s="1">
        <v>46266</v>
      </c>
      <c r="C2977">
        <v>18</v>
      </c>
      <c r="D2977">
        <v>18</v>
      </c>
      <c r="E2977">
        <v>0</v>
      </c>
      <c r="F2977">
        <v>2</v>
      </c>
      <c r="G2977">
        <v>100</v>
      </c>
    </row>
    <row r="2978" spans="1:7">
      <c r="A2978">
        <v>249</v>
      </c>
      <c r="B2978" s="1">
        <v>45931</v>
      </c>
      <c r="C2978">
        <v>21</v>
      </c>
      <c r="D2978">
        <v>21</v>
      </c>
      <c r="E2978">
        <v>0</v>
      </c>
      <c r="F2978">
        <v>0</v>
      </c>
      <c r="G2978">
        <v>100</v>
      </c>
    </row>
    <row r="2979" spans="1:7">
      <c r="A2979">
        <v>249</v>
      </c>
      <c r="B2979" s="1">
        <v>45962</v>
      </c>
      <c r="C2979">
        <v>20</v>
      </c>
      <c r="D2979">
        <v>20</v>
      </c>
      <c r="E2979">
        <v>0</v>
      </c>
      <c r="F2979">
        <v>3</v>
      </c>
      <c r="G2979">
        <v>100</v>
      </c>
    </row>
    <row r="2980" spans="1:7">
      <c r="A2980">
        <v>249</v>
      </c>
      <c r="B2980" s="1">
        <v>45992</v>
      </c>
      <c r="C2980">
        <v>21</v>
      </c>
      <c r="D2980">
        <v>20</v>
      </c>
      <c r="E2980">
        <v>1</v>
      </c>
      <c r="F2980">
        <v>4</v>
      </c>
      <c r="G2980">
        <v>95.2</v>
      </c>
    </row>
    <row r="2981" spans="1:7">
      <c r="A2981">
        <v>249</v>
      </c>
      <c r="B2981" s="1">
        <v>46023</v>
      </c>
      <c r="C2981">
        <v>19</v>
      </c>
      <c r="D2981">
        <v>14</v>
      </c>
      <c r="E2981">
        <v>5</v>
      </c>
      <c r="F2981">
        <v>6</v>
      </c>
      <c r="G2981">
        <v>73.7</v>
      </c>
    </row>
    <row r="2982" spans="1:7">
      <c r="A2982">
        <v>249</v>
      </c>
      <c r="B2982" s="1">
        <v>46054</v>
      </c>
      <c r="C2982">
        <v>18</v>
      </c>
      <c r="D2982">
        <v>15</v>
      </c>
      <c r="E2982">
        <v>3</v>
      </c>
      <c r="F2982">
        <v>2</v>
      </c>
      <c r="G2982">
        <v>83.3</v>
      </c>
    </row>
    <row r="2983" spans="1:7">
      <c r="A2983">
        <v>249</v>
      </c>
      <c r="B2983" s="1">
        <v>46082</v>
      </c>
      <c r="C2983">
        <v>19</v>
      </c>
      <c r="D2983">
        <v>19</v>
      </c>
      <c r="E2983">
        <v>0</v>
      </c>
      <c r="F2983">
        <v>0</v>
      </c>
      <c r="G2983">
        <v>100</v>
      </c>
    </row>
    <row r="2984" spans="1:7">
      <c r="A2984">
        <v>249</v>
      </c>
      <c r="B2984" s="1">
        <v>46113</v>
      </c>
      <c r="C2984">
        <v>18</v>
      </c>
      <c r="D2984">
        <v>17</v>
      </c>
      <c r="E2984">
        <v>1</v>
      </c>
      <c r="F2984">
        <v>2</v>
      </c>
      <c r="G2984">
        <v>94.4</v>
      </c>
    </row>
    <row r="2985" spans="1:7">
      <c r="A2985">
        <v>249</v>
      </c>
      <c r="B2985" s="1">
        <v>46143</v>
      </c>
      <c r="C2985">
        <v>20</v>
      </c>
      <c r="D2985">
        <v>20</v>
      </c>
      <c r="E2985">
        <v>0</v>
      </c>
      <c r="F2985">
        <v>0</v>
      </c>
      <c r="G2985">
        <v>100</v>
      </c>
    </row>
    <row r="2986" spans="1:7">
      <c r="A2986">
        <v>249</v>
      </c>
      <c r="B2986" s="1">
        <v>46174</v>
      </c>
      <c r="C2986">
        <v>18</v>
      </c>
      <c r="D2986">
        <v>18</v>
      </c>
      <c r="E2986">
        <v>0</v>
      </c>
      <c r="F2986">
        <v>1</v>
      </c>
      <c r="G2986">
        <v>100</v>
      </c>
    </row>
    <row r="2987" spans="1:7">
      <c r="A2987">
        <v>249</v>
      </c>
      <c r="B2987" s="1">
        <v>46204</v>
      </c>
      <c r="C2987">
        <v>19</v>
      </c>
      <c r="D2987">
        <v>19</v>
      </c>
      <c r="E2987">
        <v>0</v>
      </c>
      <c r="F2987">
        <v>3</v>
      </c>
      <c r="G2987">
        <v>100</v>
      </c>
    </row>
    <row r="2988" spans="1:7">
      <c r="A2988">
        <v>249</v>
      </c>
      <c r="B2988" s="1">
        <v>46235</v>
      </c>
      <c r="C2988">
        <v>19</v>
      </c>
      <c r="D2988">
        <v>19</v>
      </c>
      <c r="E2988">
        <v>0</v>
      </c>
      <c r="F2988">
        <v>2</v>
      </c>
      <c r="G2988">
        <v>100</v>
      </c>
    </row>
    <row r="2989" spans="1:7">
      <c r="A2989">
        <v>249</v>
      </c>
      <c r="B2989" s="1">
        <v>46266</v>
      </c>
      <c r="C2989">
        <v>20</v>
      </c>
      <c r="D2989">
        <v>18</v>
      </c>
      <c r="E2989">
        <v>2</v>
      </c>
      <c r="F2989">
        <v>3</v>
      </c>
      <c r="G2989">
        <v>90</v>
      </c>
    </row>
    <row r="2990" spans="1:7">
      <c r="A2990">
        <v>250</v>
      </c>
      <c r="B2990" s="1">
        <v>45931</v>
      </c>
      <c r="C2990">
        <v>19</v>
      </c>
      <c r="D2990">
        <v>15</v>
      </c>
      <c r="E2990">
        <v>4</v>
      </c>
      <c r="F2990">
        <v>0</v>
      </c>
      <c r="G2990">
        <v>78.900000000000006</v>
      </c>
    </row>
    <row r="2991" spans="1:7">
      <c r="A2991">
        <v>250</v>
      </c>
      <c r="B2991" s="1">
        <v>45962</v>
      </c>
      <c r="C2991">
        <v>18</v>
      </c>
      <c r="D2991">
        <v>13</v>
      </c>
      <c r="E2991">
        <v>5</v>
      </c>
      <c r="F2991">
        <v>6</v>
      </c>
      <c r="G2991">
        <v>72.2</v>
      </c>
    </row>
    <row r="2992" spans="1:7">
      <c r="A2992">
        <v>250</v>
      </c>
      <c r="B2992" s="1">
        <v>45992</v>
      </c>
      <c r="C2992">
        <v>18</v>
      </c>
      <c r="D2992">
        <v>13</v>
      </c>
      <c r="E2992">
        <v>5</v>
      </c>
      <c r="F2992">
        <v>4</v>
      </c>
      <c r="G2992">
        <v>72.2</v>
      </c>
    </row>
    <row r="2993" spans="1:7">
      <c r="A2993">
        <v>250</v>
      </c>
      <c r="B2993" s="1">
        <v>46023</v>
      </c>
      <c r="C2993">
        <v>21</v>
      </c>
      <c r="D2993">
        <v>18</v>
      </c>
      <c r="E2993">
        <v>3</v>
      </c>
      <c r="F2993">
        <v>6</v>
      </c>
      <c r="G2993">
        <v>85.7</v>
      </c>
    </row>
    <row r="2994" spans="1:7">
      <c r="A2994">
        <v>250</v>
      </c>
      <c r="B2994" s="1">
        <v>46054</v>
      </c>
      <c r="C2994">
        <v>21</v>
      </c>
      <c r="D2994">
        <v>14</v>
      </c>
      <c r="E2994">
        <v>7</v>
      </c>
      <c r="F2994">
        <v>0</v>
      </c>
      <c r="G2994">
        <v>66.7</v>
      </c>
    </row>
    <row r="2995" spans="1:7">
      <c r="A2995">
        <v>250</v>
      </c>
      <c r="B2995" s="1">
        <v>46082</v>
      </c>
      <c r="C2995">
        <v>19</v>
      </c>
      <c r="D2995">
        <v>13</v>
      </c>
      <c r="E2995">
        <v>6</v>
      </c>
      <c r="F2995">
        <v>5</v>
      </c>
      <c r="G2995">
        <v>68.400000000000006</v>
      </c>
    </row>
    <row r="2996" spans="1:7">
      <c r="A2996">
        <v>250</v>
      </c>
      <c r="B2996" s="1">
        <v>46113</v>
      </c>
      <c r="C2996">
        <v>19</v>
      </c>
      <c r="D2996">
        <v>11</v>
      </c>
      <c r="E2996">
        <v>8</v>
      </c>
      <c r="F2996">
        <v>6</v>
      </c>
      <c r="G2996">
        <v>57.9</v>
      </c>
    </row>
    <row r="2997" spans="1:7">
      <c r="A2997">
        <v>250</v>
      </c>
      <c r="B2997" s="1">
        <v>46143</v>
      </c>
      <c r="C2997">
        <v>21</v>
      </c>
      <c r="D2997">
        <v>15</v>
      </c>
      <c r="E2997">
        <v>6</v>
      </c>
      <c r="F2997">
        <v>5</v>
      </c>
      <c r="G2997">
        <v>71.400000000000006</v>
      </c>
    </row>
    <row r="2998" spans="1:7">
      <c r="A2998">
        <v>250</v>
      </c>
      <c r="B2998" s="1">
        <v>46174</v>
      </c>
      <c r="C2998">
        <v>21</v>
      </c>
      <c r="D2998">
        <v>14</v>
      </c>
      <c r="E2998">
        <v>7</v>
      </c>
      <c r="F2998">
        <v>2</v>
      </c>
      <c r="G2998">
        <v>66.7</v>
      </c>
    </row>
    <row r="2999" spans="1:7">
      <c r="A2999">
        <v>250</v>
      </c>
      <c r="B2999" s="1">
        <v>46204</v>
      </c>
      <c r="C2999">
        <v>18</v>
      </c>
      <c r="D2999">
        <v>10</v>
      </c>
      <c r="E2999">
        <v>8</v>
      </c>
      <c r="F2999">
        <v>0</v>
      </c>
      <c r="G2999">
        <v>55.6</v>
      </c>
    </row>
    <row r="3000" spans="1:7">
      <c r="A3000">
        <v>250</v>
      </c>
      <c r="B3000" s="1">
        <v>46235</v>
      </c>
      <c r="C3000">
        <v>18</v>
      </c>
      <c r="D3000">
        <v>16</v>
      </c>
      <c r="E3000">
        <v>2</v>
      </c>
      <c r="F3000">
        <v>5</v>
      </c>
      <c r="G3000">
        <v>88.9</v>
      </c>
    </row>
    <row r="3001" spans="1:7">
      <c r="A3001">
        <v>250</v>
      </c>
      <c r="B3001" s="1">
        <v>46266</v>
      </c>
      <c r="C3001">
        <v>21</v>
      </c>
      <c r="D3001">
        <v>16</v>
      </c>
      <c r="E3001">
        <v>5</v>
      </c>
      <c r="F3001">
        <v>0</v>
      </c>
      <c r="G3001">
        <v>76.2</v>
      </c>
    </row>
    <row r="3002" spans="1:7">
      <c r="A3002">
        <v>251</v>
      </c>
      <c r="B3002" s="1">
        <v>45931</v>
      </c>
      <c r="C3002">
        <v>18</v>
      </c>
      <c r="D3002">
        <v>12</v>
      </c>
      <c r="E3002">
        <v>6</v>
      </c>
      <c r="F3002">
        <v>1</v>
      </c>
      <c r="G3002">
        <v>66.7</v>
      </c>
    </row>
    <row r="3003" spans="1:7">
      <c r="A3003">
        <v>251</v>
      </c>
      <c r="B3003" s="1">
        <v>45962</v>
      </c>
      <c r="C3003">
        <v>18</v>
      </c>
      <c r="D3003">
        <v>15</v>
      </c>
      <c r="E3003">
        <v>3</v>
      </c>
      <c r="F3003">
        <v>5</v>
      </c>
      <c r="G3003">
        <v>83.3</v>
      </c>
    </row>
    <row r="3004" spans="1:7">
      <c r="A3004">
        <v>251</v>
      </c>
      <c r="B3004" s="1">
        <v>45992</v>
      </c>
      <c r="C3004">
        <v>22</v>
      </c>
      <c r="D3004">
        <v>16</v>
      </c>
      <c r="E3004">
        <v>6</v>
      </c>
      <c r="F3004">
        <v>4</v>
      </c>
      <c r="G3004">
        <v>72.7</v>
      </c>
    </row>
    <row r="3005" spans="1:7">
      <c r="A3005">
        <v>251</v>
      </c>
      <c r="B3005" s="1">
        <v>46023</v>
      </c>
      <c r="C3005">
        <v>20</v>
      </c>
      <c r="D3005">
        <v>15</v>
      </c>
      <c r="E3005">
        <v>5</v>
      </c>
      <c r="F3005">
        <v>6</v>
      </c>
      <c r="G3005">
        <v>75</v>
      </c>
    </row>
    <row r="3006" spans="1:7">
      <c r="A3006">
        <v>251</v>
      </c>
      <c r="B3006" s="1">
        <v>46054</v>
      </c>
      <c r="C3006">
        <v>20</v>
      </c>
      <c r="D3006">
        <v>17</v>
      </c>
      <c r="E3006">
        <v>3</v>
      </c>
      <c r="F3006">
        <v>2</v>
      </c>
      <c r="G3006">
        <v>85</v>
      </c>
    </row>
    <row r="3007" spans="1:7">
      <c r="A3007">
        <v>251</v>
      </c>
      <c r="B3007" s="1">
        <v>46082</v>
      </c>
      <c r="C3007">
        <v>20</v>
      </c>
      <c r="D3007">
        <v>13</v>
      </c>
      <c r="E3007">
        <v>7</v>
      </c>
      <c r="F3007">
        <v>3</v>
      </c>
      <c r="G3007">
        <v>65</v>
      </c>
    </row>
    <row r="3008" spans="1:7">
      <c r="A3008">
        <v>251</v>
      </c>
      <c r="B3008" s="1">
        <v>46113</v>
      </c>
      <c r="C3008">
        <v>19</v>
      </c>
      <c r="D3008">
        <v>10</v>
      </c>
      <c r="E3008">
        <v>9</v>
      </c>
      <c r="F3008">
        <v>4</v>
      </c>
      <c r="G3008">
        <v>52.6</v>
      </c>
    </row>
    <row r="3009" spans="1:7">
      <c r="A3009">
        <v>251</v>
      </c>
      <c r="B3009" s="1">
        <v>46143</v>
      </c>
      <c r="C3009">
        <v>21</v>
      </c>
      <c r="D3009">
        <v>12</v>
      </c>
      <c r="E3009">
        <v>9</v>
      </c>
      <c r="F3009">
        <v>3</v>
      </c>
      <c r="G3009">
        <v>57.1</v>
      </c>
    </row>
    <row r="3010" spans="1:7">
      <c r="A3010">
        <v>251</v>
      </c>
      <c r="B3010" s="1">
        <v>46174</v>
      </c>
      <c r="C3010">
        <v>20</v>
      </c>
      <c r="D3010">
        <v>15</v>
      </c>
      <c r="E3010">
        <v>5</v>
      </c>
      <c r="F3010">
        <v>3</v>
      </c>
      <c r="G3010">
        <v>75</v>
      </c>
    </row>
    <row r="3011" spans="1:7">
      <c r="A3011">
        <v>251</v>
      </c>
      <c r="B3011" s="1">
        <v>46204</v>
      </c>
      <c r="C3011">
        <v>22</v>
      </c>
      <c r="D3011">
        <v>15</v>
      </c>
      <c r="E3011">
        <v>7</v>
      </c>
      <c r="F3011">
        <v>2</v>
      </c>
      <c r="G3011">
        <v>68.2</v>
      </c>
    </row>
    <row r="3012" spans="1:7">
      <c r="A3012">
        <v>251</v>
      </c>
      <c r="B3012" s="1">
        <v>46235</v>
      </c>
      <c r="C3012">
        <v>21</v>
      </c>
      <c r="D3012">
        <v>16</v>
      </c>
      <c r="E3012">
        <v>5</v>
      </c>
      <c r="F3012">
        <v>4</v>
      </c>
      <c r="G3012">
        <v>76.2</v>
      </c>
    </row>
    <row r="3013" spans="1:7">
      <c r="A3013">
        <v>251</v>
      </c>
      <c r="B3013" s="1">
        <v>46266</v>
      </c>
      <c r="C3013">
        <v>19</v>
      </c>
      <c r="D3013">
        <v>10</v>
      </c>
      <c r="E3013">
        <v>9</v>
      </c>
      <c r="F3013">
        <v>3</v>
      </c>
      <c r="G3013">
        <v>52.6</v>
      </c>
    </row>
    <row r="3014" spans="1:7">
      <c r="A3014">
        <v>252</v>
      </c>
      <c r="B3014" s="1">
        <v>45931</v>
      </c>
      <c r="C3014">
        <v>18</v>
      </c>
      <c r="D3014">
        <v>10</v>
      </c>
      <c r="E3014">
        <v>8</v>
      </c>
      <c r="F3014">
        <v>2</v>
      </c>
      <c r="G3014">
        <v>55.6</v>
      </c>
    </row>
    <row r="3015" spans="1:7">
      <c r="A3015">
        <v>252</v>
      </c>
      <c r="B3015" s="1">
        <v>45962</v>
      </c>
      <c r="C3015">
        <v>22</v>
      </c>
      <c r="D3015">
        <v>16</v>
      </c>
      <c r="E3015">
        <v>6</v>
      </c>
      <c r="F3015">
        <v>5</v>
      </c>
      <c r="G3015">
        <v>72.7</v>
      </c>
    </row>
    <row r="3016" spans="1:7">
      <c r="A3016">
        <v>252</v>
      </c>
      <c r="B3016" s="1">
        <v>45992</v>
      </c>
      <c r="C3016">
        <v>18</v>
      </c>
      <c r="D3016">
        <v>14</v>
      </c>
      <c r="E3016">
        <v>4</v>
      </c>
      <c r="F3016">
        <v>0</v>
      </c>
      <c r="G3016">
        <v>77.8</v>
      </c>
    </row>
    <row r="3017" spans="1:7">
      <c r="A3017">
        <v>252</v>
      </c>
      <c r="B3017" s="1">
        <v>46023</v>
      </c>
      <c r="C3017">
        <v>21</v>
      </c>
      <c r="D3017">
        <v>14</v>
      </c>
      <c r="E3017">
        <v>7</v>
      </c>
      <c r="F3017">
        <v>6</v>
      </c>
      <c r="G3017">
        <v>66.7</v>
      </c>
    </row>
    <row r="3018" spans="1:7">
      <c r="A3018">
        <v>252</v>
      </c>
      <c r="B3018" s="1">
        <v>46054</v>
      </c>
      <c r="C3018">
        <v>19</v>
      </c>
      <c r="D3018">
        <v>15</v>
      </c>
      <c r="E3018">
        <v>4</v>
      </c>
      <c r="F3018">
        <v>0</v>
      </c>
      <c r="G3018">
        <v>78.900000000000006</v>
      </c>
    </row>
    <row r="3019" spans="1:7">
      <c r="A3019">
        <v>252</v>
      </c>
      <c r="B3019" s="1">
        <v>46082</v>
      </c>
      <c r="C3019">
        <v>20</v>
      </c>
      <c r="D3019">
        <v>13</v>
      </c>
      <c r="E3019">
        <v>7</v>
      </c>
      <c r="F3019">
        <v>2</v>
      </c>
      <c r="G3019">
        <v>65</v>
      </c>
    </row>
    <row r="3020" spans="1:7">
      <c r="A3020">
        <v>252</v>
      </c>
      <c r="B3020" s="1">
        <v>46113</v>
      </c>
      <c r="C3020">
        <v>19</v>
      </c>
      <c r="D3020">
        <v>11</v>
      </c>
      <c r="E3020">
        <v>8</v>
      </c>
      <c r="F3020">
        <v>0</v>
      </c>
      <c r="G3020">
        <v>57.9</v>
      </c>
    </row>
    <row r="3021" spans="1:7">
      <c r="A3021">
        <v>252</v>
      </c>
      <c r="B3021" s="1">
        <v>46143</v>
      </c>
      <c r="C3021">
        <v>22</v>
      </c>
      <c r="D3021">
        <v>21</v>
      </c>
      <c r="E3021">
        <v>1</v>
      </c>
      <c r="F3021">
        <v>1</v>
      </c>
      <c r="G3021">
        <v>95.5</v>
      </c>
    </row>
    <row r="3022" spans="1:7">
      <c r="A3022">
        <v>252</v>
      </c>
      <c r="B3022" s="1">
        <v>46174</v>
      </c>
      <c r="C3022">
        <v>19</v>
      </c>
      <c r="D3022">
        <v>11</v>
      </c>
      <c r="E3022">
        <v>8</v>
      </c>
      <c r="F3022">
        <v>1</v>
      </c>
      <c r="G3022">
        <v>57.9</v>
      </c>
    </row>
    <row r="3023" spans="1:7">
      <c r="A3023">
        <v>252</v>
      </c>
      <c r="B3023" s="1">
        <v>46204</v>
      </c>
      <c r="C3023">
        <v>18</v>
      </c>
      <c r="D3023">
        <v>13</v>
      </c>
      <c r="E3023">
        <v>5</v>
      </c>
      <c r="F3023">
        <v>1</v>
      </c>
      <c r="G3023">
        <v>72.2</v>
      </c>
    </row>
    <row r="3024" spans="1:7">
      <c r="A3024">
        <v>252</v>
      </c>
      <c r="B3024" s="1">
        <v>46235</v>
      </c>
      <c r="C3024">
        <v>21</v>
      </c>
      <c r="D3024">
        <v>16</v>
      </c>
      <c r="E3024">
        <v>5</v>
      </c>
      <c r="F3024">
        <v>5</v>
      </c>
      <c r="G3024">
        <v>76.2</v>
      </c>
    </row>
    <row r="3025" spans="1:7">
      <c r="A3025">
        <v>252</v>
      </c>
      <c r="B3025" s="1">
        <v>46266</v>
      </c>
      <c r="C3025">
        <v>22</v>
      </c>
      <c r="D3025">
        <v>17</v>
      </c>
      <c r="E3025">
        <v>5</v>
      </c>
      <c r="F3025">
        <v>6</v>
      </c>
      <c r="G3025">
        <v>77.3</v>
      </c>
    </row>
    <row r="3026" spans="1:7">
      <c r="A3026">
        <v>253</v>
      </c>
      <c r="B3026" s="1">
        <v>45931</v>
      </c>
      <c r="C3026">
        <v>19</v>
      </c>
      <c r="D3026">
        <v>15</v>
      </c>
      <c r="E3026">
        <v>4</v>
      </c>
      <c r="F3026">
        <v>3</v>
      </c>
      <c r="G3026">
        <v>78.900000000000006</v>
      </c>
    </row>
    <row r="3027" spans="1:7">
      <c r="A3027">
        <v>253</v>
      </c>
      <c r="B3027" s="1">
        <v>45962</v>
      </c>
      <c r="C3027">
        <v>20</v>
      </c>
      <c r="D3027">
        <v>17</v>
      </c>
      <c r="E3027">
        <v>3</v>
      </c>
      <c r="F3027">
        <v>5</v>
      </c>
      <c r="G3027">
        <v>85</v>
      </c>
    </row>
    <row r="3028" spans="1:7">
      <c r="A3028">
        <v>253</v>
      </c>
      <c r="B3028" s="1">
        <v>45992</v>
      </c>
      <c r="C3028">
        <v>20</v>
      </c>
      <c r="D3028">
        <v>17</v>
      </c>
      <c r="E3028">
        <v>3</v>
      </c>
      <c r="F3028">
        <v>5</v>
      </c>
      <c r="G3028">
        <v>85</v>
      </c>
    </row>
    <row r="3029" spans="1:7">
      <c r="A3029">
        <v>253</v>
      </c>
      <c r="B3029" s="1">
        <v>46023</v>
      </c>
      <c r="C3029">
        <v>22</v>
      </c>
      <c r="D3029">
        <v>20</v>
      </c>
      <c r="E3029">
        <v>2</v>
      </c>
      <c r="F3029">
        <v>4</v>
      </c>
      <c r="G3029">
        <v>90.9</v>
      </c>
    </row>
    <row r="3030" spans="1:7">
      <c r="A3030">
        <v>253</v>
      </c>
      <c r="B3030" s="1">
        <v>46054</v>
      </c>
      <c r="C3030">
        <v>21</v>
      </c>
      <c r="D3030">
        <v>18</v>
      </c>
      <c r="E3030">
        <v>3</v>
      </c>
      <c r="F3030">
        <v>1</v>
      </c>
      <c r="G3030">
        <v>85.7</v>
      </c>
    </row>
    <row r="3031" spans="1:7">
      <c r="A3031">
        <v>253</v>
      </c>
      <c r="B3031" s="1">
        <v>46082</v>
      </c>
      <c r="C3031">
        <v>22</v>
      </c>
      <c r="D3031">
        <v>21</v>
      </c>
      <c r="E3031">
        <v>1</v>
      </c>
      <c r="F3031">
        <v>3</v>
      </c>
      <c r="G3031">
        <v>95.5</v>
      </c>
    </row>
    <row r="3032" spans="1:7">
      <c r="A3032">
        <v>253</v>
      </c>
      <c r="B3032" s="1">
        <v>46113</v>
      </c>
      <c r="C3032">
        <v>22</v>
      </c>
      <c r="D3032">
        <v>22</v>
      </c>
      <c r="E3032">
        <v>0</v>
      </c>
      <c r="F3032">
        <v>1</v>
      </c>
      <c r="G3032">
        <v>100</v>
      </c>
    </row>
    <row r="3033" spans="1:7">
      <c r="A3033">
        <v>253</v>
      </c>
      <c r="B3033" s="1">
        <v>46143</v>
      </c>
      <c r="C3033">
        <v>20</v>
      </c>
      <c r="D3033">
        <v>18</v>
      </c>
      <c r="E3033">
        <v>2</v>
      </c>
      <c r="F3033">
        <v>3</v>
      </c>
      <c r="G3033">
        <v>90</v>
      </c>
    </row>
    <row r="3034" spans="1:7">
      <c r="A3034">
        <v>253</v>
      </c>
      <c r="B3034" s="1">
        <v>46174</v>
      </c>
      <c r="C3034">
        <v>21</v>
      </c>
      <c r="D3034">
        <v>21</v>
      </c>
      <c r="E3034">
        <v>0</v>
      </c>
      <c r="F3034">
        <v>0</v>
      </c>
      <c r="G3034">
        <v>100</v>
      </c>
    </row>
    <row r="3035" spans="1:7">
      <c r="A3035">
        <v>253</v>
      </c>
      <c r="B3035" s="1">
        <v>46204</v>
      </c>
      <c r="C3035">
        <v>18</v>
      </c>
      <c r="D3035">
        <v>16</v>
      </c>
      <c r="E3035">
        <v>2</v>
      </c>
      <c r="F3035">
        <v>3</v>
      </c>
      <c r="G3035">
        <v>88.9</v>
      </c>
    </row>
    <row r="3036" spans="1:7">
      <c r="A3036">
        <v>253</v>
      </c>
      <c r="B3036" s="1">
        <v>46235</v>
      </c>
      <c r="C3036">
        <v>18</v>
      </c>
      <c r="D3036">
        <v>18</v>
      </c>
      <c r="E3036">
        <v>0</v>
      </c>
      <c r="F3036">
        <v>1</v>
      </c>
      <c r="G3036">
        <v>100</v>
      </c>
    </row>
    <row r="3037" spans="1:7">
      <c r="A3037">
        <v>253</v>
      </c>
      <c r="B3037" s="1">
        <v>46266</v>
      </c>
      <c r="C3037">
        <v>22</v>
      </c>
      <c r="D3037">
        <v>17</v>
      </c>
      <c r="E3037">
        <v>5</v>
      </c>
      <c r="F3037">
        <v>5</v>
      </c>
      <c r="G3037">
        <v>77.3</v>
      </c>
    </row>
    <row r="3038" spans="1:7">
      <c r="A3038">
        <v>254</v>
      </c>
      <c r="B3038" s="1">
        <v>45931</v>
      </c>
      <c r="C3038">
        <v>18</v>
      </c>
      <c r="D3038">
        <v>15</v>
      </c>
      <c r="E3038">
        <v>3</v>
      </c>
      <c r="F3038">
        <v>0</v>
      </c>
      <c r="G3038">
        <v>83.3</v>
      </c>
    </row>
    <row r="3039" spans="1:7">
      <c r="A3039">
        <v>254</v>
      </c>
      <c r="B3039" s="1">
        <v>45962</v>
      </c>
      <c r="C3039">
        <v>18</v>
      </c>
      <c r="D3039">
        <v>14</v>
      </c>
      <c r="E3039">
        <v>4</v>
      </c>
      <c r="F3039">
        <v>3</v>
      </c>
      <c r="G3039">
        <v>77.8</v>
      </c>
    </row>
    <row r="3040" spans="1:7">
      <c r="A3040">
        <v>254</v>
      </c>
      <c r="B3040" s="1">
        <v>45992</v>
      </c>
      <c r="C3040">
        <v>21</v>
      </c>
      <c r="D3040">
        <v>17</v>
      </c>
      <c r="E3040">
        <v>4</v>
      </c>
      <c r="F3040">
        <v>3</v>
      </c>
      <c r="G3040">
        <v>81</v>
      </c>
    </row>
    <row r="3041" spans="1:7">
      <c r="A3041">
        <v>254</v>
      </c>
      <c r="B3041" s="1">
        <v>46023</v>
      </c>
      <c r="C3041">
        <v>19</v>
      </c>
      <c r="D3041">
        <v>14</v>
      </c>
      <c r="E3041">
        <v>5</v>
      </c>
      <c r="F3041">
        <v>5</v>
      </c>
      <c r="G3041">
        <v>73.7</v>
      </c>
    </row>
    <row r="3042" spans="1:7">
      <c r="A3042">
        <v>254</v>
      </c>
      <c r="B3042" s="1">
        <v>46054</v>
      </c>
      <c r="C3042">
        <v>22</v>
      </c>
      <c r="D3042">
        <v>20</v>
      </c>
      <c r="E3042">
        <v>2</v>
      </c>
      <c r="F3042">
        <v>0</v>
      </c>
      <c r="G3042">
        <v>90.9</v>
      </c>
    </row>
    <row r="3043" spans="1:7">
      <c r="A3043">
        <v>254</v>
      </c>
      <c r="B3043" s="1">
        <v>46082</v>
      </c>
      <c r="C3043">
        <v>21</v>
      </c>
      <c r="D3043">
        <v>19</v>
      </c>
      <c r="E3043">
        <v>2</v>
      </c>
      <c r="F3043">
        <v>2</v>
      </c>
      <c r="G3043">
        <v>90.5</v>
      </c>
    </row>
    <row r="3044" spans="1:7">
      <c r="A3044">
        <v>254</v>
      </c>
      <c r="B3044" s="1">
        <v>46113</v>
      </c>
      <c r="C3044">
        <v>20</v>
      </c>
      <c r="D3044">
        <v>20</v>
      </c>
      <c r="E3044">
        <v>0</v>
      </c>
      <c r="F3044">
        <v>2</v>
      </c>
      <c r="G3044">
        <v>100</v>
      </c>
    </row>
    <row r="3045" spans="1:7">
      <c r="A3045">
        <v>254</v>
      </c>
      <c r="B3045" s="1">
        <v>46143</v>
      </c>
      <c r="C3045">
        <v>22</v>
      </c>
      <c r="D3045">
        <v>20</v>
      </c>
      <c r="E3045">
        <v>2</v>
      </c>
      <c r="F3045">
        <v>5</v>
      </c>
      <c r="G3045">
        <v>90.9</v>
      </c>
    </row>
    <row r="3046" spans="1:7">
      <c r="A3046">
        <v>254</v>
      </c>
      <c r="B3046" s="1">
        <v>46174</v>
      </c>
      <c r="C3046">
        <v>19</v>
      </c>
      <c r="D3046">
        <v>16</v>
      </c>
      <c r="E3046">
        <v>3</v>
      </c>
      <c r="F3046">
        <v>1</v>
      </c>
      <c r="G3046">
        <v>84.2</v>
      </c>
    </row>
    <row r="3047" spans="1:7">
      <c r="A3047">
        <v>254</v>
      </c>
      <c r="B3047" s="1">
        <v>46204</v>
      </c>
      <c r="C3047">
        <v>22</v>
      </c>
      <c r="D3047">
        <v>18</v>
      </c>
      <c r="E3047">
        <v>4</v>
      </c>
      <c r="F3047">
        <v>5</v>
      </c>
      <c r="G3047">
        <v>81.8</v>
      </c>
    </row>
    <row r="3048" spans="1:7">
      <c r="A3048">
        <v>254</v>
      </c>
      <c r="B3048" s="1">
        <v>46235</v>
      </c>
      <c r="C3048">
        <v>20</v>
      </c>
      <c r="D3048">
        <v>20</v>
      </c>
      <c r="E3048">
        <v>0</v>
      </c>
      <c r="F3048">
        <v>3</v>
      </c>
      <c r="G3048">
        <v>100</v>
      </c>
    </row>
    <row r="3049" spans="1:7">
      <c r="A3049">
        <v>254</v>
      </c>
      <c r="B3049" s="1">
        <v>46266</v>
      </c>
      <c r="C3049">
        <v>19</v>
      </c>
      <c r="D3049">
        <v>17</v>
      </c>
      <c r="E3049">
        <v>2</v>
      </c>
      <c r="F3049">
        <v>2</v>
      </c>
      <c r="G3049">
        <v>89.5</v>
      </c>
    </row>
    <row r="3050" spans="1:7">
      <c r="A3050">
        <v>255</v>
      </c>
      <c r="B3050" s="1">
        <v>45931</v>
      </c>
      <c r="C3050">
        <v>19</v>
      </c>
      <c r="D3050">
        <v>18</v>
      </c>
      <c r="E3050">
        <v>1</v>
      </c>
      <c r="F3050">
        <v>3</v>
      </c>
      <c r="G3050">
        <v>94.7</v>
      </c>
    </row>
    <row r="3051" spans="1:7">
      <c r="A3051">
        <v>255</v>
      </c>
      <c r="B3051" s="1">
        <v>45962</v>
      </c>
      <c r="C3051">
        <v>18</v>
      </c>
      <c r="D3051">
        <v>16</v>
      </c>
      <c r="E3051">
        <v>2</v>
      </c>
      <c r="F3051">
        <v>2</v>
      </c>
      <c r="G3051">
        <v>88.9</v>
      </c>
    </row>
    <row r="3052" spans="1:7">
      <c r="A3052">
        <v>255</v>
      </c>
      <c r="B3052" s="1">
        <v>45992</v>
      </c>
      <c r="C3052">
        <v>21</v>
      </c>
      <c r="D3052">
        <v>21</v>
      </c>
      <c r="E3052">
        <v>0</v>
      </c>
      <c r="F3052">
        <v>0</v>
      </c>
      <c r="G3052">
        <v>100</v>
      </c>
    </row>
    <row r="3053" spans="1:7">
      <c r="A3053">
        <v>255</v>
      </c>
      <c r="B3053" s="1">
        <v>46023</v>
      </c>
      <c r="C3053">
        <v>20</v>
      </c>
      <c r="D3053">
        <v>18</v>
      </c>
      <c r="E3053">
        <v>2</v>
      </c>
      <c r="F3053">
        <v>5</v>
      </c>
      <c r="G3053">
        <v>90</v>
      </c>
    </row>
    <row r="3054" spans="1:7">
      <c r="A3054">
        <v>255</v>
      </c>
      <c r="B3054" s="1">
        <v>46054</v>
      </c>
      <c r="C3054">
        <v>19</v>
      </c>
      <c r="D3054">
        <v>19</v>
      </c>
      <c r="E3054">
        <v>0</v>
      </c>
      <c r="F3054">
        <v>3</v>
      </c>
      <c r="G3054">
        <v>100</v>
      </c>
    </row>
    <row r="3055" spans="1:7">
      <c r="A3055">
        <v>255</v>
      </c>
      <c r="B3055" s="1">
        <v>46082</v>
      </c>
      <c r="C3055">
        <v>20</v>
      </c>
      <c r="D3055">
        <v>20</v>
      </c>
      <c r="E3055">
        <v>0</v>
      </c>
      <c r="F3055">
        <v>0</v>
      </c>
      <c r="G3055">
        <v>100</v>
      </c>
    </row>
    <row r="3056" spans="1:7">
      <c r="A3056">
        <v>255</v>
      </c>
      <c r="B3056" s="1">
        <v>46113</v>
      </c>
      <c r="C3056">
        <v>18</v>
      </c>
      <c r="D3056">
        <v>18</v>
      </c>
      <c r="E3056">
        <v>0</v>
      </c>
      <c r="F3056">
        <v>0</v>
      </c>
      <c r="G3056">
        <v>100</v>
      </c>
    </row>
    <row r="3057" spans="1:7">
      <c r="A3057">
        <v>255</v>
      </c>
      <c r="B3057" s="1">
        <v>46143</v>
      </c>
      <c r="C3057">
        <v>20</v>
      </c>
      <c r="D3057">
        <v>20</v>
      </c>
      <c r="E3057">
        <v>0</v>
      </c>
      <c r="F3057">
        <v>1</v>
      </c>
      <c r="G3057">
        <v>100</v>
      </c>
    </row>
    <row r="3058" spans="1:7">
      <c r="A3058">
        <v>255</v>
      </c>
      <c r="B3058" s="1">
        <v>46174</v>
      </c>
      <c r="C3058">
        <v>20</v>
      </c>
      <c r="D3058">
        <v>20</v>
      </c>
      <c r="E3058">
        <v>0</v>
      </c>
      <c r="F3058">
        <v>2</v>
      </c>
      <c r="G3058">
        <v>100</v>
      </c>
    </row>
    <row r="3059" spans="1:7">
      <c r="A3059">
        <v>255</v>
      </c>
      <c r="B3059" s="1">
        <v>46204</v>
      </c>
      <c r="C3059">
        <v>20</v>
      </c>
      <c r="D3059">
        <v>20</v>
      </c>
      <c r="E3059">
        <v>0</v>
      </c>
      <c r="F3059">
        <v>3</v>
      </c>
      <c r="G3059">
        <v>100</v>
      </c>
    </row>
    <row r="3060" spans="1:7">
      <c r="A3060">
        <v>255</v>
      </c>
      <c r="B3060" s="1">
        <v>46235</v>
      </c>
      <c r="C3060">
        <v>22</v>
      </c>
      <c r="D3060">
        <v>22</v>
      </c>
      <c r="E3060">
        <v>0</v>
      </c>
      <c r="F3060">
        <v>3</v>
      </c>
      <c r="G3060">
        <v>100</v>
      </c>
    </row>
    <row r="3061" spans="1:7">
      <c r="A3061">
        <v>255</v>
      </c>
      <c r="B3061" s="1">
        <v>46266</v>
      </c>
      <c r="C3061">
        <v>20</v>
      </c>
      <c r="D3061">
        <v>20</v>
      </c>
      <c r="E3061">
        <v>0</v>
      </c>
      <c r="F3061">
        <v>1</v>
      </c>
      <c r="G3061">
        <v>100</v>
      </c>
    </row>
    <row r="3062" spans="1:7">
      <c r="A3062">
        <v>256</v>
      </c>
      <c r="B3062" s="1">
        <v>45931</v>
      </c>
      <c r="C3062">
        <v>18</v>
      </c>
      <c r="D3062">
        <v>17</v>
      </c>
      <c r="E3062">
        <v>1</v>
      </c>
      <c r="F3062">
        <v>1</v>
      </c>
      <c r="G3062">
        <v>94.4</v>
      </c>
    </row>
    <row r="3063" spans="1:7">
      <c r="A3063">
        <v>256</v>
      </c>
      <c r="B3063" s="1">
        <v>45962</v>
      </c>
      <c r="C3063">
        <v>20</v>
      </c>
      <c r="D3063">
        <v>19</v>
      </c>
      <c r="E3063">
        <v>1</v>
      </c>
      <c r="F3063">
        <v>1</v>
      </c>
      <c r="G3063">
        <v>95</v>
      </c>
    </row>
    <row r="3064" spans="1:7">
      <c r="A3064">
        <v>256</v>
      </c>
      <c r="B3064" s="1">
        <v>45992</v>
      </c>
      <c r="C3064">
        <v>20</v>
      </c>
      <c r="D3064">
        <v>19</v>
      </c>
      <c r="E3064">
        <v>1</v>
      </c>
      <c r="F3064">
        <v>4</v>
      </c>
      <c r="G3064">
        <v>95</v>
      </c>
    </row>
    <row r="3065" spans="1:7">
      <c r="A3065">
        <v>256</v>
      </c>
      <c r="B3065" s="1">
        <v>46023</v>
      </c>
      <c r="C3065">
        <v>22</v>
      </c>
      <c r="D3065">
        <v>21</v>
      </c>
      <c r="E3065">
        <v>1</v>
      </c>
      <c r="F3065">
        <v>3</v>
      </c>
      <c r="G3065">
        <v>95.5</v>
      </c>
    </row>
    <row r="3066" spans="1:7">
      <c r="A3066">
        <v>256</v>
      </c>
      <c r="B3066" s="1">
        <v>46054</v>
      </c>
      <c r="C3066">
        <v>20</v>
      </c>
      <c r="D3066">
        <v>20</v>
      </c>
      <c r="E3066">
        <v>0</v>
      </c>
      <c r="F3066">
        <v>2</v>
      </c>
      <c r="G3066">
        <v>100</v>
      </c>
    </row>
    <row r="3067" spans="1:7">
      <c r="A3067">
        <v>256</v>
      </c>
      <c r="B3067" s="1">
        <v>46082</v>
      </c>
      <c r="C3067">
        <v>22</v>
      </c>
      <c r="D3067">
        <v>22</v>
      </c>
      <c r="E3067">
        <v>0</v>
      </c>
      <c r="F3067">
        <v>3</v>
      </c>
      <c r="G3067">
        <v>100</v>
      </c>
    </row>
    <row r="3068" spans="1:7">
      <c r="A3068">
        <v>256</v>
      </c>
      <c r="B3068" s="1">
        <v>46113</v>
      </c>
      <c r="C3068">
        <v>19</v>
      </c>
      <c r="D3068">
        <v>15</v>
      </c>
      <c r="E3068">
        <v>4</v>
      </c>
      <c r="F3068">
        <v>1</v>
      </c>
      <c r="G3068">
        <v>78.900000000000006</v>
      </c>
    </row>
    <row r="3069" spans="1:7">
      <c r="A3069">
        <v>256</v>
      </c>
      <c r="B3069" s="1">
        <v>46143</v>
      </c>
      <c r="C3069">
        <v>18</v>
      </c>
      <c r="D3069">
        <v>13</v>
      </c>
      <c r="E3069">
        <v>5</v>
      </c>
      <c r="F3069">
        <v>6</v>
      </c>
      <c r="G3069">
        <v>72.2</v>
      </c>
    </row>
    <row r="3070" spans="1:7">
      <c r="A3070">
        <v>256</v>
      </c>
      <c r="B3070" s="1">
        <v>46174</v>
      </c>
      <c r="C3070">
        <v>22</v>
      </c>
      <c r="D3070">
        <v>19</v>
      </c>
      <c r="E3070">
        <v>3</v>
      </c>
      <c r="F3070">
        <v>6</v>
      </c>
      <c r="G3070">
        <v>86.4</v>
      </c>
    </row>
    <row r="3071" spans="1:7">
      <c r="A3071">
        <v>256</v>
      </c>
      <c r="B3071" s="1">
        <v>46204</v>
      </c>
      <c r="C3071">
        <v>18</v>
      </c>
      <c r="D3071">
        <v>15</v>
      </c>
      <c r="E3071">
        <v>3</v>
      </c>
      <c r="F3071">
        <v>2</v>
      </c>
      <c r="G3071">
        <v>83.3</v>
      </c>
    </row>
    <row r="3072" spans="1:7">
      <c r="A3072">
        <v>256</v>
      </c>
      <c r="B3072" s="1">
        <v>46235</v>
      </c>
      <c r="C3072">
        <v>18</v>
      </c>
      <c r="D3072">
        <v>16</v>
      </c>
      <c r="E3072">
        <v>2</v>
      </c>
      <c r="F3072">
        <v>4</v>
      </c>
      <c r="G3072">
        <v>88.9</v>
      </c>
    </row>
    <row r="3073" spans="1:7">
      <c r="A3073">
        <v>256</v>
      </c>
      <c r="B3073" s="1">
        <v>46266</v>
      </c>
      <c r="C3073">
        <v>21</v>
      </c>
      <c r="D3073">
        <v>19</v>
      </c>
      <c r="E3073">
        <v>2</v>
      </c>
      <c r="F3073">
        <v>3</v>
      </c>
      <c r="G3073">
        <v>90.5</v>
      </c>
    </row>
    <row r="3074" spans="1:7">
      <c r="A3074">
        <v>257</v>
      </c>
      <c r="B3074" s="1">
        <v>45931</v>
      </c>
      <c r="C3074">
        <v>21</v>
      </c>
      <c r="D3074">
        <v>13</v>
      </c>
      <c r="E3074">
        <v>8</v>
      </c>
      <c r="F3074">
        <v>0</v>
      </c>
      <c r="G3074">
        <v>61.9</v>
      </c>
    </row>
    <row r="3075" spans="1:7">
      <c r="A3075">
        <v>257</v>
      </c>
      <c r="B3075" s="1">
        <v>45962</v>
      </c>
      <c r="C3075">
        <v>19</v>
      </c>
      <c r="D3075">
        <v>10</v>
      </c>
      <c r="E3075">
        <v>9</v>
      </c>
      <c r="F3075">
        <v>4</v>
      </c>
      <c r="G3075">
        <v>52.6</v>
      </c>
    </row>
    <row r="3076" spans="1:7">
      <c r="A3076">
        <v>257</v>
      </c>
      <c r="B3076" s="1">
        <v>45992</v>
      </c>
      <c r="C3076">
        <v>21</v>
      </c>
      <c r="D3076">
        <v>14</v>
      </c>
      <c r="E3076">
        <v>7</v>
      </c>
      <c r="F3076">
        <v>3</v>
      </c>
      <c r="G3076">
        <v>66.7</v>
      </c>
    </row>
    <row r="3077" spans="1:7">
      <c r="A3077">
        <v>257</v>
      </c>
      <c r="B3077" s="1">
        <v>46023</v>
      </c>
      <c r="C3077">
        <v>20</v>
      </c>
      <c r="D3077">
        <v>10</v>
      </c>
      <c r="E3077">
        <v>10</v>
      </c>
      <c r="F3077">
        <v>2</v>
      </c>
      <c r="G3077">
        <v>50</v>
      </c>
    </row>
    <row r="3078" spans="1:7">
      <c r="A3078">
        <v>257</v>
      </c>
      <c r="B3078" s="1">
        <v>46054</v>
      </c>
      <c r="C3078">
        <v>22</v>
      </c>
      <c r="D3078">
        <v>14</v>
      </c>
      <c r="E3078">
        <v>8</v>
      </c>
      <c r="F3078">
        <v>4</v>
      </c>
      <c r="G3078">
        <v>63.6</v>
      </c>
    </row>
    <row r="3079" spans="1:7">
      <c r="A3079">
        <v>257</v>
      </c>
      <c r="B3079" s="1">
        <v>46082</v>
      </c>
      <c r="C3079">
        <v>19</v>
      </c>
      <c r="D3079">
        <v>10</v>
      </c>
      <c r="E3079">
        <v>9</v>
      </c>
      <c r="F3079">
        <v>1</v>
      </c>
      <c r="G3079">
        <v>52.6</v>
      </c>
    </row>
    <row r="3080" spans="1:7">
      <c r="A3080">
        <v>257</v>
      </c>
      <c r="B3080" s="1">
        <v>46113</v>
      </c>
      <c r="C3080">
        <v>20</v>
      </c>
      <c r="D3080">
        <v>12</v>
      </c>
      <c r="E3080">
        <v>8</v>
      </c>
      <c r="F3080">
        <v>4</v>
      </c>
      <c r="G3080">
        <v>60</v>
      </c>
    </row>
    <row r="3081" spans="1:7">
      <c r="A3081">
        <v>257</v>
      </c>
      <c r="B3081" s="1">
        <v>46143</v>
      </c>
      <c r="C3081">
        <v>21</v>
      </c>
      <c r="D3081">
        <v>16</v>
      </c>
      <c r="E3081">
        <v>5</v>
      </c>
      <c r="F3081">
        <v>3</v>
      </c>
      <c r="G3081">
        <v>76.2</v>
      </c>
    </row>
    <row r="3082" spans="1:7">
      <c r="A3082">
        <v>257</v>
      </c>
      <c r="B3082" s="1">
        <v>46174</v>
      </c>
      <c r="C3082">
        <v>20</v>
      </c>
      <c r="D3082">
        <v>12</v>
      </c>
      <c r="E3082">
        <v>8</v>
      </c>
      <c r="F3082">
        <v>3</v>
      </c>
      <c r="G3082">
        <v>60</v>
      </c>
    </row>
    <row r="3083" spans="1:7">
      <c r="A3083">
        <v>257</v>
      </c>
      <c r="B3083" s="1">
        <v>46204</v>
      </c>
      <c r="C3083">
        <v>20</v>
      </c>
      <c r="D3083">
        <v>14</v>
      </c>
      <c r="E3083">
        <v>6</v>
      </c>
      <c r="F3083">
        <v>1</v>
      </c>
      <c r="G3083">
        <v>70</v>
      </c>
    </row>
    <row r="3084" spans="1:7">
      <c r="A3084">
        <v>257</v>
      </c>
      <c r="B3084" s="1">
        <v>46235</v>
      </c>
      <c r="C3084">
        <v>18</v>
      </c>
      <c r="D3084">
        <v>10</v>
      </c>
      <c r="E3084">
        <v>8</v>
      </c>
      <c r="F3084">
        <v>6</v>
      </c>
      <c r="G3084">
        <v>55.6</v>
      </c>
    </row>
    <row r="3085" spans="1:7">
      <c r="A3085">
        <v>257</v>
      </c>
      <c r="B3085" s="1">
        <v>46266</v>
      </c>
      <c r="C3085">
        <v>20</v>
      </c>
      <c r="D3085">
        <v>14</v>
      </c>
      <c r="E3085">
        <v>6</v>
      </c>
      <c r="F3085">
        <v>5</v>
      </c>
      <c r="G3085">
        <v>70</v>
      </c>
    </row>
    <row r="3086" spans="1:7">
      <c r="A3086">
        <v>258</v>
      </c>
      <c r="B3086" s="1">
        <v>45931</v>
      </c>
      <c r="C3086">
        <v>21</v>
      </c>
      <c r="D3086">
        <v>17</v>
      </c>
      <c r="E3086">
        <v>4</v>
      </c>
      <c r="F3086">
        <v>1</v>
      </c>
      <c r="G3086">
        <v>81</v>
      </c>
    </row>
    <row r="3087" spans="1:7">
      <c r="A3087">
        <v>258</v>
      </c>
      <c r="B3087" s="1">
        <v>45962</v>
      </c>
      <c r="C3087">
        <v>21</v>
      </c>
      <c r="D3087">
        <v>15</v>
      </c>
      <c r="E3087">
        <v>6</v>
      </c>
      <c r="F3087">
        <v>2</v>
      </c>
      <c r="G3087">
        <v>71.400000000000006</v>
      </c>
    </row>
    <row r="3088" spans="1:7">
      <c r="A3088">
        <v>258</v>
      </c>
      <c r="B3088" s="1">
        <v>45992</v>
      </c>
      <c r="C3088">
        <v>19</v>
      </c>
      <c r="D3088">
        <v>10</v>
      </c>
      <c r="E3088">
        <v>9</v>
      </c>
      <c r="F3088">
        <v>1</v>
      </c>
      <c r="G3088">
        <v>52.6</v>
      </c>
    </row>
    <row r="3089" spans="1:7">
      <c r="A3089">
        <v>258</v>
      </c>
      <c r="B3089" s="1">
        <v>46023</v>
      </c>
      <c r="C3089">
        <v>21</v>
      </c>
      <c r="D3089">
        <v>21</v>
      </c>
      <c r="E3089">
        <v>0</v>
      </c>
      <c r="F3089">
        <v>2</v>
      </c>
      <c r="G3089">
        <v>100</v>
      </c>
    </row>
    <row r="3090" spans="1:7">
      <c r="A3090">
        <v>258</v>
      </c>
      <c r="B3090" s="1">
        <v>46054</v>
      </c>
      <c r="C3090">
        <v>22</v>
      </c>
      <c r="D3090">
        <v>18</v>
      </c>
      <c r="E3090">
        <v>4</v>
      </c>
      <c r="F3090">
        <v>2</v>
      </c>
      <c r="G3090">
        <v>81.8</v>
      </c>
    </row>
    <row r="3091" spans="1:7">
      <c r="A3091">
        <v>258</v>
      </c>
      <c r="B3091" s="1">
        <v>46082</v>
      </c>
      <c r="C3091">
        <v>18</v>
      </c>
      <c r="D3091">
        <v>12</v>
      </c>
      <c r="E3091">
        <v>6</v>
      </c>
      <c r="F3091">
        <v>2</v>
      </c>
      <c r="G3091">
        <v>66.7</v>
      </c>
    </row>
    <row r="3092" spans="1:7">
      <c r="A3092">
        <v>258</v>
      </c>
      <c r="B3092" s="1">
        <v>46113</v>
      </c>
      <c r="C3092">
        <v>20</v>
      </c>
      <c r="D3092">
        <v>17</v>
      </c>
      <c r="E3092">
        <v>3</v>
      </c>
      <c r="F3092">
        <v>2</v>
      </c>
      <c r="G3092">
        <v>85</v>
      </c>
    </row>
    <row r="3093" spans="1:7">
      <c r="A3093">
        <v>258</v>
      </c>
      <c r="B3093" s="1">
        <v>46143</v>
      </c>
      <c r="C3093">
        <v>18</v>
      </c>
      <c r="D3093">
        <v>15</v>
      </c>
      <c r="E3093">
        <v>3</v>
      </c>
      <c r="F3093">
        <v>5</v>
      </c>
      <c r="G3093">
        <v>83.3</v>
      </c>
    </row>
    <row r="3094" spans="1:7">
      <c r="A3094">
        <v>258</v>
      </c>
      <c r="B3094" s="1">
        <v>46174</v>
      </c>
      <c r="C3094">
        <v>20</v>
      </c>
      <c r="D3094">
        <v>18</v>
      </c>
      <c r="E3094">
        <v>2</v>
      </c>
      <c r="F3094">
        <v>5</v>
      </c>
      <c r="G3094">
        <v>90</v>
      </c>
    </row>
    <row r="3095" spans="1:7">
      <c r="A3095">
        <v>258</v>
      </c>
      <c r="B3095" s="1">
        <v>46204</v>
      </c>
      <c r="C3095">
        <v>20</v>
      </c>
      <c r="D3095">
        <v>18</v>
      </c>
      <c r="E3095">
        <v>2</v>
      </c>
      <c r="F3095">
        <v>2</v>
      </c>
      <c r="G3095">
        <v>90</v>
      </c>
    </row>
    <row r="3096" spans="1:7">
      <c r="A3096">
        <v>258</v>
      </c>
      <c r="B3096" s="1">
        <v>46235</v>
      </c>
      <c r="C3096">
        <v>18</v>
      </c>
      <c r="D3096">
        <v>11</v>
      </c>
      <c r="E3096">
        <v>7</v>
      </c>
      <c r="F3096">
        <v>6</v>
      </c>
      <c r="G3096">
        <v>61.1</v>
      </c>
    </row>
    <row r="3097" spans="1:7">
      <c r="A3097">
        <v>258</v>
      </c>
      <c r="B3097" s="1">
        <v>46266</v>
      </c>
      <c r="C3097">
        <v>21</v>
      </c>
      <c r="D3097">
        <v>19</v>
      </c>
      <c r="E3097">
        <v>2</v>
      </c>
      <c r="F3097">
        <v>4</v>
      </c>
      <c r="G3097">
        <v>90.5</v>
      </c>
    </row>
    <row r="3098" spans="1:7">
      <c r="A3098">
        <v>259</v>
      </c>
      <c r="B3098" s="1">
        <v>45931</v>
      </c>
      <c r="C3098">
        <v>21</v>
      </c>
      <c r="D3098">
        <v>21</v>
      </c>
      <c r="E3098">
        <v>0</v>
      </c>
      <c r="F3098">
        <v>0</v>
      </c>
      <c r="G3098">
        <v>100</v>
      </c>
    </row>
    <row r="3099" spans="1:7">
      <c r="A3099">
        <v>259</v>
      </c>
      <c r="B3099" s="1">
        <v>45962</v>
      </c>
      <c r="C3099">
        <v>18</v>
      </c>
      <c r="D3099">
        <v>17</v>
      </c>
      <c r="E3099">
        <v>1</v>
      </c>
      <c r="F3099">
        <v>2</v>
      </c>
      <c r="G3099">
        <v>94.4</v>
      </c>
    </row>
    <row r="3100" spans="1:7">
      <c r="A3100">
        <v>259</v>
      </c>
      <c r="B3100" s="1">
        <v>45992</v>
      </c>
      <c r="C3100">
        <v>18</v>
      </c>
      <c r="D3100">
        <v>18</v>
      </c>
      <c r="E3100">
        <v>0</v>
      </c>
      <c r="F3100">
        <v>1</v>
      </c>
      <c r="G3100">
        <v>100</v>
      </c>
    </row>
    <row r="3101" spans="1:7">
      <c r="A3101">
        <v>259</v>
      </c>
      <c r="B3101" s="1">
        <v>46023</v>
      </c>
      <c r="C3101">
        <v>19</v>
      </c>
      <c r="D3101">
        <v>19</v>
      </c>
      <c r="E3101">
        <v>0</v>
      </c>
      <c r="F3101">
        <v>0</v>
      </c>
      <c r="G3101">
        <v>100</v>
      </c>
    </row>
    <row r="3102" spans="1:7">
      <c r="A3102">
        <v>259</v>
      </c>
      <c r="B3102" s="1">
        <v>46054</v>
      </c>
      <c r="C3102">
        <v>21</v>
      </c>
      <c r="D3102">
        <v>20</v>
      </c>
      <c r="E3102">
        <v>1</v>
      </c>
      <c r="F3102">
        <v>3</v>
      </c>
      <c r="G3102">
        <v>95.2</v>
      </c>
    </row>
    <row r="3103" spans="1:7">
      <c r="A3103">
        <v>259</v>
      </c>
      <c r="B3103" s="1">
        <v>46082</v>
      </c>
      <c r="C3103">
        <v>18</v>
      </c>
      <c r="D3103">
        <v>18</v>
      </c>
      <c r="E3103">
        <v>0</v>
      </c>
      <c r="F3103">
        <v>2</v>
      </c>
      <c r="G3103">
        <v>100</v>
      </c>
    </row>
    <row r="3104" spans="1:7">
      <c r="A3104">
        <v>259</v>
      </c>
      <c r="B3104" s="1">
        <v>46113</v>
      </c>
      <c r="C3104">
        <v>18</v>
      </c>
      <c r="D3104">
        <v>16</v>
      </c>
      <c r="E3104">
        <v>2</v>
      </c>
      <c r="F3104">
        <v>1</v>
      </c>
      <c r="G3104">
        <v>88.9</v>
      </c>
    </row>
    <row r="3105" spans="1:7">
      <c r="A3105">
        <v>259</v>
      </c>
      <c r="B3105" s="1">
        <v>46143</v>
      </c>
      <c r="C3105">
        <v>22</v>
      </c>
      <c r="D3105">
        <v>22</v>
      </c>
      <c r="E3105">
        <v>0</v>
      </c>
      <c r="F3105">
        <v>0</v>
      </c>
      <c r="G3105">
        <v>100</v>
      </c>
    </row>
    <row r="3106" spans="1:7">
      <c r="A3106">
        <v>259</v>
      </c>
      <c r="B3106" s="1">
        <v>46174</v>
      </c>
      <c r="C3106">
        <v>20</v>
      </c>
      <c r="D3106">
        <v>17</v>
      </c>
      <c r="E3106">
        <v>3</v>
      </c>
      <c r="F3106">
        <v>2</v>
      </c>
      <c r="G3106">
        <v>85</v>
      </c>
    </row>
    <row r="3107" spans="1:7">
      <c r="A3107">
        <v>259</v>
      </c>
      <c r="B3107" s="1">
        <v>46204</v>
      </c>
      <c r="C3107">
        <v>19</v>
      </c>
      <c r="D3107">
        <v>19</v>
      </c>
      <c r="E3107">
        <v>0</v>
      </c>
      <c r="F3107">
        <v>2</v>
      </c>
      <c r="G3107">
        <v>100</v>
      </c>
    </row>
    <row r="3108" spans="1:7">
      <c r="A3108">
        <v>259</v>
      </c>
      <c r="B3108" s="1">
        <v>46235</v>
      </c>
      <c r="C3108">
        <v>22</v>
      </c>
      <c r="D3108">
        <v>18</v>
      </c>
      <c r="E3108">
        <v>4</v>
      </c>
      <c r="F3108">
        <v>3</v>
      </c>
      <c r="G3108">
        <v>81.8</v>
      </c>
    </row>
    <row r="3109" spans="1:7">
      <c r="A3109">
        <v>259</v>
      </c>
      <c r="B3109" s="1">
        <v>46266</v>
      </c>
      <c r="C3109">
        <v>18</v>
      </c>
      <c r="D3109">
        <v>17</v>
      </c>
      <c r="E3109">
        <v>1</v>
      </c>
      <c r="F3109">
        <v>0</v>
      </c>
      <c r="G3109">
        <v>94.4</v>
      </c>
    </row>
    <row r="3110" spans="1:7">
      <c r="A3110">
        <v>260</v>
      </c>
      <c r="B3110" s="1">
        <v>45931</v>
      </c>
      <c r="C3110">
        <v>19</v>
      </c>
      <c r="D3110">
        <v>13</v>
      </c>
      <c r="E3110">
        <v>6</v>
      </c>
      <c r="F3110">
        <v>5</v>
      </c>
      <c r="G3110">
        <v>68.400000000000006</v>
      </c>
    </row>
    <row r="3111" spans="1:7">
      <c r="A3111">
        <v>260</v>
      </c>
      <c r="B3111" s="1">
        <v>45962</v>
      </c>
      <c r="C3111">
        <v>20</v>
      </c>
      <c r="D3111">
        <v>17</v>
      </c>
      <c r="E3111">
        <v>3</v>
      </c>
      <c r="F3111">
        <v>0</v>
      </c>
      <c r="G3111">
        <v>85</v>
      </c>
    </row>
    <row r="3112" spans="1:7">
      <c r="A3112">
        <v>260</v>
      </c>
      <c r="B3112" s="1">
        <v>45992</v>
      </c>
      <c r="C3112">
        <v>19</v>
      </c>
      <c r="D3112">
        <v>15</v>
      </c>
      <c r="E3112">
        <v>4</v>
      </c>
      <c r="F3112">
        <v>1</v>
      </c>
      <c r="G3112">
        <v>78.900000000000006</v>
      </c>
    </row>
    <row r="3113" spans="1:7">
      <c r="A3113">
        <v>260</v>
      </c>
      <c r="B3113" s="1">
        <v>46023</v>
      </c>
      <c r="C3113">
        <v>22</v>
      </c>
      <c r="D3113">
        <v>16</v>
      </c>
      <c r="E3113">
        <v>6</v>
      </c>
      <c r="F3113">
        <v>3</v>
      </c>
      <c r="G3113">
        <v>72.7</v>
      </c>
    </row>
    <row r="3114" spans="1:7">
      <c r="A3114">
        <v>260</v>
      </c>
      <c r="B3114" s="1">
        <v>46054</v>
      </c>
      <c r="C3114">
        <v>19</v>
      </c>
      <c r="D3114">
        <v>16</v>
      </c>
      <c r="E3114">
        <v>3</v>
      </c>
      <c r="F3114">
        <v>0</v>
      </c>
      <c r="G3114">
        <v>84.2</v>
      </c>
    </row>
    <row r="3115" spans="1:7">
      <c r="A3115">
        <v>260</v>
      </c>
      <c r="B3115" s="1">
        <v>46082</v>
      </c>
      <c r="C3115">
        <v>20</v>
      </c>
      <c r="D3115">
        <v>18</v>
      </c>
      <c r="E3115">
        <v>2</v>
      </c>
      <c r="F3115">
        <v>2</v>
      </c>
      <c r="G3115">
        <v>90</v>
      </c>
    </row>
    <row r="3116" spans="1:7">
      <c r="A3116">
        <v>260</v>
      </c>
      <c r="B3116" s="1">
        <v>46113</v>
      </c>
      <c r="C3116">
        <v>22</v>
      </c>
      <c r="D3116">
        <v>18</v>
      </c>
      <c r="E3116">
        <v>4</v>
      </c>
      <c r="F3116">
        <v>4</v>
      </c>
      <c r="G3116">
        <v>81.8</v>
      </c>
    </row>
    <row r="3117" spans="1:7">
      <c r="A3117">
        <v>260</v>
      </c>
      <c r="B3117" s="1">
        <v>46143</v>
      </c>
      <c r="C3117">
        <v>18</v>
      </c>
      <c r="D3117">
        <v>11</v>
      </c>
      <c r="E3117">
        <v>7</v>
      </c>
      <c r="F3117">
        <v>4</v>
      </c>
      <c r="G3117">
        <v>61.1</v>
      </c>
    </row>
    <row r="3118" spans="1:7">
      <c r="A3118">
        <v>260</v>
      </c>
      <c r="B3118" s="1">
        <v>46174</v>
      </c>
      <c r="C3118">
        <v>21</v>
      </c>
      <c r="D3118">
        <v>12</v>
      </c>
      <c r="E3118">
        <v>9</v>
      </c>
      <c r="F3118">
        <v>1</v>
      </c>
      <c r="G3118">
        <v>57.1</v>
      </c>
    </row>
    <row r="3119" spans="1:7">
      <c r="A3119">
        <v>260</v>
      </c>
      <c r="B3119" s="1">
        <v>46204</v>
      </c>
      <c r="C3119">
        <v>18</v>
      </c>
      <c r="D3119">
        <v>11</v>
      </c>
      <c r="E3119">
        <v>7</v>
      </c>
      <c r="F3119">
        <v>1</v>
      </c>
      <c r="G3119">
        <v>61.1</v>
      </c>
    </row>
    <row r="3120" spans="1:7">
      <c r="A3120">
        <v>260</v>
      </c>
      <c r="B3120" s="1">
        <v>46235</v>
      </c>
      <c r="C3120">
        <v>20</v>
      </c>
      <c r="D3120">
        <v>19</v>
      </c>
      <c r="E3120">
        <v>1</v>
      </c>
      <c r="F3120">
        <v>1</v>
      </c>
      <c r="G3120">
        <v>95</v>
      </c>
    </row>
    <row r="3121" spans="1:7">
      <c r="A3121">
        <v>260</v>
      </c>
      <c r="B3121" s="1">
        <v>46266</v>
      </c>
      <c r="C3121">
        <v>18</v>
      </c>
      <c r="D3121">
        <v>16</v>
      </c>
      <c r="E3121">
        <v>2</v>
      </c>
      <c r="F3121">
        <v>1</v>
      </c>
      <c r="G3121">
        <v>88.9</v>
      </c>
    </row>
    <row r="3122" spans="1:7">
      <c r="A3122">
        <v>261</v>
      </c>
      <c r="B3122" s="1">
        <v>45931</v>
      </c>
      <c r="C3122">
        <v>20</v>
      </c>
      <c r="D3122">
        <v>18</v>
      </c>
      <c r="E3122">
        <v>2</v>
      </c>
      <c r="F3122">
        <v>1</v>
      </c>
      <c r="G3122">
        <v>90</v>
      </c>
    </row>
    <row r="3123" spans="1:7">
      <c r="A3123">
        <v>261</v>
      </c>
      <c r="B3123" s="1">
        <v>45962</v>
      </c>
      <c r="C3123">
        <v>20</v>
      </c>
      <c r="D3123">
        <v>13</v>
      </c>
      <c r="E3123">
        <v>7</v>
      </c>
      <c r="F3123">
        <v>6</v>
      </c>
      <c r="G3123">
        <v>65</v>
      </c>
    </row>
    <row r="3124" spans="1:7">
      <c r="A3124">
        <v>261</v>
      </c>
      <c r="B3124" s="1">
        <v>45992</v>
      </c>
      <c r="C3124">
        <v>19</v>
      </c>
      <c r="D3124">
        <v>13</v>
      </c>
      <c r="E3124">
        <v>6</v>
      </c>
      <c r="F3124">
        <v>2</v>
      </c>
      <c r="G3124">
        <v>68.400000000000006</v>
      </c>
    </row>
    <row r="3125" spans="1:7">
      <c r="A3125">
        <v>261</v>
      </c>
      <c r="B3125" s="1">
        <v>46023</v>
      </c>
      <c r="C3125">
        <v>18</v>
      </c>
      <c r="D3125">
        <v>15</v>
      </c>
      <c r="E3125">
        <v>3</v>
      </c>
      <c r="F3125">
        <v>3</v>
      </c>
      <c r="G3125">
        <v>83.3</v>
      </c>
    </row>
    <row r="3126" spans="1:7">
      <c r="A3126">
        <v>261</v>
      </c>
      <c r="B3126" s="1">
        <v>46054</v>
      </c>
      <c r="C3126">
        <v>20</v>
      </c>
      <c r="D3126">
        <v>14</v>
      </c>
      <c r="E3126">
        <v>6</v>
      </c>
      <c r="F3126">
        <v>2</v>
      </c>
      <c r="G3126">
        <v>70</v>
      </c>
    </row>
    <row r="3127" spans="1:7">
      <c r="A3127">
        <v>261</v>
      </c>
      <c r="B3127" s="1">
        <v>46082</v>
      </c>
      <c r="C3127">
        <v>21</v>
      </c>
      <c r="D3127">
        <v>14</v>
      </c>
      <c r="E3127">
        <v>7</v>
      </c>
      <c r="F3127">
        <v>1</v>
      </c>
      <c r="G3127">
        <v>66.7</v>
      </c>
    </row>
    <row r="3128" spans="1:7">
      <c r="A3128">
        <v>261</v>
      </c>
      <c r="B3128" s="1">
        <v>46113</v>
      </c>
      <c r="C3128">
        <v>19</v>
      </c>
      <c r="D3128">
        <v>13</v>
      </c>
      <c r="E3128">
        <v>6</v>
      </c>
      <c r="F3128">
        <v>2</v>
      </c>
      <c r="G3128">
        <v>68.400000000000006</v>
      </c>
    </row>
    <row r="3129" spans="1:7">
      <c r="A3129">
        <v>261</v>
      </c>
      <c r="B3129" s="1">
        <v>46143</v>
      </c>
      <c r="C3129">
        <v>20</v>
      </c>
      <c r="D3129">
        <v>13</v>
      </c>
      <c r="E3129">
        <v>7</v>
      </c>
      <c r="F3129">
        <v>5</v>
      </c>
      <c r="G3129">
        <v>65</v>
      </c>
    </row>
    <row r="3130" spans="1:7">
      <c r="A3130">
        <v>261</v>
      </c>
      <c r="B3130" s="1">
        <v>46174</v>
      </c>
      <c r="C3130">
        <v>21</v>
      </c>
      <c r="D3130">
        <v>15</v>
      </c>
      <c r="E3130">
        <v>6</v>
      </c>
      <c r="F3130">
        <v>4</v>
      </c>
      <c r="G3130">
        <v>71.400000000000006</v>
      </c>
    </row>
    <row r="3131" spans="1:7">
      <c r="A3131">
        <v>261</v>
      </c>
      <c r="B3131" s="1">
        <v>46204</v>
      </c>
      <c r="C3131">
        <v>20</v>
      </c>
      <c r="D3131">
        <v>12</v>
      </c>
      <c r="E3131">
        <v>8</v>
      </c>
      <c r="F3131">
        <v>2</v>
      </c>
      <c r="G3131">
        <v>60</v>
      </c>
    </row>
    <row r="3132" spans="1:7">
      <c r="A3132">
        <v>261</v>
      </c>
      <c r="B3132" s="1">
        <v>46235</v>
      </c>
      <c r="C3132">
        <v>22</v>
      </c>
      <c r="D3132">
        <v>19</v>
      </c>
      <c r="E3132">
        <v>3</v>
      </c>
      <c r="F3132">
        <v>6</v>
      </c>
      <c r="G3132">
        <v>86.4</v>
      </c>
    </row>
    <row r="3133" spans="1:7">
      <c r="A3133">
        <v>261</v>
      </c>
      <c r="B3133" s="1">
        <v>46266</v>
      </c>
      <c r="C3133">
        <v>19</v>
      </c>
      <c r="D3133">
        <v>12</v>
      </c>
      <c r="E3133">
        <v>7</v>
      </c>
      <c r="F3133">
        <v>0</v>
      </c>
      <c r="G3133">
        <v>63.2</v>
      </c>
    </row>
    <row r="3134" spans="1:7">
      <c r="A3134">
        <v>262</v>
      </c>
      <c r="B3134" s="1">
        <v>45931</v>
      </c>
      <c r="C3134">
        <v>22</v>
      </c>
      <c r="D3134">
        <v>22</v>
      </c>
      <c r="E3134">
        <v>0</v>
      </c>
      <c r="F3134">
        <v>1</v>
      </c>
      <c r="G3134">
        <v>100</v>
      </c>
    </row>
    <row r="3135" spans="1:7">
      <c r="A3135">
        <v>262</v>
      </c>
      <c r="B3135" s="1">
        <v>45962</v>
      </c>
      <c r="C3135">
        <v>21</v>
      </c>
      <c r="D3135">
        <v>19</v>
      </c>
      <c r="E3135">
        <v>2</v>
      </c>
      <c r="F3135">
        <v>2</v>
      </c>
      <c r="G3135">
        <v>90.5</v>
      </c>
    </row>
    <row r="3136" spans="1:7">
      <c r="A3136">
        <v>262</v>
      </c>
      <c r="B3136" s="1">
        <v>45992</v>
      </c>
      <c r="C3136">
        <v>20</v>
      </c>
      <c r="D3136">
        <v>18</v>
      </c>
      <c r="E3136">
        <v>2</v>
      </c>
      <c r="F3136">
        <v>4</v>
      </c>
      <c r="G3136">
        <v>90</v>
      </c>
    </row>
    <row r="3137" spans="1:7">
      <c r="A3137">
        <v>262</v>
      </c>
      <c r="B3137" s="1">
        <v>46023</v>
      </c>
      <c r="C3137">
        <v>22</v>
      </c>
      <c r="D3137">
        <v>18</v>
      </c>
      <c r="E3137">
        <v>4</v>
      </c>
      <c r="F3137">
        <v>6</v>
      </c>
      <c r="G3137">
        <v>81.8</v>
      </c>
    </row>
    <row r="3138" spans="1:7">
      <c r="A3138">
        <v>262</v>
      </c>
      <c r="B3138" s="1">
        <v>46054</v>
      </c>
      <c r="C3138">
        <v>20</v>
      </c>
      <c r="D3138">
        <v>16</v>
      </c>
      <c r="E3138">
        <v>4</v>
      </c>
      <c r="F3138">
        <v>2</v>
      </c>
      <c r="G3138">
        <v>80</v>
      </c>
    </row>
    <row r="3139" spans="1:7">
      <c r="A3139">
        <v>262</v>
      </c>
      <c r="B3139" s="1">
        <v>46082</v>
      </c>
      <c r="C3139">
        <v>19</v>
      </c>
      <c r="D3139">
        <v>16</v>
      </c>
      <c r="E3139">
        <v>3</v>
      </c>
      <c r="F3139">
        <v>3</v>
      </c>
      <c r="G3139">
        <v>84.2</v>
      </c>
    </row>
    <row r="3140" spans="1:7">
      <c r="A3140">
        <v>262</v>
      </c>
      <c r="B3140" s="1">
        <v>46113</v>
      </c>
      <c r="C3140">
        <v>20</v>
      </c>
      <c r="D3140">
        <v>18</v>
      </c>
      <c r="E3140">
        <v>2</v>
      </c>
      <c r="F3140">
        <v>5</v>
      </c>
      <c r="G3140">
        <v>90</v>
      </c>
    </row>
    <row r="3141" spans="1:7">
      <c r="A3141">
        <v>262</v>
      </c>
      <c r="B3141" s="1">
        <v>46143</v>
      </c>
      <c r="C3141">
        <v>19</v>
      </c>
      <c r="D3141">
        <v>18</v>
      </c>
      <c r="E3141">
        <v>1</v>
      </c>
      <c r="F3141">
        <v>3</v>
      </c>
      <c r="G3141">
        <v>94.7</v>
      </c>
    </row>
    <row r="3142" spans="1:7">
      <c r="A3142">
        <v>262</v>
      </c>
      <c r="B3142" s="1">
        <v>46174</v>
      </c>
      <c r="C3142">
        <v>19</v>
      </c>
      <c r="D3142">
        <v>19</v>
      </c>
      <c r="E3142">
        <v>0</v>
      </c>
      <c r="F3142">
        <v>3</v>
      </c>
      <c r="G3142">
        <v>100</v>
      </c>
    </row>
    <row r="3143" spans="1:7">
      <c r="A3143">
        <v>262</v>
      </c>
      <c r="B3143" s="1">
        <v>46204</v>
      </c>
      <c r="C3143">
        <v>22</v>
      </c>
      <c r="D3143">
        <v>21</v>
      </c>
      <c r="E3143">
        <v>1</v>
      </c>
      <c r="F3143">
        <v>0</v>
      </c>
      <c r="G3143">
        <v>95.5</v>
      </c>
    </row>
    <row r="3144" spans="1:7">
      <c r="A3144">
        <v>262</v>
      </c>
      <c r="B3144" s="1">
        <v>46235</v>
      </c>
      <c r="C3144">
        <v>20</v>
      </c>
      <c r="D3144">
        <v>20</v>
      </c>
      <c r="E3144">
        <v>0</v>
      </c>
      <c r="F3144">
        <v>0</v>
      </c>
      <c r="G3144">
        <v>100</v>
      </c>
    </row>
    <row r="3145" spans="1:7">
      <c r="A3145">
        <v>262</v>
      </c>
      <c r="B3145" s="1">
        <v>46266</v>
      </c>
      <c r="C3145">
        <v>19</v>
      </c>
      <c r="D3145">
        <v>19</v>
      </c>
      <c r="E3145">
        <v>0</v>
      </c>
      <c r="F3145">
        <v>3</v>
      </c>
      <c r="G3145">
        <v>100</v>
      </c>
    </row>
    <row r="3146" spans="1:7">
      <c r="A3146">
        <v>263</v>
      </c>
      <c r="B3146" s="1">
        <v>45931</v>
      </c>
      <c r="C3146">
        <v>21</v>
      </c>
      <c r="D3146">
        <v>21</v>
      </c>
      <c r="E3146">
        <v>0</v>
      </c>
      <c r="F3146">
        <v>0</v>
      </c>
      <c r="G3146">
        <v>100</v>
      </c>
    </row>
    <row r="3147" spans="1:7">
      <c r="A3147">
        <v>263</v>
      </c>
      <c r="B3147" s="1">
        <v>45962</v>
      </c>
      <c r="C3147">
        <v>19</v>
      </c>
      <c r="D3147">
        <v>16</v>
      </c>
      <c r="E3147">
        <v>3</v>
      </c>
      <c r="F3147">
        <v>2</v>
      </c>
      <c r="G3147">
        <v>84.2</v>
      </c>
    </row>
    <row r="3148" spans="1:7">
      <c r="A3148">
        <v>263</v>
      </c>
      <c r="B3148" s="1">
        <v>45992</v>
      </c>
      <c r="C3148">
        <v>20</v>
      </c>
      <c r="D3148">
        <v>18</v>
      </c>
      <c r="E3148">
        <v>2</v>
      </c>
      <c r="F3148">
        <v>0</v>
      </c>
      <c r="G3148">
        <v>90</v>
      </c>
    </row>
    <row r="3149" spans="1:7">
      <c r="A3149">
        <v>263</v>
      </c>
      <c r="B3149" s="1">
        <v>46023</v>
      </c>
      <c r="C3149">
        <v>21</v>
      </c>
      <c r="D3149">
        <v>19</v>
      </c>
      <c r="E3149">
        <v>2</v>
      </c>
      <c r="F3149">
        <v>4</v>
      </c>
      <c r="G3149">
        <v>90.5</v>
      </c>
    </row>
    <row r="3150" spans="1:7">
      <c r="A3150">
        <v>263</v>
      </c>
      <c r="B3150" s="1">
        <v>46054</v>
      </c>
      <c r="C3150">
        <v>21</v>
      </c>
      <c r="D3150">
        <v>21</v>
      </c>
      <c r="E3150">
        <v>0</v>
      </c>
      <c r="F3150">
        <v>3</v>
      </c>
      <c r="G3150">
        <v>100</v>
      </c>
    </row>
    <row r="3151" spans="1:7">
      <c r="A3151">
        <v>263</v>
      </c>
      <c r="B3151" s="1">
        <v>46082</v>
      </c>
      <c r="C3151">
        <v>21</v>
      </c>
      <c r="D3151">
        <v>21</v>
      </c>
      <c r="E3151">
        <v>0</v>
      </c>
      <c r="F3151">
        <v>1</v>
      </c>
      <c r="G3151">
        <v>100</v>
      </c>
    </row>
    <row r="3152" spans="1:7">
      <c r="A3152">
        <v>263</v>
      </c>
      <c r="B3152" s="1">
        <v>46113</v>
      </c>
      <c r="C3152">
        <v>20</v>
      </c>
      <c r="D3152">
        <v>20</v>
      </c>
      <c r="E3152">
        <v>0</v>
      </c>
      <c r="F3152">
        <v>3</v>
      </c>
      <c r="G3152">
        <v>100</v>
      </c>
    </row>
    <row r="3153" spans="1:7">
      <c r="A3153">
        <v>263</v>
      </c>
      <c r="B3153" s="1">
        <v>46143</v>
      </c>
      <c r="C3153">
        <v>21</v>
      </c>
      <c r="D3153">
        <v>21</v>
      </c>
      <c r="E3153">
        <v>0</v>
      </c>
      <c r="F3153">
        <v>2</v>
      </c>
      <c r="G3153">
        <v>100</v>
      </c>
    </row>
    <row r="3154" spans="1:7">
      <c r="A3154">
        <v>263</v>
      </c>
      <c r="B3154" s="1">
        <v>46174</v>
      </c>
      <c r="C3154">
        <v>18</v>
      </c>
      <c r="D3154">
        <v>14</v>
      </c>
      <c r="E3154">
        <v>4</v>
      </c>
      <c r="F3154">
        <v>6</v>
      </c>
      <c r="G3154">
        <v>77.8</v>
      </c>
    </row>
    <row r="3155" spans="1:7">
      <c r="A3155">
        <v>263</v>
      </c>
      <c r="B3155" s="1">
        <v>46204</v>
      </c>
      <c r="C3155">
        <v>22</v>
      </c>
      <c r="D3155">
        <v>22</v>
      </c>
      <c r="E3155">
        <v>0</v>
      </c>
      <c r="F3155">
        <v>0</v>
      </c>
      <c r="G3155">
        <v>100</v>
      </c>
    </row>
    <row r="3156" spans="1:7">
      <c r="A3156">
        <v>263</v>
      </c>
      <c r="B3156" s="1">
        <v>46235</v>
      </c>
      <c r="C3156">
        <v>21</v>
      </c>
      <c r="D3156">
        <v>21</v>
      </c>
      <c r="E3156">
        <v>0</v>
      </c>
      <c r="F3156">
        <v>3</v>
      </c>
      <c r="G3156">
        <v>100</v>
      </c>
    </row>
    <row r="3157" spans="1:7">
      <c r="A3157">
        <v>263</v>
      </c>
      <c r="B3157" s="1">
        <v>46266</v>
      </c>
      <c r="C3157">
        <v>22</v>
      </c>
      <c r="D3157">
        <v>21</v>
      </c>
      <c r="E3157">
        <v>1</v>
      </c>
      <c r="F3157">
        <v>0</v>
      </c>
      <c r="G3157">
        <v>95.5</v>
      </c>
    </row>
    <row r="3158" spans="1:7">
      <c r="A3158">
        <v>264</v>
      </c>
      <c r="B3158" s="1">
        <v>45931</v>
      </c>
      <c r="C3158">
        <v>19</v>
      </c>
      <c r="D3158">
        <v>19</v>
      </c>
      <c r="E3158">
        <v>0</v>
      </c>
      <c r="F3158">
        <v>1</v>
      </c>
      <c r="G3158">
        <v>100</v>
      </c>
    </row>
    <row r="3159" spans="1:7">
      <c r="A3159">
        <v>264</v>
      </c>
      <c r="B3159" s="1">
        <v>45962</v>
      </c>
      <c r="C3159">
        <v>22</v>
      </c>
      <c r="D3159">
        <v>22</v>
      </c>
      <c r="E3159">
        <v>0</v>
      </c>
      <c r="F3159">
        <v>1</v>
      </c>
      <c r="G3159">
        <v>100</v>
      </c>
    </row>
    <row r="3160" spans="1:7">
      <c r="A3160">
        <v>264</v>
      </c>
      <c r="B3160" s="1">
        <v>45992</v>
      </c>
      <c r="C3160">
        <v>19</v>
      </c>
      <c r="D3160">
        <v>19</v>
      </c>
      <c r="E3160">
        <v>0</v>
      </c>
      <c r="F3160">
        <v>0</v>
      </c>
      <c r="G3160">
        <v>100</v>
      </c>
    </row>
    <row r="3161" spans="1:7">
      <c r="A3161">
        <v>264</v>
      </c>
      <c r="B3161" s="1">
        <v>46023</v>
      </c>
      <c r="C3161">
        <v>18</v>
      </c>
      <c r="D3161">
        <v>18</v>
      </c>
      <c r="E3161">
        <v>0</v>
      </c>
      <c r="F3161">
        <v>2</v>
      </c>
      <c r="G3161">
        <v>100</v>
      </c>
    </row>
    <row r="3162" spans="1:7">
      <c r="A3162">
        <v>264</v>
      </c>
      <c r="B3162" s="1">
        <v>46054</v>
      </c>
      <c r="C3162">
        <v>19</v>
      </c>
      <c r="D3162">
        <v>18</v>
      </c>
      <c r="E3162">
        <v>1</v>
      </c>
      <c r="F3162">
        <v>1</v>
      </c>
      <c r="G3162">
        <v>94.7</v>
      </c>
    </row>
    <row r="3163" spans="1:7">
      <c r="A3163">
        <v>264</v>
      </c>
      <c r="B3163" s="1">
        <v>46082</v>
      </c>
      <c r="C3163">
        <v>21</v>
      </c>
      <c r="D3163">
        <v>21</v>
      </c>
      <c r="E3163">
        <v>0</v>
      </c>
      <c r="F3163">
        <v>0</v>
      </c>
      <c r="G3163">
        <v>100</v>
      </c>
    </row>
    <row r="3164" spans="1:7">
      <c r="A3164">
        <v>264</v>
      </c>
      <c r="B3164" s="1">
        <v>46113</v>
      </c>
      <c r="C3164">
        <v>19</v>
      </c>
      <c r="D3164">
        <v>19</v>
      </c>
      <c r="E3164">
        <v>0</v>
      </c>
      <c r="F3164">
        <v>2</v>
      </c>
      <c r="G3164">
        <v>100</v>
      </c>
    </row>
    <row r="3165" spans="1:7">
      <c r="A3165">
        <v>264</v>
      </c>
      <c r="B3165" s="1">
        <v>46143</v>
      </c>
      <c r="C3165">
        <v>18</v>
      </c>
      <c r="D3165">
        <v>17</v>
      </c>
      <c r="E3165">
        <v>1</v>
      </c>
      <c r="F3165">
        <v>1</v>
      </c>
      <c r="G3165">
        <v>94.4</v>
      </c>
    </row>
    <row r="3166" spans="1:7">
      <c r="A3166">
        <v>264</v>
      </c>
      <c r="B3166" s="1">
        <v>46174</v>
      </c>
      <c r="C3166">
        <v>19</v>
      </c>
      <c r="D3166">
        <v>18</v>
      </c>
      <c r="E3166">
        <v>1</v>
      </c>
      <c r="F3166">
        <v>1</v>
      </c>
      <c r="G3166">
        <v>94.7</v>
      </c>
    </row>
    <row r="3167" spans="1:7">
      <c r="A3167">
        <v>264</v>
      </c>
      <c r="B3167" s="1">
        <v>46204</v>
      </c>
      <c r="C3167">
        <v>19</v>
      </c>
      <c r="D3167">
        <v>19</v>
      </c>
      <c r="E3167">
        <v>0</v>
      </c>
      <c r="F3167">
        <v>2</v>
      </c>
      <c r="G3167">
        <v>100</v>
      </c>
    </row>
    <row r="3168" spans="1:7">
      <c r="A3168">
        <v>264</v>
      </c>
      <c r="B3168" s="1">
        <v>46235</v>
      </c>
      <c r="C3168">
        <v>18</v>
      </c>
      <c r="D3168">
        <v>18</v>
      </c>
      <c r="E3168">
        <v>0</v>
      </c>
      <c r="F3168">
        <v>3</v>
      </c>
      <c r="G3168">
        <v>100</v>
      </c>
    </row>
    <row r="3169" spans="1:7">
      <c r="A3169">
        <v>264</v>
      </c>
      <c r="B3169" s="1">
        <v>46266</v>
      </c>
      <c r="C3169">
        <v>22</v>
      </c>
      <c r="D3169">
        <v>22</v>
      </c>
      <c r="E3169">
        <v>0</v>
      </c>
      <c r="F3169">
        <v>3</v>
      </c>
      <c r="G3169">
        <v>100</v>
      </c>
    </row>
    <row r="3170" spans="1:7">
      <c r="A3170">
        <v>265</v>
      </c>
      <c r="B3170" s="1">
        <v>45931</v>
      </c>
      <c r="C3170">
        <v>19</v>
      </c>
      <c r="D3170">
        <v>14</v>
      </c>
      <c r="E3170">
        <v>5</v>
      </c>
      <c r="F3170">
        <v>6</v>
      </c>
      <c r="G3170">
        <v>73.7</v>
      </c>
    </row>
    <row r="3171" spans="1:7">
      <c r="A3171">
        <v>265</v>
      </c>
      <c r="B3171" s="1">
        <v>45962</v>
      </c>
      <c r="C3171">
        <v>21</v>
      </c>
      <c r="D3171">
        <v>20</v>
      </c>
      <c r="E3171">
        <v>1</v>
      </c>
      <c r="F3171">
        <v>1</v>
      </c>
      <c r="G3171">
        <v>95.2</v>
      </c>
    </row>
    <row r="3172" spans="1:7">
      <c r="A3172">
        <v>265</v>
      </c>
      <c r="B3172" s="1">
        <v>45992</v>
      </c>
      <c r="C3172">
        <v>18</v>
      </c>
      <c r="D3172">
        <v>17</v>
      </c>
      <c r="E3172">
        <v>1</v>
      </c>
      <c r="F3172">
        <v>1</v>
      </c>
      <c r="G3172">
        <v>94.4</v>
      </c>
    </row>
    <row r="3173" spans="1:7">
      <c r="A3173">
        <v>265</v>
      </c>
      <c r="B3173" s="1">
        <v>46023</v>
      </c>
      <c r="C3173">
        <v>21</v>
      </c>
      <c r="D3173">
        <v>17</v>
      </c>
      <c r="E3173">
        <v>4</v>
      </c>
      <c r="F3173">
        <v>6</v>
      </c>
      <c r="G3173">
        <v>81</v>
      </c>
    </row>
    <row r="3174" spans="1:7">
      <c r="A3174">
        <v>265</v>
      </c>
      <c r="B3174" s="1">
        <v>46054</v>
      </c>
      <c r="C3174">
        <v>20</v>
      </c>
      <c r="D3174">
        <v>14</v>
      </c>
      <c r="E3174">
        <v>6</v>
      </c>
      <c r="F3174">
        <v>5</v>
      </c>
      <c r="G3174">
        <v>70</v>
      </c>
    </row>
    <row r="3175" spans="1:7">
      <c r="A3175">
        <v>265</v>
      </c>
      <c r="B3175" s="1">
        <v>46082</v>
      </c>
      <c r="C3175">
        <v>21</v>
      </c>
      <c r="D3175">
        <v>21</v>
      </c>
      <c r="E3175">
        <v>0</v>
      </c>
      <c r="F3175">
        <v>3</v>
      </c>
      <c r="G3175">
        <v>100</v>
      </c>
    </row>
    <row r="3176" spans="1:7">
      <c r="A3176">
        <v>265</v>
      </c>
      <c r="B3176" s="1">
        <v>46113</v>
      </c>
      <c r="C3176">
        <v>22</v>
      </c>
      <c r="D3176">
        <v>17</v>
      </c>
      <c r="E3176">
        <v>5</v>
      </c>
      <c r="F3176">
        <v>5</v>
      </c>
      <c r="G3176">
        <v>77.3</v>
      </c>
    </row>
    <row r="3177" spans="1:7">
      <c r="A3177">
        <v>265</v>
      </c>
      <c r="B3177" s="1">
        <v>46143</v>
      </c>
      <c r="C3177">
        <v>22</v>
      </c>
      <c r="D3177">
        <v>18</v>
      </c>
      <c r="E3177">
        <v>4</v>
      </c>
      <c r="F3177">
        <v>0</v>
      </c>
      <c r="G3177">
        <v>81.8</v>
      </c>
    </row>
    <row r="3178" spans="1:7">
      <c r="A3178">
        <v>265</v>
      </c>
      <c r="B3178" s="1">
        <v>46174</v>
      </c>
      <c r="C3178">
        <v>19</v>
      </c>
      <c r="D3178">
        <v>15</v>
      </c>
      <c r="E3178">
        <v>4</v>
      </c>
      <c r="F3178">
        <v>1</v>
      </c>
      <c r="G3178">
        <v>78.900000000000006</v>
      </c>
    </row>
    <row r="3179" spans="1:7">
      <c r="A3179">
        <v>265</v>
      </c>
      <c r="B3179" s="1">
        <v>46204</v>
      </c>
      <c r="C3179">
        <v>20</v>
      </c>
      <c r="D3179">
        <v>18</v>
      </c>
      <c r="E3179">
        <v>2</v>
      </c>
      <c r="F3179">
        <v>2</v>
      </c>
      <c r="G3179">
        <v>90</v>
      </c>
    </row>
    <row r="3180" spans="1:7">
      <c r="A3180">
        <v>265</v>
      </c>
      <c r="B3180" s="1">
        <v>46235</v>
      </c>
      <c r="C3180">
        <v>20</v>
      </c>
      <c r="D3180">
        <v>17</v>
      </c>
      <c r="E3180">
        <v>3</v>
      </c>
      <c r="F3180">
        <v>4</v>
      </c>
      <c r="G3180">
        <v>85</v>
      </c>
    </row>
    <row r="3181" spans="1:7">
      <c r="A3181">
        <v>265</v>
      </c>
      <c r="B3181" s="1">
        <v>46266</v>
      </c>
      <c r="C3181">
        <v>21</v>
      </c>
      <c r="D3181">
        <v>18</v>
      </c>
      <c r="E3181">
        <v>3</v>
      </c>
      <c r="F3181">
        <v>0</v>
      </c>
      <c r="G3181">
        <v>85.7</v>
      </c>
    </row>
    <row r="3182" spans="1:7">
      <c r="A3182">
        <v>266</v>
      </c>
      <c r="B3182" s="1">
        <v>45931</v>
      </c>
      <c r="C3182">
        <v>19</v>
      </c>
      <c r="D3182">
        <v>14</v>
      </c>
      <c r="E3182">
        <v>5</v>
      </c>
      <c r="F3182">
        <v>1</v>
      </c>
      <c r="G3182">
        <v>73.7</v>
      </c>
    </row>
    <row r="3183" spans="1:7">
      <c r="A3183">
        <v>266</v>
      </c>
      <c r="B3183" s="1">
        <v>45962</v>
      </c>
      <c r="C3183">
        <v>20</v>
      </c>
      <c r="D3183">
        <v>15</v>
      </c>
      <c r="E3183">
        <v>5</v>
      </c>
      <c r="F3183">
        <v>3</v>
      </c>
      <c r="G3183">
        <v>75</v>
      </c>
    </row>
    <row r="3184" spans="1:7">
      <c r="A3184">
        <v>266</v>
      </c>
      <c r="B3184" s="1">
        <v>45992</v>
      </c>
      <c r="C3184">
        <v>18</v>
      </c>
      <c r="D3184">
        <v>15</v>
      </c>
      <c r="E3184">
        <v>3</v>
      </c>
      <c r="F3184">
        <v>3</v>
      </c>
      <c r="G3184">
        <v>83.3</v>
      </c>
    </row>
    <row r="3185" spans="1:7">
      <c r="A3185">
        <v>266</v>
      </c>
      <c r="B3185" s="1">
        <v>46023</v>
      </c>
      <c r="C3185">
        <v>19</v>
      </c>
      <c r="D3185">
        <v>12</v>
      </c>
      <c r="E3185">
        <v>7</v>
      </c>
      <c r="F3185">
        <v>2</v>
      </c>
      <c r="G3185">
        <v>63.2</v>
      </c>
    </row>
    <row r="3186" spans="1:7">
      <c r="A3186">
        <v>266</v>
      </c>
      <c r="B3186" s="1">
        <v>46054</v>
      </c>
      <c r="C3186">
        <v>20</v>
      </c>
      <c r="D3186">
        <v>19</v>
      </c>
      <c r="E3186">
        <v>1</v>
      </c>
      <c r="F3186">
        <v>0</v>
      </c>
      <c r="G3186">
        <v>95</v>
      </c>
    </row>
    <row r="3187" spans="1:7">
      <c r="A3187">
        <v>266</v>
      </c>
      <c r="B3187" s="1">
        <v>46082</v>
      </c>
      <c r="C3187">
        <v>20</v>
      </c>
      <c r="D3187">
        <v>13</v>
      </c>
      <c r="E3187">
        <v>7</v>
      </c>
      <c r="F3187">
        <v>3</v>
      </c>
      <c r="G3187">
        <v>65</v>
      </c>
    </row>
    <row r="3188" spans="1:7">
      <c r="A3188">
        <v>266</v>
      </c>
      <c r="B3188" s="1">
        <v>46113</v>
      </c>
      <c r="C3188">
        <v>19</v>
      </c>
      <c r="D3188">
        <v>13</v>
      </c>
      <c r="E3188">
        <v>6</v>
      </c>
      <c r="F3188">
        <v>6</v>
      </c>
      <c r="G3188">
        <v>68.400000000000006</v>
      </c>
    </row>
    <row r="3189" spans="1:7">
      <c r="A3189">
        <v>266</v>
      </c>
      <c r="B3189" s="1">
        <v>46143</v>
      </c>
      <c r="C3189">
        <v>18</v>
      </c>
      <c r="D3189">
        <v>11</v>
      </c>
      <c r="E3189">
        <v>7</v>
      </c>
      <c r="F3189">
        <v>3</v>
      </c>
      <c r="G3189">
        <v>61.1</v>
      </c>
    </row>
    <row r="3190" spans="1:7">
      <c r="A3190">
        <v>266</v>
      </c>
      <c r="B3190" s="1">
        <v>46174</v>
      </c>
      <c r="C3190">
        <v>18</v>
      </c>
      <c r="D3190">
        <v>16</v>
      </c>
      <c r="E3190">
        <v>2</v>
      </c>
      <c r="F3190">
        <v>5</v>
      </c>
      <c r="G3190">
        <v>88.9</v>
      </c>
    </row>
    <row r="3191" spans="1:7">
      <c r="A3191">
        <v>266</v>
      </c>
      <c r="B3191" s="1">
        <v>46204</v>
      </c>
      <c r="C3191">
        <v>21</v>
      </c>
      <c r="D3191">
        <v>14</v>
      </c>
      <c r="E3191">
        <v>7</v>
      </c>
      <c r="F3191">
        <v>6</v>
      </c>
      <c r="G3191">
        <v>66.7</v>
      </c>
    </row>
    <row r="3192" spans="1:7">
      <c r="A3192">
        <v>266</v>
      </c>
      <c r="B3192" s="1">
        <v>46235</v>
      </c>
      <c r="C3192">
        <v>18</v>
      </c>
      <c r="D3192">
        <v>13</v>
      </c>
      <c r="E3192">
        <v>5</v>
      </c>
      <c r="F3192">
        <v>4</v>
      </c>
      <c r="G3192">
        <v>72.2</v>
      </c>
    </row>
    <row r="3193" spans="1:7">
      <c r="A3193">
        <v>266</v>
      </c>
      <c r="B3193" s="1">
        <v>46266</v>
      </c>
      <c r="C3193">
        <v>21</v>
      </c>
      <c r="D3193">
        <v>16</v>
      </c>
      <c r="E3193">
        <v>5</v>
      </c>
      <c r="F3193">
        <v>5</v>
      </c>
      <c r="G3193">
        <v>76.2</v>
      </c>
    </row>
    <row r="3194" spans="1:7">
      <c r="A3194">
        <v>267</v>
      </c>
      <c r="B3194" s="1">
        <v>45931</v>
      </c>
      <c r="C3194">
        <v>21</v>
      </c>
      <c r="D3194">
        <v>11</v>
      </c>
      <c r="E3194">
        <v>10</v>
      </c>
      <c r="F3194">
        <v>5</v>
      </c>
      <c r="G3194">
        <v>52.4</v>
      </c>
    </row>
    <row r="3195" spans="1:7">
      <c r="A3195">
        <v>267</v>
      </c>
      <c r="B3195" s="1">
        <v>45962</v>
      </c>
      <c r="C3195">
        <v>21</v>
      </c>
      <c r="D3195">
        <v>14</v>
      </c>
      <c r="E3195">
        <v>7</v>
      </c>
      <c r="F3195">
        <v>3</v>
      </c>
      <c r="G3195">
        <v>66.7</v>
      </c>
    </row>
    <row r="3196" spans="1:7">
      <c r="A3196">
        <v>267</v>
      </c>
      <c r="B3196" s="1">
        <v>45992</v>
      </c>
      <c r="C3196">
        <v>18</v>
      </c>
      <c r="D3196">
        <v>12</v>
      </c>
      <c r="E3196">
        <v>6</v>
      </c>
      <c r="F3196">
        <v>5</v>
      </c>
      <c r="G3196">
        <v>66.7</v>
      </c>
    </row>
    <row r="3197" spans="1:7">
      <c r="A3197">
        <v>267</v>
      </c>
      <c r="B3197" s="1">
        <v>46023</v>
      </c>
      <c r="C3197">
        <v>18</v>
      </c>
      <c r="D3197">
        <v>10</v>
      </c>
      <c r="E3197">
        <v>8</v>
      </c>
      <c r="F3197">
        <v>4</v>
      </c>
      <c r="G3197">
        <v>55.6</v>
      </c>
    </row>
    <row r="3198" spans="1:7">
      <c r="A3198">
        <v>267</v>
      </c>
      <c r="B3198" s="1">
        <v>46054</v>
      </c>
      <c r="C3198">
        <v>21</v>
      </c>
      <c r="D3198">
        <v>18</v>
      </c>
      <c r="E3198">
        <v>3</v>
      </c>
      <c r="F3198">
        <v>5</v>
      </c>
      <c r="G3198">
        <v>85.7</v>
      </c>
    </row>
    <row r="3199" spans="1:7">
      <c r="A3199">
        <v>267</v>
      </c>
      <c r="B3199" s="1">
        <v>46082</v>
      </c>
      <c r="C3199">
        <v>20</v>
      </c>
      <c r="D3199">
        <v>13</v>
      </c>
      <c r="E3199">
        <v>7</v>
      </c>
      <c r="F3199">
        <v>6</v>
      </c>
      <c r="G3199">
        <v>65</v>
      </c>
    </row>
    <row r="3200" spans="1:7">
      <c r="A3200">
        <v>267</v>
      </c>
      <c r="B3200" s="1">
        <v>46113</v>
      </c>
      <c r="C3200">
        <v>22</v>
      </c>
      <c r="D3200">
        <v>14</v>
      </c>
      <c r="E3200">
        <v>8</v>
      </c>
      <c r="F3200">
        <v>1</v>
      </c>
      <c r="G3200">
        <v>63.6</v>
      </c>
    </row>
    <row r="3201" spans="1:7">
      <c r="A3201">
        <v>267</v>
      </c>
      <c r="B3201" s="1">
        <v>46143</v>
      </c>
      <c r="C3201">
        <v>21</v>
      </c>
      <c r="D3201">
        <v>14</v>
      </c>
      <c r="E3201">
        <v>7</v>
      </c>
      <c r="F3201">
        <v>4</v>
      </c>
      <c r="G3201">
        <v>66.7</v>
      </c>
    </row>
    <row r="3202" spans="1:7">
      <c r="A3202">
        <v>267</v>
      </c>
      <c r="B3202" s="1">
        <v>46174</v>
      </c>
      <c r="C3202">
        <v>21</v>
      </c>
      <c r="D3202">
        <v>14</v>
      </c>
      <c r="E3202">
        <v>7</v>
      </c>
      <c r="F3202">
        <v>0</v>
      </c>
      <c r="G3202">
        <v>66.7</v>
      </c>
    </row>
    <row r="3203" spans="1:7">
      <c r="A3203">
        <v>267</v>
      </c>
      <c r="B3203" s="1">
        <v>46204</v>
      </c>
      <c r="C3203">
        <v>20</v>
      </c>
      <c r="D3203">
        <v>14</v>
      </c>
      <c r="E3203">
        <v>6</v>
      </c>
      <c r="F3203">
        <v>5</v>
      </c>
      <c r="G3203">
        <v>70</v>
      </c>
    </row>
    <row r="3204" spans="1:7">
      <c r="A3204">
        <v>267</v>
      </c>
      <c r="B3204" s="1">
        <v>46235</v>
      </c>
      <c r="C3204">
        <v>22</v>
      </c>
      <c r="D3204">
        <v>15</v>
      </c>
      <c r="E3204">
        <v>7</v>
      </c>
      <c r="F3204">
        <v>4</v>
      </c>
      <c r="G3204">
        <v>68.2</v>
      </c>
    </row>
    <row r="3205" spans="1:7">
      <c r="A3205">
        <v>267</v>
      </c>
      <c r="B3205" s="1">
        <v>46266</v>
      </c>
      <c r="C3205">
        <v>21</v>
      </c>
      <c r="D3205">
        <v>12</v>
      </c>
      <c r="E3205">
        <v>9</v>
      </c>
      <c r="F3205">
        <v>3</v>
      </c>
      <c r="G3205">
        <v>57.1</v>
      </c>
    </row>
    <row r="3206" spans="1:7">
      <c r="A3206">
        <v>268</v>
      </c>
      <c r="B3206" s="1">
        <v>45931</v>
      </c>
      <c r="C3206">
        <v>18</v>
      </c>
      <c r="D3206">
        <v>13</v>
      </c>
      <c r="E3206">
        <v>5</v>
      </c>
      <c r="F3206">
        <v>6</v>
      </c>
      <c r="G3206">
        <v>72.2</v>
      </c>
    </row>
    <row r="3207" spans="1:7">
      <c r="A3207">
        <v>268</v>
      </c>
      <c r="B3207" s="1">
        <v>45962</v>
      </c>
      <c r="C3207">
        <v>21</v>
      </c>
      <c r="D3207">
        <v>15</v>
      </c>
      <c r="E3207">
        <v>6</v>
      </c>
      <c r="F3207">
        <v>3</v>
      </c>
      <c r="G3207">
        <v>71.400000000000006</v>
      </c>
    </row>
    <row r="3208" spans="1:7">
      <c r="A3208">
        <v>268</v>
      </c>
      <c r="B3208" s="1">
        <v>45992</v>
      </c>
      <c r="C3208">
        <v>20</v>
      </c>
      <c r="D3208">
        <v>12</v>
      </c>
      <c r="E3208">
        <v>8</v>
      </c>
      <c r="F3208">
        <v>2</v>
      </c>
      <c r="G3208">
        <v>60</v>
      </c>
    </row>
    <row r="3209" spans="1:7">
      <c r="A3209">
        <v>268</v>
      </c>
      <c r="B3209" s="1">
        <v>46023</v>
      </c>
      <c r="C3209">
        <v>20</v>
      </c>
      <c r="D3209">
        <v>14</v>
      </c>
      <c r="E3209">
        <v>6</v>
      </c>
      <c r="F3209">
        <v>3</v>
      </c>
      <c r="G3209">
        <v>70</v>
      </c>
    </row>
    <row r="3210" spans="1:7">
      <c r="A3210">
        <v>268</v>
      </c>
      <c r="B3210" s="1">
        <v>46054</v>
      </c>
      <c r="C3210">
        <v>20</v>
      </c>
      <c r="D3210">
        <v>16</v>
      </c>
      <c r="E3210">
        <v>4</v>
      </c>
      <c r="F3210">
        <v>0</v>
      </c>
      <c r="G3210">
        <v>80</v>
      </c>
    </row>
    <row r="3211" spans="1:7">
      <c r="A3211">
        <v>268</v>
      </c>
      <c r="B3211" s="1">
        <v>46082</v>
      </c>
      <c r="C3211">
        <v>22</v>
      </c>
      <c r="D3211">
        <v>20</v>
      </c>
      <c r="E3211">
        <v>2</v>
      </c>
      <c r="F3211">
        <v>2</v>
      </c>
      <c r="G3211">
        <v>90.9</v>
      </c>
    </row>
    <row r="3212" spans="1:7">
      <c r="A3212">
        <v>268</v>
      </c>
      <c r="B3212" s="1">
        <v>46113</v>
      </c>
      <c r="C3212">
        <v>19</v>
      </c>
      <c r="D3212">
        <v>14</v>
      </c>
      <c r="E3212">
        <v>5</v>
      </c>
      <c r="F3212">
        <v>3</v>
      </c>
      <c r="G3212">
        <v>73.7</v>
      </c>
    </row>
    <row r="3213" spans="1:7">
      <c r="A3213">
        <v>268</v>
      </c>
      <c r="B3213" s="1">
        <v>46143</v>
      </c>
      <c r="C3213">
        <v>20</v>
      </c>
      <c r="D3213">
        <v>12</v>
      </c>
      <c r="E3213">
        <v>8</v>
      </c>
      <c r="F3213">
        <v>2</v>
      </c>
      <c r="G3213">
        <v>60</v>
      </c>
    </row>
    <row r="3214" spans="1:7">
      <c r="A3214">
        <v>268</v>
      </c>
      <c r="B3214" s="1">
        <v>46174</v>
      </c>
      <c r="C3214">
        <v>18</v>
      </c>
      <c r="D3214">
        <v>14</v>
      </c>
      <c r="E3214">
        <v>4</v>
      </c>
      <c r="F3214">
        <v>0</v>
      </c>
      <c r="G3214">
        <v>77.8</v>
      </c>
    </row>
    <row r="3215" spans="1:7">
      <c r="A3215">
        <v>268</v>
      </c>
      <c r="B3215" s="1">
        <v>46204</v>
      </c>
      <c r="C3215">
        <v>22</v>
      </c>
      <c r="D3215">
        <v>18</v>
      </c>
      <c r="E3215">
        <v>4</v>
      </c>
      <c r="F3215">
        <v>5</v>
      </c>
      <c r="G3215">
        <v>81.8</v>
      </c>
    </row>
    <row r="3216" spans="1:7">
      <c r="A3216">
        <v>268</v>
      </c>
      <c r="B3216" s="1">
        <v>46235</v>
      </c>
      <c r="C3216">
        <v>21</v>
      </c>
      <c r="D3216">
        <v>15</v>
      </c>
      <c r="E3216">
        <v>6</v>
      </c>
      <c r="F3216">
        <v>0</v>
      </c>
      <c r="G3216">
        <v>71.400000000000006</v>
      </c>
    </row>
    <row r="3217" spans="1:7">
      <c r="A3217">
        <v>268</v>
      </c>
      <c r="B3217" s="1">
        <v>46266</v>
      </c>
      <c r="C3217">
        <v>19</v>
      </c>
      <c r="D3217">
        <v>13</v>
      </c>
      <c r="E3217">
        <v>6</v>
      </c>
      <c r="F3217">
        <v>5</v>
      </c>
      <c r="G3217">
        <v>68.400000000000006</v>
      </c>
    </row>
    <row r="3218" spans="1:7">
      <c r="A3218">
        <v>269</v>
      </c>
      <c r="B3218" s="1">
        <v>45931</v>
      </c>
      <c r="C3218">
        <v>19</v>
      </c>
      <c r="D3218">
        <v>14</v>
      </c>
      <c r="E3218">
        <v>5</v>
      </c>
      <c r="F3218">
        <v>2</v>
      </c>
      <c r="G3218">
        <v>73.7</v>
      </c>
    </row>
    <row r="3219" spans="1:7">
      <c r="A3219">
        <v>269</v>
      </c>
      <c r="B3219" s="1">
        <v>45962</v>
      </c>
      <c r="C3219">
        <v>20</v>
      </c>
      <c r="D3219">
        <v>15</v>
      </c>
      <c r="E3219">
        <v>5</v>
      </c>
      <c r="F3219">
        <v>3</v>
      </c>
      <c r="G3219">
        <v>75</v>
      </c>
    </row>
    <row r="3220" spans="1:7">
      <c r="A3220">
        <v>269</v>
      </c>
      <c r="B3220" s="1">
        <v>45992</v>
      </c>
      <c r="C3220">
        <v>22</v>
      </c>
      <c r="D3220">
        <v>15</v>
      </c>
      <c r="E3220">
        <v>7</v>
      </c>
      <c r="F3220">
        <v>6</v>
      </c>
      <c r="G3220">
        <v>68.2</v>
      </c>
    </row>
    <row r="3221" spans="1:7">
      <c r="A3221">
        <v>269</v>
      </c>
      <c r="B3221" s="1">
        <v>46023</v>
      </c>
      <c r="C3221">
        <v>22</v>
      </c>
      <c r="D3221">
        <v>12</v>
      </c>
      <c r="E3221">
        <v>10</v>
      </c>
      <c r="F3221">
        <v>4</v>
      </c>
      <c r="G3221">
        <v>54.5</v>
      </c>
    </row>
    <row r="3222" spans="1:7">
      <c r="A3222">
        <v>269</v>
      </c>
      <c r="B3222" s="1">
        <v>46054</v>
      </c>
      <c r="C3222">
        <v>21</v>
      </c>
      <c r="D3222">
        <v>13</v>
      </c>
      <c r="E3222">
        <v>8</v>
      </c>
      <c r="F3222">
        <v>0</v>
      </c>
      <c r="G3222">
        <v>61.9</v>
      </c>
    </row>
    <row r="3223" spans="1:7">
      <c r="A3223">
        <v>269</v>
      </c>
      <c r="B3223" s="1">
        <v>46082</v>
      </c>
      <c r="C3223">
        <v>19</v>
      </c>
      <c r="D3223">
        <v>12</v>
      </c>
      <c r="E3223">
        <v>7</v>
      </c>
      <c r="F3223">
        <v>4</v>
      </c>
      <c r="G3223">
        <v>63.2</v>
      </c>
    </row>
    <row r="3224" spans="1:7">
      <c r="A3224">
        <v>269</v>
      </c>
      <c r="B3224" s="1">
        <v>46113</v>
      </c>
      <c r="C3224">
        <v>18</v>
      </c>
      <c r="D3224">
        <v>15</v>
      </c>
      <c r="E3224">
        <v>3</v>
      </c>
      <c r="F3224">
        <v>0</v>
      </c>
      <c r="G3224">
        <v>83.3</v>
      </c>
    </row>
    <row r="3225" spans="1:7">
      <c r="A3225">
        <v>269</v>
      </c>
      <c r="B3225" s="1">
        <v>46143</v>
      </c>
      <c r="C3225">
        <v>20</v>
      </c>
      <c r="D3225">
        <v>10</v>
      </c>
      <c r="E3225">
        <v>10</v>
      </c>
      <c r="F3225">
        <v>5</v>
      </c>
      <c r="G3225">
        <v>50</v>
      </c>
    </row>
    <row r="3226" spans="1:7">
      <c r="A3226">
        <v>269</v>
      </c>
      <c r="B3226" s="1">
        <v>46174</v>
      </c>
      <c r="C3226">
        <v>20</v>
      </c>
      <c r="D3226">
        <v>14</v>
      </c>
      <c r="E3226">
        <v>6</v>
      </c>
      <c r="F3226">
        <v>5</v>
      </c>
      <c r="G3226">
        <v>70</v>
      </c>
    </row>
    <row r="3227" spans="1:7">
      <c r="A3227">
        <v>269</v>
      </c>
      <c r="B3227" s="1">
        <v>46204</v>
      </c>
      <c r="C3227">
        <v>20</v>
      </c>
      <c r="D3227">
        <v>13</v>
      </c>
      <c r="E3227">
        <v>7</v>
      </c>
      <c r="F3227">
        <v>5</v>
      </c>
      <c r="G3227">
        <v>65</v>
      </c>
    </row>
    <row r="3228" spans="1:7">
      <c r="A3228">
        <v>269</v>
      </c>
      <c r="B3228" s="1">
        <v>46235</v>
      </c>
      <c r="C3228">
        <v>18</v>
      </c>
      <c r="D3228">
        <v>10</v>
      </c>
      <c r="E3228">
        <v>8</v>
      </c>
      <c r="F3228">
        <v>0</v>
      </c>
      <c r="G3228">
        <v>55.6</v>
      </c>
    </row>
    <row r="3229" spans="1:7">
      <c r="A3229">
        <v>269</v>
      </c>
      <c r="B3229" s="1">
        <v>46266</v>
      </c>
      <c r="C3229">
        <v>19</v>
      </c>
      <c r="D3229">
        <v>14</v>
      </c>
      <c r="E3229">
        <v>5</v>
      </c>
      <c r="F3229">
        <v>4</v>
      </c>
      <c r="G3229">
        <v>73.7</v>
      </c>
    </row>
    <row r="3230" spans="1:7">
      <c r="A3230">
        <v>270</v>
      </c>
      <c r="B3230" s="1">
        <v>45931</v>
      </c>
      <c r="C3230">
        <v>20</v>
      </c>
      <c r="D3230">
        <v>18</v>
      </c>
      <c r="E3230">
        <v>2</v>
      </c>
      <c r="F3230">
        <v>4</v>
      </c>
      <c r="G3230">
        <v>90</v>
      </c>
    </row>
    <row r="3231" spans="1:7">
      <c r="A3231">
        <v>270</v>
      </c>
      <c r="B3231" s="1">
        <v>45962</v>
      </c>
      <c r="C3231">
        <v>19</v>
      </c>
      <c r="D3231">
        <v>19</v>
      </c>
      <c r="E3231">
        <v>0</v>
      </c>
      <c r="F3231">
        <v>0</v>
      </c>
      <c r="G3231">
        <v>100</v>
      </c>
    </row>
    <row r="3232" spans="1:7">
      <c r="A3232">
        <v>270</v>
      </c>
      <c r="B3232" s="1">
        <v>45992</v>
      </c>
      <c r="C3232">
        <v>20</v>
      </c>
      <c r="D3232">
        <v>20</v>
      </c>
      <c r="E3232">
        <v>0</v>
      </c>
      <c r="F3232">
        <v>3</v>
      </c>
      <c r="G3232">
        <v>100</v>
      </c>
    </row>
    <row r="3233" spans="1:7">
      <c r="A3233">
        <v>270</v>
      </c>
      <c r="B3233" s="1">
        <v>46023</v>
      </c>
      <c r="C3233">
        <v>20</v>
      </c>
      <c r="D3233">
        <v>20</v>
      </c>
      <c r="E3233">
        <v>0</v>
      </c>
      <c r="F3233">
        <v>1</v>
      </c>
      <c r="G3233">
        <v>100</v>
      </c>
    </row>
    <row r="3234" spans="1:7">
      <c r="A3234">
        <v>270</v>
      </c>
      <c r="B3234" s="1">
        <v>46054</v>
      </c>
      <c r="C3234">
        <v>20</v>
      </c>
      <c r="D3234">
        <v>20</v>
      </c>
      <c r="E3234">
        <v>0</v>
      </c>
      <c r="F3234">
        <v>3</v>
      </c>
      <c r="G3234">
        <v>100</v>
      </c>
    </row>
    <row r="3235" spans="1:7">
      <c r="A3235">
        <v>270</v>
      </c>
      <c r="B3235" s="1">
        <v>46082</v>
      </c>
      <c r="C3235">
        <v>19</v>
      </c>
      <c r="D3235">
        <v>19</v>
      </c>
      <c r="E3235">
        <v>0</v>
      </c>
      <c r="F3235">
        <v>2</v>
      </c>
      <c r="G3235">
        <v>100</v>
      </c>
    </row>
    <row r="3236" spans="1:7">
      <c r="A3236">
        <v>270</v>
      </c>
      <c r="B3236" s="1">
        <v>46113</v>
      </c>
      <c r="C3236">
        <v>20</v>
      </c>
      <c r="D3236">
        <v>19</v>
      </c>
      <c r="E3236">
        <v>1</v>
      </c>
      <c r="F3236">
        <v>3</v>
      </c>
      <c r="G3236">
        <v>95</v>
      </c>
    </row>
    <row r="3237" spans="1:7">
      <c r="A3237">
        <v>270</v>
      </c>
      <c r="B3237" s="1">
        <v>46143</v>
      </c>
      <c r="C3237">
        <v>19</v>
      </c>
      <c r="D3237">
        <v>19</v>
      </c>
      <c r="E3237">
        <v>0</v>
      </c>
      <c r="F3237">
        <v>2</v>
      </c>
      <c r="G3237">
        <v>100</v>
      </c>
    </row>
    <row r="3238" spans="1:7">
      <c r="A3238">
        <v>270</v>
      </c>
      <c r="B3238" s="1">
        <v>46174</v>
      </c>
      <c r="C3238">
        <v>20</v>
      </c>
      <c r="D3238">
        <v>20</v>
      </c>
      <c r="E3238">
        <v>0</v>
      </c>
      <c r="F3238">
        <v>2</v>
      </c>
      <c r="G3238">
        <v>100</v>
      </c>
    </row>
    <row r="3239" spans="1:7">
      <c r="A3239">
        <v>270</v>
      </c>
      <c r="B3239" s="1">
        <v>46204</v>
      </c>
      <c r="C3239">
        <v>18</v>
      </c>
      <c r="D3239">
        <v>18</v>
      </c>
      <c r="E3239">
        <v>0</v>
      </c>
      <c r="F3239">
        <v>1</v>
      </c>
      <c r="G3239">
        <v>100</v>
      </c>
    </row>
    <row r="3240" spans="1:7">
      <c r="A3240">
        <v>270</v>
      </c>
      <c r="B3240" s="1">
        <v>46235</v>
      </c>
      <c r="C3240">
        <v>19</v>
      </c>
      <c r="D3240">
        <v>18</v>
      </c>
      <c r="E3240">
        <v>1</v>
      </c>
      <c r="F3240">
        <v>0</v>
      </c>
      <c r="G3240">
        <v>94.7</v>
      </c>
    </row>
    <row r="3241" spans="1:7">
      <c r="A3241">
        <v>270</v>
      </c>
      <c r="B3241" s="1">
        <v>46266</v>
      </c>
      <c r="C3241">
        <v>22</v>
      </c>
      <c r="D3241">
        <v>22</v>
      </c>
      <c r="E3241">
        <v>0</v>
      </c>
      <c r="F3241">
        <v>2</v>
      </c>
      <c r="G3241">
        <v>100</v>
      </c>
    </row>
    <row r="3242" spans="1:7">
      <c r="A3242">
        <v>271</v>
      </c>
      <c r="B3242" s="1">
        <v>45931</v>
      </c>
      <c r="C3242">
        <v>22</v>
      </c>
      <c r="D3242">
        <v>15</v>
      </c>
      <c r="E3242">
        <v>7</v>
      </c>
      <c r="F3242">
        <v>5</v>
      </c>
      <c r="G3242">
        <v>68.2</v>
      </c>
    </row>
    <row r="3243" spans="1:7">
      <c r="A3243">
        <v>271</v>
      </c>
      <c r="B3243" s="1">
        <v>45962</v>
      </c>
      <c r="C3243">
        <v>22</v>
      </c>
      <c r="D3243">
        <v>18</v>
      </c>
      <c r="E3243">
        <v>4</v>
      </c>
      <c r="F3243">
        <v>2</v>
      </c>
      <c r="G3243">
        <v>81.8</v>
      </c>
    </row>
    <row r="3244" spans="1:7">
      <c r="A3244">
        <v>271</v>
      </c>
      <c r="B3244" s="1">
        <v>45992</v>
      </c>
      <c r="C3244">
        <v>22</v>
      </c>
      <c r="D3244">
        <v>20</v>
      </c>
      <c r="E3244">
        <v>2</v>
      </c>
      <c r="F3244">
        <v>0</v>
      </c>
      <c r="G3244">
        <v>90.9</v>
      </c>
    </row>
    <row r="3245" spans="1:7">
      <c r="A3245">
        <v>271</v>
      </c>
      <c r="B3245" s="1">
        <v>46023</v>
      </c>
      <c r="C3245">
        <v>20</v>
      </c>
      <c r="D3245">
        <v>11</v>
      </c>
      <c r="E3245">
        <v>9</v>
      </c>
      <c r="F3245">
        <v>2</v>
      </c>
      <c r="G3245">
        <v>55</v>
      </c>
    </row>
    <row r="3246" spans="1:7">
      <c r="A3246">
        <v>271</v>
      </c>
      <c r="B3246" s="1">
        <v>46054</v>
      </c>
      <c r="C3246">
        <v>20</v>
      </c>
      <c r="D3246">
        <v>15</v>
      </c>
      <c r="E3246">
        <v>5</v>
      </c>
      <c r="F3246">
        <v>3</v>
      </c>
      <c r="G3246">
        <v>75</v>
      </c>
    </row>
    <row r="3247" spans="1:7">
      <c r="A3247">
        <v>271</v>
      </c>
      <c r="B3247" s="1">
        <v>46082</v>
      </c>
      <c r="C3247">
        <v>21</v>
      </c>
      <c r="D3247">
        <v>13</v>
      </c>
      <c r="E3247">
        <v>8</v>
      </c>
      <c r="F3247">
        <v>1</v>
      </c>
      <c r="G3247">
        <v>61.9</v>
      </c>
    </row>
    <row r="3248" spans="1:7">
      <c r="A3248">
        <v>271</v>
      </c>
      <c r="B3248" s="1">
        <v>46113</v>
      </c>
      <c r="C3248">
        <v>22</v>
      </c>
      <c r="D3248">
        <v>17</v>
      </c>
      <c r="E3248">
        <v>5</v>
      </c>
      <c r="F3248">
        <v>2</v>
      </c>
      <c r="G3248">
        <v>77.3</v>
      </c>
    </row>
    <row r="3249" spans="1:7">
      <c r="A3249">
        <v>271</v>
      </c>
      <c r="B3249" s="1">
        <v>46143</v>
      </c>
      <c r="C3249">
        <v>21</v>
      </c>
      <c r="D3249">
        <v>18</v>
      </c>
      <c r="E3249">
        <v>3</v>
      </c>
      <c r="F3249">
        <v>0</v>
      </c>
      <c r="G3249">
        <v>85.7</v>
      </c>
    </row>
    <row r="3250" spans="1:7">
      <c r="A3250">
        <v>271</v>
      </c>
      <c r="B3250" s="1">
        <v>46174</v>
      </c>
      <c r="C3250">
        <v>22</v>
      </c>
      <c r="D3250">
        <v>13</v>
      </c>
      <c r="E3250">
        <v>9</v>
      </c>
      <c r="F3250">
        <v>4</v>
      </c>
      <c r="G3250">
        <v>59.1</v>
      </c>
    </row>
    <row r="3251" spans="1:7">
      <c r="A3251">
        <v>271</v>
      </c>
      <c r="B3251" s="1">
        <v>46204</v>
      </c>
      <c r="C3251">
        <v>20</v>
      </c>
      <c r="D3251">
        <v>15</v>
      </c>
      <c r="E3251">
        <v>5</v>
      </c>
      <c r="F3251">
        <v>0</v>
      </c>
      <c r="G3251">
        <v>75</v>
      </c>
    </row>
    <row r="3252" spans="1:7">
      <c r="A3252">
        <v>271</v>
      </c>
      <c r="B3252" s="1">
        <v>46235</v>
      </c>
      <c r="C3252">
        <v>19</v>
      </c>
      <c r="D3252">
        <v>13</v>
      </c>
      <c r="E3252">
        <v>6</v>
      </c>
      <c r="F3252">
        <v>2</v>
      </c>
      <c r="G3252">
        <v>68.400000000000006</v>
      </c>
    </row>
    <row r="3253" spans="1:7">
      <c r="A3253">
        <v>271</v>
      </c>
      <c r="B3253" s="1">
        <v>46266</v>
      </c>
      <c r="C3253">
        <v>20</v>
      </c>
      <c r="D3253">
        <v>17</v>
      </c>
      <c r="E3253">
        <v>3</v>
      </c>
      <c r="F3253">
        <v>6</v>
      </c>
      <c r="G3253">
        <v>85</v>
      </c>
    </row>
    <row r="3254" spans="1:7">
      <c r="A3254">
        <v>272</v>
      </c>
      <c r="B3254" s="1">
        <v>45931</v>
      </c>
      <c r="C3254">
        <v>20</v>
      </c>
      <c r="D3254">
        <v>20</v>
      </c>
      <c r="E3254">
        <v>0</v>
      </c>
      <c r="F3254">
        <v>1</v>
      </c>
      <c r="G3254">
        <v>100</v>
      </c>
    </row>
    <row r="3255" spans="1:7">
      <c r="A3255">
        <v>272</v>
      </c>
      <c r="B3255" s="1">
        <v>45962</v>
      </c>
      <c r="C3255">
        <v>22</v>
      </c>
      <c r="D3255">
        <v>22</v>
      </c>
      <c r="E3255">
        <v>0</v>
      </c>
      <c r="F3255">
        <v>1</v>
      </c>
      <c r="G3255">
        <v>100</v>
      </c>
    </row>
    <row r="3256" spans="1:7">
      <c r="A3256">
        <v>272</v>
      </c>
      <c r="B3256" s="1">
        <v>45992</v>
      </c>
      <c r="C3256">
        <v>22</v>
      </c>
      <c r="D3256">
        <v>22</v>
      </c>
      <c r="E3256">
        <v>0</v>
      </c>
      <c r="F3256">
        <v>0</v>
      </c>
      <c r="G3256">
        <v>100</v>
      </c>
    </row>
    <row r="3257" spans="1:7">
      <c r="A3257">
        <v>272</v>
      </c>
      <c r="B3257" s="1">
        <v>46023</v>
      </c>
      <c r="C3257">
        <v>20</v>
      </c>
      <c r="D3257">
        <v>19</v>
      </c>
      <c r="E3257">
        <v>1</v>
      </c>
      <c r="F3257">
        <v>4</v>
      </c>
      <c r="G3257">
        <v>95</v>
      </c>
    </row>
    <row r="3258" spans="1:7">
      <c r="A3258">
        <v>272</v>
      </c>
      <c r="B3258" s="1">
        <v>46054</v>
      </c>
      <c r="C3258">
        <v>21</v>
      </c>
      <c r="D3258">
        <v>20</v>
      </c>
      <c r="E3258">
        <v>1</v>
      </c>
      <c r="F3258">
        <v>4</v>
      </c>
      <c r="G3258">
        <v>95.2</v>
      </c>
    </row>
    <row r="3259" spans="1:7">
      <c r="A3259">
        <v>272</v>
      </c>
      <c r="B3259" s="1">
        <v>46082</v>
      </c>
      <c r="C3259">
        <v>19</v>
      </c>
      <c r="D3259">
        <v>19</v>
      </c>
      <c r="E3259">
        <v>0</v>
      </c>
      <c r="F3259">
        <v>3</v>
      </c>
      <c r="G3259">
        <v>100</v>
      </c>
    </row>
    <row r="3260" spans="1:7">
      <c r="A3260">
        <v>272</v>
      </c>
      <c r="B3260" s="1">
        <v>46113</v>
      </c>
      <c r="C3260">
        <v>22</v>
      </c>
      <c r="D3260">
        <v>22</v>
      </c>
      <c r="E3260">
        <v>0</v>
      </c>
      <c r="F3260">
        <v>3</v>
      </c>
      <c r="G3260">
        <v>100</v>
      </c>
    </row>
    <row r="3261" spans="1:7">
      <c r="A3261">
        <v>272</v>
      </c>
      <c r="B3261" s="1">
        <v>46143</v>
      </c>
      <c r="C3261">
        <v>19</v>
      </c>
      <c r="D3261">
        <v>19</v>
      </c>
      <c r="E3261">
        <v>0</v>
      </c>
      <c r="F3261">
        <v>1</v>
      </c>
      <c r="G3261">
        <v>100</v>
      </c>
    </row>
    <row r="3262" spans="1:7">
      <c r="A3262">
        <v>272</v>
      </c>
      <c r="B3262" s="1">
        <v>46174</v>
      </c>
      <c r="C3262">
        <v>18</v>
      </c>
      <c r="D3262">
        <v>18</v>
      </c>
      <c r="E3262">
        <v>0</v>
      </c>
      <c r="F3262">
        <v>1</v>
      </c>
      <c r="G3262">
        <v>100</v>
      </c>
    </row>
    <row r="3263" spans="1:7">
      <c r="A3263">
        <v>272</v>
      </c>
      <c r="B3263" s="1">
        <v>46204</v>
      </c>
      <c r="C3263">
        <v>21</v>
      </c>
      <c r="D3263">
        <v>21</v>
      </c>
      <c r="E3263">
        <v>0</v>
      </c>
      <c r="F3263">
        <v>3</v>
      </c>
      <c r="G3263">
        <v>100</v>
      </c>
    </row>
    <row r="3264" spans="1:7">
      <c r="A3264">
        <v>272</v>
      </c>
      <c r="B3264" s="1">
        <v>46235</v>
      </c>
      <c r="C3264">
        <v>20</v>
      </c>
      <c r="D3264">
        <v>20</v>
      </c>
      <c r="E3264">
        <v>0</v>
      </c>
      <c r="F3264">
        <v>2</v>
      </c>
      <c r="G3264">
        <v>100</v>
      </c>
    </row>
    <row r="3265" spans="1:7">
      <c r="A3265">
        <v>272</v>
      </c>
      <c r="B3265" s="1">
        <v>46266</v>
      </c>
      <c r="C3265">
        <v>20</v>
      </c>
      <c r="D3265">
        <v>20</v>
      </c>
      <c r="E3265">
        <v>0</v>
      </c>
      <c r="F3265">
        <v>2</v>
      </c>
      <c r="G3265">
        <v>100</v>
      </c>
    </row>
    <row r="3266" spans="1:7">
      <c r="A3266">
        <v>273</v>
      </c>
      <c r="B3266" s="1">
        <v>45931</v>
      </c>
      <c r="C3266">
        <v>18</v>
      </c>
      <c r="D3266">
        <v>16</v>
      </c>
      <c r="E3266">
        <v>2</v>
      </c>
      <c r="F3266">
        <v>5</v>
      </c>
      <c r="G3266">
        <v>88.9</v>
      </c>
    </row>
    <row r="3267" spans="1:7">
      <c r="A3267">
        <v>273</v>
      </c>
      <c r="B3267" s="1">
        <v>45962</v>
      </c>
      <c r="C3267">
        <v>20</v>
      </c>
      <c r="D3267">
        <v>20</v>
      </c>
      <c r="E3267">
        <v>0</v>
      </c>
      <c r="F3267">
        <v>3</v>
      </c>
      <c r="G3267">
        <v>100</v>
      </c>
    </row>
    <row r="3268" spans="1:7">
      <c r="A3268">
        <v>273</v>
      </c>
      <c r="B3268" s="1">
        <v>45992</v>
      </c>
      <c r="C3268">
        <v>19</v>
      </c>
      <c r="D3268">
        <v>14</v>
      </c>
      <c r="E3268">
        <v>5</v>
      </c>
      <c r="F3268">
        <v>3</v>
      </c>
      <c r="G3268">
        <v>73.7</v>
      </c>
    </row>
    <row r="3269" spans="1:7">
      <c r="A3269">
        <v>273</v>
      </c>
      <c r="B3269" s="1">
        <v>46023</v>
      </c>
      <c r="C3269">
        <v>20</v>
      </c>
      <c r="D3269">
        <v>19</v>
      </c>
      <c r="E3269">
        <v>1</v>
      </c>
      <c r="F3269">
        <v>3</v>
      </c>
      <c r="G3269">
        <v>95</v>
      </c>
    </row>
    <row r="3270" spans="1:7">
      <c r="A3270">
        <v>273</v>
      </c>
      <c r="B3270" s="1">
        <v>46054</v>
      </c>
      <c r="C3270">
        <v>19</v>
      </c>
      <c r="D3270">
        <v>15</v>
      </c>
      <c r="E3270">
        <v>4</v>
      </c>
      <c r="F3270">
        <v>2</v>
      </c>
      <c r="G3270">
        <v>78.900000000000006</v>
      </c>
    </row>
    <row r="3271" spans="1:7">
      <c r="A3271">
        <v>273</v>
      </c>
      <c r="B3271" s="1">
        <v>46082</v>
      </c>
      <c r="C3271">
        <v>18</v>
      </c>
      <c r="D3271">
        <v>15</v>
      </c>
      <c r="E3271">
        <v>3</v>
      </c>
      <c r="F3271">
        <v>4</v>
      </c>
      <c r="G3271">
        <v>83.3</v>
      </c>
    </row>
    <row r="3272" spans="1:7">
      <c r="A3272">
        <v>273</v>
      </c>
      <c r="B3272" s="1">
        <v>46113</v>
      </c>
      <c r="C3272">
        <v>20</v>
      </c>
      <c r="D3272">
        <v>17</v>
      </c>
      <c r="E3272">
        <v>3</v>
      </c>
      <c r="F3272">
        <v>5</v>
      </c>
      <c r="G3272">
        <v>85</v>
      </c>
    </row>
    <row r="3273" spans="1:7">
      <c r="A3273">
        <v>273</v>
      </c>
      <c r="B3273" s="1">
        <v>46143</v>
      </c>
      <c r="C3273">
        <v>18</v>
      </c>
      <c r="D3273">
        <v>18</v>
      </c>
      <c r="E3273">
        <v>0</v>
      </c>
      <c r="F3273">
        <v>3</v>
      </c>
      <c r="G3273">
        <v>100</v>
      </c>
    </row>
    <row r="3274" spans="1:7">
      <c r="A3274">
        <v>273</v>
      </c>
      <c r="B3274" s="1">
        <v>46174</v>
      </c>
      <c r="C3274">
        <v>22</v>
      </c>
      <c r="D3274">
        <v>22</v>
      </c>
      <c r="E3274">
        <v>0</v>
      </c>
      <c r="F3274">
        <v>3</v>
      </c>
      <c r="G3274">
        <v>100</v>
      </c>
    </row>
    <row r="3275" spans="1:7">
      <c r="A3275">
        <v>273</v>
      </c>
      <c r="B3275" s="1">
        <v>46204</v>
      </c>
      <c r="C3275">
        <v>19</v>
      </c>
      <c r="D3275">
        <v>19</v>
      </c>
      <c r="E3275">
        <v>0</v>
      </c>
      <c r="F3275">
        <v>0</v>
      </c>
      <c r="G3275">
        <v>100</v>
      </c>
    </row>
    <row r="3276" spans="1:7">
      <c r="A3276">
        <v>273</v>
      </c>
      <c r="B3276" s="1">
        <v>46235</v>
      </c>
      <c r="C3276">
        <v>22</v>
      </c>
      <c r="D3276">
        <v>18</v>
      </c>
      <c r="E3276">
        <v>4</v>
      </c>
      <c r="F3276">
        <v>4</v>
      </c>
      <c r="G3276">
        <v>81.8</v>
      </c>
    </row>
    <row r="3277" spans="1:7">
      <c r="A3277">
        <v>273</v>
      </c>
      <c r="B3277" s="1">
        <v>46266</v>
      </c>
      <c r="C3277">
        <v>18</v>
      </c>
      <c r="D3277">
        <v>12</v>
      </c>
      <c r="E3277">
        <v>6</v>
      </c>
      <c r="F3277">
        <v>4</v>
      </c>
      <c r="G3277">
        <v>66.7</v>
      </c>
    </row>
    <row r="3278" spans="1:7">
      <c r="A3278">
        <v>274</v>
      </c>
      <c r="B3278" s="1">
        <v>45931</v>
      </c>
      <c r="C3278">
        <v>22</v>
      </c>
      <c r="D3278">
        <v>15</v>
      </c>
      <c r="E3278">
        <v>7</v>
      </c>
      <c r="F3278">
        <v>2</v>
      </c>
      <c r="G3278">
        <v>68.2</v>
      </c>
    </row>
    <row r="3279" spans="1:7">
      <c r="A3279">
        <v>274</v>
      </c>
      <c r="B3279" s="1">
        <v>45962</v>
      </c>
      <c r="C3279">
        <v>22</v>
      </c>
      <c r="D3279">
        <v>20</v>
      </c>
      <c r="E3279">
        <v>2</v>
      </c>
      <c r="F3279">
        <v>1</v>
      </c>
      <c r="G3279">
        <v>90.9</v>
      </c>
    </row>
    <row r="3280" spans="1:7">
      <c r="A3280">
        <v>274</v>
      </c>
      <c r="B3280" s="1">
        <v>45992</v>
      </c>
      <c r="C3280">
        <v>19</v>
      </c>
      <c r="D3280">
        <v>14</v>
      </c>
      <c r="E3280">
        <v>5</v>
      </c>
      <c r="F3280">
        <v>0</v>
      </c>
      <c r="G3280">
        <v>73.7</v>
      </c>
    </row>
    <row r="3281" spans="1:7">
      <c r="A3281">
        <v>274</v>
      </c>
      <c r="B3281" s="1">
        <v>46023</v>
      </c>
      <c r="C3281">
        <v>20</v>
      </c>
      <c r="D3281">
        <v>14</v>
      </c>
      <c r="E3281">
        <v>6</v>
      </c>
      <c r="F3281">
        <v>0</v>
      </c>
      <c r="G3281">
        <v>70</v>
      </c>
    </row>
    <row r="3282" spans="1:7">
      <c r="A3282">
        <v>274</v>
      </c>
      <c r="B3282" s="1">
        <v>46054</v>
      </c>
      <c r="C3282">
        <v>22</v>
      </c>
      <c r="D3282">
        <v>13</v>
      </c>
      <c r="E3282">
        <v>9</v>
      </c>
      <c r="F3282">
        <v>4</v>
      </c>
      <c r="G3282">
        <v>59.1</v>
      </c>
    </row>
    <row r="3283" spans="1:7">
      <c r="A3283">
        <v>274</v>
      </c>
      <c r="B3283" s="1">
        <v>46082</v>
      </c>
      <c r="C3283">
        <v>22</v>
      </c>
      <c r="D3283">
        <v>17</v>
      </c>
      <c r="E3283">
        <v>5</v>
      </c>
      <c r="F3283">
        <v>6</v>
      </c>
      <c r="G3283">
        <v>77.3</v>
      </c>
    </row>
    <row r="3284" spans="1:7">
      <c r="A3284">
        <v>274</v>
      </c>
      <c r="B3284" s="1">
        <v>46113</v>
      </c>
      <c r="C3284">
        <v>19</v>
      </c>
      <c r="D3284">
        <v>11</v>
      </c>
      <c r="E3284">
        <v>8</v>
      </c>
      <c r="F3284">
        <v>2</v>
      </c>
      <c r="G3284">
        <v>57.9</v>
      </c>
    </row>
    <row r="3285" spans="1:7">
      <c r="A3285">
        <v>274</v>
      </c>
      <c r="B3285" s="1">
        <v>46143</v>
      </c>
      <c r="C3285">
        <v>19</v>
      </c>
      <c r="D3285">
        <v>13</v>
      </c>
      <c r="E3285">
        <v>6</v>
      </c>
      <c r="F3285">
        <v>1</v>
      </c>
      <c r="G3285">
        <v>68.400000000000006</v>
      </c>
    </row>
    <row r="3286" spans="1:7">
      <c r="A3286">
        <v>274</v>
      </c>
      <c r="B3286" s="1">
        <v>46174</v>
      </c>
      <c r="C3286">
        <v>21</v>
      </c>
      <c r="D3286">
        <v>10</v>
      </c>
      <c r="E3286">
        <v>11</v>
      </c>
      <c r="F3286">
        <v>2</v>
      </c>
      <c r="G3286">
        <v>47.6</v>
      </c>
    </row>
    <row r="3287" spans="1:7">
      <c r="A3287">
        <v>274</v>
      </c>
      <c r="B3287" s="1">
        <v>46204</v>
      </c>
      <c r="C3287">
        <v>19</v>
      </c>
      <c r="D3287">
        <v>14</v>
      </c>
      <c r="E3287">
        <v>5</v>
      </c>
      <c r="F3287">
        <v>2</v>
      </c>
      <c r="G3287">
        <v>73.7</v>
      </c>
    </row>
    <row r="3288" spans="1:7">
      <c r="A3288">
        <v>274</v>
      </c>
      <c r="B3288" s="1">
        <v>46235</v>
      </c>
      <c r="C3288">
        <v>18</v>
      </c>
      <c r="D3288">
        <v>10</v>
      </c>
      <c r="E3288">
        <v>8</v>
      </c>
      <c r="F3288">
        <v>3</v>
      </c>
      <c r="G3288">
        <v>55.6</v>
      </c>
    </row>
    <row r="3289" spans="1:7">
      <c r="A3289">
        <v>274</v>
      </c>
      <c r="B3289" s="1">
        <v>46266</v>
      </c>
      <c r="C3289">
        <v>21</v>
      </c>
      <c r="D3289">
        <v>15</v>
      </c>
      <c r="E3289">
        <v>6</v>
      </c>
      <c r="F3289">
        <v>1</v>
      </c>
      <c r="G3289">
        <v>71.400000000000006</v>
      </c>
    </row>
    <row r="3290" spans="1:7">
      <c r="A3290">
        <v>275</v>
      </c>
      <c r="B3290" s="1">
        <v>45931</v>
      </c>
      <c r="C3290">
        <v>22</v>
      </c>
      <c r="D3290">
        <v>22</v>
      </c>
      <c r="E3290">
        <v>0</v>
      </c>
      <c r="F3290">
        <v>1</v>
      </c>
      <c r="G3290">
        <v>100</v>
      </c>
    </row>
    <row r="3291" spans="1:7">
      <c r="A3291">
        <v>275</v>
      </c>
      <c r="B3291" s="1">
        <v>45962</v>
      </c>
      <c r="C3291">
        <v>21</v>
      </c>
      <c r="D3291">
        <v>21</v>
      </c>
      <c r="E3291">
        <v>0</v>
      </c>
      <c r="F3291">
        <v>0</v>
      </c>
      <c r="G3291">
        <v>100</v>
      </c>
    </row>
    <row r="3292" spans="1:7">
      <c r="A3292">
        <v>275</v>
      </c>
      <c r="B3292" s="1">
        <v>45992</v>
      </c>
      <c r="C3292">
        <v>22</v>
      </c>
      <c r="D3292">
        <v>20</v>
      </c>
      <c r="E3292">
        <v>2</v>
      </c>
      <c r="F3292">
        <v>1</v>
      </c>
      <c r="G3292">
        <v>90.9</v>
      </c>
    </row>
    <row r="3293" spans="1:7">
      <c r="A3293">
        <v>275</v>
      </c>
      <c r="B3293" s="1">
        <v>46023</v>
      </c>
      <c r="C3293">
        <v>19</v>
      </c>
      <c r="D3293">
        <v>19</v>
      </c>
      <c r="E3293">
        <v>0</v>
      </c>
      <c r="F3293">
        <v>3</v>
      </c>
      <c r="G3293">
        <v>100</v>
      </c>
    </row>
    <row r="3294" spans="1:7">
      <c r="A3294">
        <v>275</v>
      </c>
      <c r="B3294" s="1">
        <v>46054</v>
      </c>
      <c r="C3294">
        <v>18</v>
      </c>
      <c r="D3294">
        <v>18</v>
      </c>
      <c r="E3294">
        <v>0</v>
      </c>
      <c r="F3294">
        <v>3</v>
      </c>
      <c r="G3294">
        <v>100</v>
      </c>
    </row>
    <row r="3295" spans="1:7">
      <c r="A3295">
        <v>275</v>
      </c>
      <c r="B3295" s="1">
        <v>46082</v>
      </c>
      <c r="C3295">
        <v>22</v>
      </c>
      <c r="D3295">
        <v>22</v>
      </c>
      <c r="E3295">
        <v>0</v>
      </c>
      <c r="F3295">
        <v>3</v>
      </c>
      <c r="G3295">
        <v>100</v>
      </c>
    </row>
    <row r="3296" spans="1:7">
      <c r="A3296">
        <v>275</v>
      </c>
      <c r="B3296" s="1">
        <v>46113</v>
      </c>
      <c r="C3296">
        <v>21</v>
      </c>
      <c r="D3296">
        <v>19</v>
      </c>
      <c r="E3296">
        <v>2</v>
      </c>
      <c r="F3296">
        <v>2</v>
      </c>
      <c r="G3296">
        <v>90.5</v>
      </c>
    </row>
    <row r="3297" spans="1:7">
      <c r="A3297">
        <v>275</v>
      </c>
      <c r="B3297" s="1">
        <v>46143</v>
      </c>
      <c r="C3297">
        <v>22</v>
      </c>
      <c r="D3297">
        <v>21</v>
      </c>
      <c r="E3297">
        <v>1</v>
      </c>
      <c r="F3297">
        <v>0</v>
      </c>
      <c r="G3297">
        <v>95.5</v>
      </c>
    </row>
    <row r="3298" spans="1:7">
      <c r="A3298">
        <v>275</v>
      </c>
      <c r="B3298" s="1">
        <v>46174</v>
      </c>
      <c r="C3298">
        <v>22</v>
      </c>
      <c r="D3298">
        <v>22</v>
      </c>
      <c r="E3298">
        <v>0</v>
      </c>
      <c r="F3298">
        <v>0</v>
      </c>
      <c r="G3298">
        <v>100</v>
      </c>
    </row>
    <row r="3299" spans="1:7">
      <c r="A3299">
        <v>275</v>
      </c>
      <c r="B3299" s="1">
        <v>46204</v>
      </c>
      <c r="C3299">
        <v>21</v>
      </c>
      <c r="D3299">
        <v>21</v>
      </c>
      <c r="E3299">
        <v>0</v>
      </c>
      <c r="F3299">
        <v>3</v>
      </c>
      <c r="G3299">
        <v>100</v>
      </c>
    </row>
    <row r="3300" spans="1:7">
      <c r="A3300">
        <v>275</v>
      </c>
      <c r="B3300" s="1">
        <v>46235</v>
      </c>
      <c r="C3300">
        <v>18</v>
      </c>
      <c r="D3300">
        <v>18</v>
      </c>
      <c r="E3300">
        <v>0</v>
      </c>
      <c r="F3300">
        <v>0</v>
      </c>
      <c r="G3300">
        <v>100</v>
      </c>
    </row>
    <row r="3301" spans="1:7">
      <c r="A3301">
        <v>275</v>
      </c>
      <c r="B3301" s="1">
        <v>46266</v>
      </c>
      <c r="C3301">
        <v>20</v>
      </c>
      <c r="D3301">
        <v>18</v>
      </c>
      <c r="E3301">
        <v>2</v>
      </c>
      <c r="F3301">
        <v>3</v>
      </c>
      <c r="G3301">
        <v>90</v>
      </c>
    </row>
    <row r="3302" spans="1:7">
      <c r="A3302">
        <v>276</v>
      </c>
      <c r="B3302" s="1">
        <v>45931</v>
      </c>
      <c r="C3302">
        <v>22</v>
      </c>
      <c r="D3302">
        <v>20</v>
      </c>
      <c r="E3302">
        <v>2</v>
      </c>
      <c r="F3302">
        <v>0</v>
      </c>
      <c r="G3302">
        <v>90.9</v>
      </c>
    </row>
    <row r="3303" spans="1:7">
      <c r="A3303">
        <v>276</v>
      </c>
      <c r="B3303" s="1">
        <v>45962</v>
      </c>
      <c r="C3303">
        <v>18</v>
      </c>
      <c r="D3303">
        <v>16</v>
      </c>
      <c r="E3303">
        <v>2</v>
      </c>
      <c r="F3303">
        <v>1</v>
      </c>
      <c r="G3303">
        <v>88.9</v>
      </c>
    </row>
    <row r="3304" spans="1:7">
      <c r="A3304">
        <v>276</v>
      </c>
      <c r="B3304" s="1">
        <v>45992</v>
      </c>
      <c r="C3304">
        <v>20</v>
      </c>
      <c r="D3304">
        <v>16</v>
      </c>
      <c r="E3304">
        <v>4</v>
      </c>
      <c r="F3304">
        <v>6</v>
      </c>
      <c r="G3304">
        <v>80</v>
      </c>
    </row>
    <row r="3305" spans="1:7">
      <c r="A3305">
        <v>276</v>
      </c>
      <c r="B3305" s="1">
        <v>46023</v>
      </c>
      <c r="C3305">
        <v>18</v>
      </c>
      <c r="D3305">
        <v>17</v>
      </c>
      <c r="E3305">
        <v>1</v>
      </c>
      <c r="F3305">
        <v>1</v>
      </c>
      <c r="G3305">
        <v>94.4</v>
      </c>
    </row>
    <row r="3306" spans="1:7">
      <c r="A3306">
        <v>276</v>
      </c>
      <c r="B3306" s="1">
        <v>46054</v>
      </c>
      <c r="C3306">
        <v>20</v>
      </c>
      <c r="D3306">
        <v>18</v>
      </c>
      <c r="E3306">
        <v>2</v>
      </c>
      <c r="F3306">
        <v>1</v>
      </c>
      <c r="G3306">
        <v>90</v>
      </c>
    </row>
    <row r="3307" spans="1:7">
      <c r="A3307">
        <v>276</v>
      </c>
      <c r="B3307" s="1">
        <v>46082</v>
      </c>
      <c r="C3307">
        <v>21</v>
      </c>
      <c r="D3307">
        <v>16</v>
      </c>
      <c r="E3307">
        <v>5</v>
      </c>
      <c r="F3307">
        <v>1</v>
      </c>
      <c r="G3307">
        <v>76.2</v>
      </c>
    </row>
    <row r="3308" spans="1:7">
      <c r="A3308">
        <v>276</v>
      </c>
      <c r="B3308" s="1">
        <v>46113</v>
      </c>
      <c r="C3308">
        <v>20</v>
      </c>
      <c r="D3308">
        <v>14</v>
      </c>
      <c r="E3308">
        <v>6</v>
      </c>
      <c r="F3308">
        <v>0</v>
      </c>
      <c r="G3308">
        <v>70</v>
      </c>
    </row>
    <row r="3309" spans="1:7">
      <c r="A3309">
        <v>276</v>
      </c>
      <c r="B3309" s="1">
        <v>46143</v>
      </c>
      <c r="C3309">
        <v>21</v>
      </c>
      <c r="D3309">
        <v>15</v>
      </c>
      <c r="E3309">
        <v>6</v>
      </c>
      <c r="F3309">
        <v>5</v>
      </c>
      <c r="G3309">
        <v>71.400000000000006</v>
      </c>
    </row>
    <row r="3310" spans="1:7">
      <c r="A3310">
        <v>276</v>
      </c>
      <c r="B3310" s="1">
        <v>46174</v>
      </c>
      <c r="C3310">
        <v>21</v>
      </c>
      <c r="D3310">
        <v>17</v>
      </c>
      <c r="E3310">
        <v>4</v>
      </c>
      <c r="F3310">
        <v>2</v>
      </c>
      <c r="G3310">
        <v>81</v>
      </c>
    </row>
    <row r="3311" spans="1:7">
      <c r="A3311">
        <v>276</v>
      </c>
      <c r="B3311" s="1">
        <v>46204</v>
      </c>
      <c r="C3311">
        <v>20</v>
      </c>
      <c r="D3311">
        <v>19</v>
      </c>
      <c r="E3311">
        <v>1</v>
      </c>
      <c r="F3311">
        <v>3</v>
      </c>
      <c r="G3311">
        <v>95</v>
      </c>
    </row>
    <row r="3312" spans="1:7">
      <c r="A3312">
        <v>276</v>
      </c>
      <c r="B3312" s="1">
        <v>46235</v>
      </c>
      <c r="C3312">
        <v>20</v>
      </c>
      <c r="D3312">
        <v>15</v>
      </c>
      <c r="E3312">
        <v>5</v>
      </c>
      <c r="F3312">
        <v>4</v>
      </c>
      <c r="G3312">
        <v>75</v>
      </c>
    </row>
    <row r="3313" spans="1:7">
      <c r="A3313">
        <v>276</v>
      </c>
      <c r="B3313" s="1">
        <v>46266</v>
      </c>
      <c r="C3313">
        <v>20</v>
      </c>
      <c r="D3313">
        <v>19</v>
      </c>
      <c r="E3313">
        <v>1</v>
      </c>
      <c r="F3313">
        <v>4</v>
      </c>
      <c r="G3313">
        <v>95</v>
      </c>
    </row>
    <row r="3314" spans="1:7">
      <c r="A3314">
        <v>277</v>
      </c>
      <c r="B3314" s="1">
        <v>45931</v>
      </c>
      <c r="C3314">
        <v>18</v>
      </c>
      <c r="D3314">
        <v>18</v>
      </c>
      <c r="E3314">
        <v>0</v>
      </c>
      <c r="F3314">
        <v>2</v>
      </c>
      <c r="G3314">
        <v>100</v>
      </c>
    </row>
    <row r="3315" spans="1:7">
      <c r="A3315">
        <v>277</v>
      </c>
      <c r="B3315" s="1">
        <v>45962</v>
      </c>
      <c r="C3315">
        <v>18</v>
      </c>
      <c r="D3315">
        <v>18</v>
      </c>
      <c r="E3315">
        <v>0</v>
      </c>
      <c r="F3315">
        <v>1</v>
      </c>
      <c r="G3315">
        <v>100</v>
      </c>
    </row>
    <row r="3316" spans="1:7">
      <c r="A3316">
        <v>277</v>
      </c>
      <c r="B3316" s="1">
        <v>45992</v>
      </c>
      <c r="C3316">
        <v>20</v>
      </c>
      <c r="D3316">
        <v>20</v>
      </c>
      <c r="E3316">
        <v>0</v>
      </c>
      <c r="F3316">
        <v>2</v>
      </c>
      <c r="G3316">
        <v>100</v>
      </c>
    </row>
    <row r="3317" spans="1:7">
      <c r="A3317">
        <v>277</v>
      </c>
      <c r="B3317" s="1">
        <v>46023</v>
      </c>
      <c r="C3317">
        <v>19</v>
      </c>
      <c r="D3317">
        <v>19</v>
      </c>
      <c r="E3317">
        <v>0</v>
      </c>
      <c r="F3317">
        <v>2</v>
      </c>
      <c r="G3317">
        <v>100</v>
      </c>
    </row>
    <row r="3318" spans="1:7">
      <c r="A3318">
        <v>277</v>
      </c>
      <c r="B3318" s="1">
        <v>46054</v>
      </c>
      <c r="C3318">
        <v>21</v>
      </c>
      <c r="D3318">
        <v>21</v>
      </c>
      <c r="E3318">
        <v>0</v>
      </c>
      <c r="F3318">
        <v>1</v>
      </c>
      <c r="G3318">
        <v>100</v>
      </c>
    </row>
    <row r="3319" spans="1:7">
      <c r="A3319">
        <v>277</v>
      </c>
      <c r="B3319" s="1">
        <v>46082</v>
      </c>
      <c r="C3319">
        <v>19</v>
      </c>
      <c r="D3319">
        <v>19</v>
      </c>
      <c r="E3319">
        <v>0</v>
      </c>
      <c r="F3319">
        <v>1</v>
      </c>
      <c r="G3319">
        <v>100</v>
      </c>
    </row>
    <row r="3320" spans="1:7">
      <c r="A3320">
        <v>277</v>
      </c>
      <c r="B3320" s="1">
        <v>46113</v>
      </c>
      <c r="C3320">
        <v>22</v>
      </c>
      <c r="D3320">
        <v>22</v>
      </c>
      <c r="E3320">
        <v>0</v>
      </c>
      <c r="F3320">
        <v>1</v>
      </c>
      <c r="G3320">
        <v>100</v>
      </c>
    </row>
    <row r="3321" spans="1:7">
      <c r="A3321">
        <v>277</v>
      </c>
      <c r="B3321" s="1">
        <v>46143</v>
      </c>
      <c r="C3321">
        <v>18</v>
      </c>
      <c r="D3321">
        <v>17</v>
      </c>
      <c r="E3321">
        <v>1</v>
      </c>
      <c r="F3321">
        <v>1</v>
      </c>
      <c r="G3321">
        <v>94.4</v>
      </c>
    </row>
    <row r="3322" spans="1:7">
      <c r="A3322">
        <v>277</v>
      </c>
      <c r="B3322" s="1">
        <v>46174</v>
      </c>
      <c r="C3322">
        <v>22</v>
      </c>
      <c r="D3322">
        <v>22</v>
      </c>
      <c r="E3322">
        <v>0</v>
      </c>
      <c r="F3322">
        <v>2</v>
      </c>
      <c r="G3322">
        <v>100</v>
      </c>
    </row>
    <row r="3323" spans="1:7">
      <c r="A3323">
        <v>277</v>
      </c>
      <c r="B3323" s="1">
        <v>46204</v>
      </c>
      <c r="C3323">
        <v>20</v>
      </c>
      <c r="D3323">
        <v>18</v>
      </c>
      <c r="E3323">
        <v>2</v>
      </c>
      <c r="F3323">
        <v>5</v>
      </c>
      <c r="G3323">
        <v>90</v>
      </c>
    </row>
    <row r="3324" spans="1:7">
      <c r="A3324">
        <v>277</v>
      </c>
      <c r="B3324" s="1">
        <v>46235</v>
      </c>
      <c r="C3324">
        <v>22</v>
      </c>
      <c r="D3324">
        <v>22</v>
      </c>
      <c r="E3324">
        <v>0</v>
      </c>
      <c r="F3324">
        <v>3</v>
      </c>
      <c r="G3324">
        <v>100</v>
      </c>
    </row>
    <row r="3325" spans="1:7">
      <c r="A3325">
        <v>277</v>
      </c>
      <c r="B3325" s="1">
        <v>46266</v>
      </c>
      <c r="C3325">
        <v>21</v>
      </c>
      <c r="D3325">
        <v>21</v>
      </c>
      <c r="E3325">
        <v>0</v>
      </c>
      <c r="F3325">
        <v>1</v>
      </c>
      <c r="G3325">
        <v>100</v>
      </c>
    </row>
    <row r="3326" spans="1:7">
      <c r="A3326">
        <v>278</v>
      </c>
      <c r="B3326" s="1">
        <v>45931</v>
      </c>
      <c r="C3326">
        <v>20</v>
      </c>
      <c r="D3326">
        <v>16</v>
      </c>
      <c r="E3326">
        <v>4</v>
      </c>
      <c r="F3326">
        <v>4</v>
      </c>
      <c r="G3326">
        <v>80</v>
      </c>
    </row>
    <row r="3327" spans="1:7">
      <c r="A3327">
        <v>278</v>
      </c>
      <c r="B3327" s="1">
        <v>45962</v>
      </c>
      <c r="C3327">
        <v>20</v>
      </c>
      <c r="D3327">
        <v>17</v>
      </c>
      <c r="E3327">
        <v>3</v>
      </c>
      <c r="F3327">
        <v>4</v>
      </c>
      <c r="G3327">
        <v>85</v>
      </c>
    </row>
    <row r="3328" spans="1:7">
      <c r="A3328">
        <v>278</v>
      </c>
      <c r="B3328" s="1">
        <v>45992</v>
      </c>
      <c r="C3328">
        <v>20</v>
      </c>
      <c r="D3328">
        <v>18</v>
      </c>
      <c r="E3328">
        <v>2</v>
      </c>
      <c r="F3328">
        <v>5</v>
      </c>
      <c r="G3328">
        <v>90</v>
      </c>
    </row>
    <row r="3329" spans="1:7">
      <c r="A3329">
        <v>278</v>
      </c>
      <c r="B3329" s="1">
        <v>46023</v>
      </c>
      <c r="C3329">
        <v>19</v>
      </c>
      <c r="D3329">
        <v>10</v>
      </c>
      <c r="E3329">
        <v>9</v>
      </c>
      <c r="F3329">
        <v>6</v>
      </c>
      <c r="G3329">
        <v>52.6</v>
      </c>
    </row>
    <row r="3330" spans="1:7">
      <c r="A3330">
        <v>278</v>
      </c>
      <c r="B3330" s="1">
        <v>46054</v>
      </c>
      <c r="C3330">
        <v>22</v>
      </c>
      <c r="D3330">
        <v>19</v>
      </c>
      <c r="E3330">
        <v>3</v>
      </c>
      <c r="F3330">
        <v>3</v>
      </c>
      <c r="G3330">
        <v>86.4</v>
      </c>
    </row>
    <row r="3331" spans="1:7">
      <c r="A3331">
        <v>278</v>
      </c>
      <c r="B3331" s="1">
        <v>46082</v>
      </c>
      <c r="C3331">
        <v>18</v>
      </c>
      <c r="D3331">
        <v>12</v>
      </c>
      <c r="E3331">
        <v>6</v>
      </c>
      <c r="F3331">
        <v>5</v>
      </c>
      <c r="G3331">
        <v>66.7</v>
      </c>
    </row>
    <row r="3332" spans="1:7">
      <c r="A3332">
        <v>278</v>
      </c>
      <c r="B3332" s="1">
        <v>46113</v>
      </c>
      <c r="C3332">
        <v>18</v>
      </c>
      <c r="D3332">
        <v>13</v>
      </c>
      <c r="E3332">
        <v>5</v>
      </c>
      <c r="F3332">
        <v>1</v>
      </c>
      <c r="G3332">
        <v>72.2</v>
      </c>
    </row>
    <row r="3333" spans="1:7">
      <c r="A3333">
        <v>278</v>
      </c>
      <c r="B3333" s="1">
        <v>46143</v>
      </c>
      <c r="C3333">
        <v>19</v>
      </c>
      <c r="D3333">
        <v>12</v>
      </c>
      <c r="E3333">
        <v>7</v>
      </c>
      <c r="F3333">
        <v>2</v>
      </c>
      <c r="G3333">
        <v>63.2</v>
      </c>
    </row>
    <row r="3334" spans="1:7">
      <c r="A3334">
        <v>278</v>
      </c>
      <c r="B3334" s="1">
        <v>46174</v>
      </c>
      <c r="C3334">
        <v>22</v>
      </c>
      <c r="D3334">
        <v>16</v>
      </c>
      <c r="E3334">
        <v>6</v>
      </c>
      <c r="F3334">
        <v>5</v>
      </c>
      <c r="G3334">
        <v>72.7</v>
      </c>
    </row>
    <row r="3335" spans="1:7">
      <c r="A3335">
        <v>278</v>
      </c>
      <c r="B3335" s="1">
        <v>46204</v>
      </c>
      <c r="C3335">
        <v>19</v>
      </c>
      <c r="D3335">
        <v>17</v>
      </c>
      <c r="E3335">
        <v>2</v>
      </c>
      <c r="F3335">
        <v>2</v>
      </c>
      <c r="G3335">
        <v>89.5</v>
      </c>
    </row>
    <row r="3336" spans="1:7">
      <c r="A3336">
        <v>278</v>
      </c>
      <c r="B3336" s="1">
        <v>46235</v>
      </c>
      <c r="C3336">
        <v>21</v>
      </c>
      <c r="D3336">
        <v>20</v>
      </c>
      <c r="E3336">
        <v>1</v>
      </c>
      <c r="F3336">
        <v>0</v>
      </c>
      <c r="G3336">
        <v>95.2</v>
      </c>
    </row>
    <row r="3337" spans="1:7">
      <c r="A3337">
        <v>278</v>
      </c>
      <c r="B3337" s="1">
        <v>46266</v>
      </c>
      <c r="C3337">
        <v>22</v>
      </c>
      <c r="D3337">
        <v>15</v>
      </c>
      <c r="E3337">
        <v>7</v>
      </c>
      <c r="F3337">
        <v>1</v>
      </c>
      <c r="G3337">
        <v>68.2</v>
      </c>
    </row>
    <row r="3338" spans="1:7">
      <c r="A3338">
        <v>279</v>
      </c>
      <c r="B3338" s="1">
        <v>45931</v>
      </c>
      <c r="C3338">
        <v>19</v>
      </c>
      <c r="D3338">
        <v>11</v>
      </c>
      <c r="E3338">
        <v>8</v>
      </c>
      <c r="F3338">
        <v>5</v>
      </c>
      <c r="G3338">
        <v>57.9</v>
      </c>
    </row>
    <row r="3339" spans="1:7">
      <c r="A3339">
        <v>279</v>
      </c>
      <c r="B3339" s="1">
        <v>45962</v>
      </c>
      <c r="C3339">
        <v>18</v>
      </c>
      <c r="D3339">
        <v>10</v>
      </c>
      <c r="E3339">
        <v>8</v>
      </c>
      <c r="F3339">
        <v>2</v>
      </c>
      <c r="G3339">
        <v>55.6</v>
      </c>
    </row>
    <row r="3340" spans="1:7">
      <c r="A3340">
        <v>279</v>
      </c>
      <c r="B3340" s="1">
        <v>45992</v>
      </c>
      <c r="C3340">
        <v>22</v>
      </c>
      <c r="D3340">
        <v>11</v>
      </c>
      <c r="E3340">
        <v>11</v>
      </c>
      <c r="F3340">
        <v>4</v>
      </c>
      <c r="G3340">
        <v>50</v>
      </c>
    </row>
    <row r="3341" spans="1:7">
      <c r="A3341">
        <v>279</v>
      </c>
      <c r="B3341" s="1">
        <v>46023</v>
      </c>
      <c r="C3341">
        <v>22</v>
      </c>
      <c r="D3341">
        <v>12</v>
      </c>
      <c r="E3341">
        <v>10</v>
      </c>
      <c r="F3341">
        <v>6</v>
      </c>
      <c r="G3341">
        <v>54.5</v>
      </c>
    </row>
    <row r="3342" spans="1:7">
      <c r="A3342">
        <v>279</v>
      </c>
      <c r="B3342" s="1">
        <v>46054</v>
      </c>
      <c r="C3342">
        <v>18</v>
      </c>
      <c r="D3342">
        <v>10</v>
      </c>
      <c r="E3342">
        <v>8</v>
      </c>
      <c r="F3342">
        <v>4</v>
      </c>
      <c r="G3342">
        <v>55.6</v>
      </c>
    </row>
    <row r="3343" spans="1:7">
      <c r="A3343">
        <v>279</v>
      </c>
      <c r="B3343" s="1">
        <v>46082</v>
      </c>
      <c r="C3343">
        <v>22</v>
      </c>
      <c r="D3343">
        <v>13</v>
      </c>
      <c r="E3343">
        <v>9</v>
      </c>
      <c r="F3343">
        <v>1</v>
      </c>
      <c r="G3343">
        <v>59.1</v>
      </c>
    </row>
    <row r="3344" spans="1:7">
      <c r="A3344">
        <v>279</v>
      </c>
      <c r="B3344" s="1">
        <v>46113</v>
      </c>
      <c r="C3344">
        <v>19</v>
      </c>
      <c r="D3344">
        <v>10</v>
      </c>
      <c r="E3344">
        <v>9</v>
      </c>
      <c r="F3344">
        <v>5</v>
      </c>
      <c r="G3344">
        <v>52.6</v>
      </c>
    </row>
    <row r="3345" spans="1:7">
      <c r="A3345">
        <v>279</v>
      </c>
      <c r="B3345" s="1">
        <v>46143</v>
      </c>
      <c r="C3345">
        <v>19</v>
      </c>
      <c r="D3345">
        <v>10</v>
      </c>
      <c r="E3345">
        <v>9</v>
      </c>
      <c r="F3345">
        <v>1</v>
      </c>
      <c r="G3345">
        <v>52.6</v>
      </c>
    </row>
    <row r="3346" spans="1:7">
      <c r="A3346">
        <v>279</v>
      </c>
      <c r="B3346" s="1">
        <v>46174</v>
      </c>
      <c r="C3346">
        <v>21</v>
      </c>
      <c r="D3346">
        <v>10</v>
      </c>
      <c r="E3346">
        <v>11</v>
      </c>
      <c r="F3346">
        <v>2</v>
      </c>
      <c r="G3346">
        <v>47.6</v>
      </c>
    </row>
    <row r="3347" spans="1:7">
      <c r="A3347">
        <v>279</v>
      </c>
      <c r="B3347" s="1">
        <v>46204</v>
      </c>
      <c r="C3347">
        <v>22</v>
      </c>
      <c r="D3347">
        <v>10</v>
      </c>
      <c r="E3347">
        <v>12</v>
      </c>
      <c r="F3347">
        <v>2</v>
      </c>
      <c r="G3347">
        <v>45.5</v>
      </c>
    </row>
    <row r="3348" spans="1:7">
      <c r="A3348">
        <v>279</v>
      </c>
      <c r="B3348" s="1">
        <v>46235</v>
      </c>
      <c r="C3348">
        <v>18</v>
      </c>
      <c r="D3348">
        <v>10</v>
      </c>
      <c r="E3348">
        <v>8</v>
      </c>
      <c r="F3348">
        <v>0</v>
      </c>
      <c r="G3348">
        <v>55.6</v>
      </c>
    </row>
    <row r="3349" spans="1:7">
      <c r="A3349">
        <v>279</v>
      </c>
      <c r="B3349" s="1">
        <v>46266</v>
      </c>
      <c r="C3349">
        <v>19</v>
      </c>
      <c r="D3349">
        <v>14</v>
      </c>
      <c r="E3349">
        <v>5</v>
      </c>
      <c r="F3349">
        <v>4</v>
      </c>
      <c r="G3349">
        <v>73.7</v>
      </c>
    </row>
    <row r="3350" spans="1:7">
      <c r="A3350">
        <v>280</v>
      </c>
      <c r="B3350" s="1">
        <v>45931</v>
      </c>
      <c r="C3350">
        <v>20</v>
      </c>
      <c r="D3350">
        <v>19</v>
      </c>
      <c r="E3350">
        <v>1</v>
      </c>
      <c r="F3350">
        <v>4</v>
      </c>
      <c r="G3350">
        <v>95</v>
      </c>
    </row>
    <row r="3351" spans="1:7">
      <c r="A3351">
        <v>280</v>
      </c>
      <c r="B3351" s="1">
        <v>45962</v>
      </c>
      <c r="C3351">
        <v>22</v>
      </c>
      <c r="D3351">
        <v>22</v>
      </c>
      <c r="E3351">
        <v>0</v>
      </c>
      <c r="F3351">
        <v>3</v>
      </c>
      <c r="G3351">
        <v>100</v>
      </c>
    </row>
    <row r="3352" spans="1:7">
      <c r="A3352">
        <v>280</v>
      </c>
      <c r="B3352" s="1">
        <v>45992</v>
      </c>
      <c r="C3352">
        <v>21</v>
      </c>
      <c r="D3352">
        <v>18</v>
      </c>
      <c r="E3352">
        <v>3</v>
      </c>
      <c r="F3352">
        <v>0</v>
      </c>
      <c r="G3352">
        <v>85.7</v>
      </c>
    </row>
    <row r="3353" spans="1:7">
      <c r="A3353">
        <v>280</v>
      </c>
      <c r="B3353" s="1">
        <v>46023</v>
      </c>
      <c r="C3353">
        <v>20</v>
      </c>
      <c r="D3353">
        <v>18</v>
      </c>
      <c r="E3353">
        <v>2</v>
      </c>
      <c r="F3353">
        <v>5</v>
      </c>
      <c r="G3353">
        <v>90</v>
      </c>
    </row>
    <row r="3354" spans="1:7">
      <c r="A3354">
        <v>280</v>
      </c>
      <c r="B3354" s="1">
        <v>46054</v>
      </c>
      <c r="C3354">
        <v>18</v>
      </c>
      <c r="D3354">
        <v>18</v>
      </c>
      <c r="E3354">
        <v>0</v>
      </c>
      <c r="F3354">
        <v>0</v>
      </c>
      <c r="G3354">
        <v>100</v>
      </c>
    </row>
    <row r="3355" spans="1:7">
      <c r="A3355">
        <v>280</v>
      </c>
      <c r="B3355" s="1">
        <v>46082</v>
      </c>
      <c r="C3355">
        <v>21</v>
      </c>
      <c r="D3355">
        <v>20</v>
      </c>
      <c r="E3355">
        <v>1</v>
      </c>
      <c r="F3355">
        <v>1</v>
      </c>
      <c r="G3355">
        <v>95.2</v>
      </c>
    </row>
    <row r="3356" spans="1:7">
      <c r="A3356">
        <v>280</v>
      </c>
      <c r="B3356" s="1">
        <v>46113</v>
      </c>
      <c r="C3356">
        <v>18</v>
      </c>
      <c r="D3356">
        <v>18</v>
      </c>
      <c r="E3356">
        <v>0</v>
      </c>
      <c r="F3356">
        <v>3</v>
      </c>
      <c r="G3356">
        <v>100</v>
      </c>
    </row>
    <row r="3357" spans="1:7">
      <c r="A3357">
        <v>280</v>
      </c>
      <c r="B3357" s="1">
        <v>46143</v>
      </c>
      <c r="C3357">
        <v>20</v>
      </c>
      <c r="D3357">
        <v>20</v>
      </c>
      <c r="E3357">
        <v>0</v>
      </c>
      <c r="F3357">
        <v>0</v>
      </c>
      <c r="G3357">
        <v>100</v>
      </c>
    </row>
    <row r="3358" spans="1:7">
      <c r="A3358">
        <v>280</v>
      </c>
      <c r="B3358" s="1">
        <v>46174</v>
      </c>
      <c r="C3358">
        <v>22</v>
      </c>
      <c r="D3358">
        <v>22</v>
      </c>
      <c r="E3358">
        <v>0</v>
      </c>
      <c r="F3358">
        <v>3</v>
      </c>
      <c r="G3358">
        <v>100</v>
      </c>
    </row>
    <row r="3359" spans="1:7">
      <c r="A3359">
        <v>280</v>
      </c>
      <c r="B3359" s="1">
        <v>46204</v>
      </c>
      <c r="C3359">
        <v>19</v>
      </c>
      <c r="D3359">
        <v>17</v>
      </c>
      <c r="E3359">
        <v>2</v>
      </c>
      <c r="F3359">
        <v>4</v>
      </c>
      <c r="G3359">
        <v>89.5</v>
      </c>
    </row>
    <row r="3360" spans="1:7">
      <c r="A3360">
        <v>280</v>
      </c>
      <c r="B3360" s="1">
        <v>46235</v>
      </c>
      <c r="C3360">
        <v>22</v>
      </c>
      <c r="D3360">
        <v>22</v>
      </c>
      <c r="E3360">
        <v>0</v>
      </c>
      <c r="F3360">
        <v>2</v>
      </c>
      <c r="G3360">
        <v>100</v>
      </c>
    </row>
    <row r="3361" spans="1:7">
      <c r="A3361">
        <v>280</v>
      </c>
      <c r="B3361" s="1">
        <v>46266</v>
      </c>
      <c r="C3361">
        <v>21</v>
      </c>
      <c r="D3361">
        <v>21</v>
      </c>
      <c r="E3361">
        <v>0</v>
      </c>
      <c r="F3361">
        <v>2</v>
      </c>
      <c r="G3361">
        <v>100</v>
      </c>
    </row>
    <row r="3362" spans="1:7">
      <c r="A3362">
        <v>281</v>
      </c>
      <c r="B3362" s="1">
        <v>45931</v>
      </c>
      <c r="C3362">
        <v>21</v>
      </c>
      <c r="D3362">
        <v>21</v>
      </c>
      <c r="E3362">
        <v>0</v>
      </c>
      <c r="F3362">
        <v>3</v>
      </c>
      <c r="G3362">
        <v>100</v>
      </c>
    </row>
    <row r="3363" spans="1:7">
      <c r="A3363">
        <v>281</v>
      </c>
      <c r="B3363" s="1">
        <v>45962</v>
      </c>
      <c r="C3363">
        <v>22</v>
      </c>
      <c r="D3363">
        <v>22</v>
      </c>
      <c r="E3363">
        <v>0</v>
      </c>
      <c r="F3363">
        <v>2</v>
      </c>
      <c r="G3363">
        <v>100</v>
      </c>
    </row>
    <row r="3364" spans="1:7">
      <c r="A3364">
        <v>281</v>
      </c>
      <c r="B3364" s="1">
        <v>45992</v>
      </c>
      <c r="C3364">
        <v>20</v>
      </c>
      <c r="D3364">
        <v>19</v>
      </c>
      <c r="E3364">
        <v>1</v>
      </c>
      <c r="F3364">
        <v>2</v>
      </c>
      <c r="G3364">
        <v>95</v>
      </c>
    </row>
    <row r="3365" spans="1:7">
      <c r="A3365">
        <v>281</v>
      </c>
      <c r="B3365" s="1">
        <v>46023</v>
      </c>
      <c r="C3365">
        <v>20</v>
      </c>
      <c r="D3365">
        <v>16</v>
      </c>
      <c r="E3365">
        <v>4</v>
      </c>
      <c r="F3365">
        <v>5</v>
      </c>
      <c r="G3365">
        <v>80</v>
      </c>
    </row>
    <row r="3366" spans="1:7">
      <c r="A3366">
        <v>281</v>
      </c>
      <c r="B3366" s="1">
        <v>46054</v>
      </c>
      <c r="C3366">
        <v>22</v>
      </c>
      <c r="D3366">
        <v>22</v>
      </c>
      <c r="E3366">
        <v>0</v>
      </c>
      <c r="F3366">
        <v>0</v>
      </c>
      <c r="G3366">
        <v>100</v>
      </c>
    </row>
    <row r="3367" spans="1:7">
      <c r="A3367">
        <v>281</v>
      </c>
      <c r="B3367" s="1">
        <v>46082</v>
      </c>
      <c r="C3367">
        <v>19</v>
      </c>
      <c r="D3367">
        <v>18</v>
      </c>
      <c r="E3367">
        <v>1</v>
      </c>
      <c r="F3367">
        <v>3</v>
      </c>
      <c r="G3367">
        <v>94.7</v>
      </c>
    </row>
    <row r="3368" spans="1:7">
      <c r="A3368">
        <v>281</v>
      </c>
      <c r="B3368" s="1">
        <v>46113</v>
      </c>
      <c r="C3368">
        <v>18</v>
      </c>
      <c r="D3368">
        <v>18</v>
      </c>
      <c r="E3368">
        <v>0</v>
      </c>
      <c r="F3368">
        <v>3</v>
      </c>
      <c r="G3368">
        <v>100</v>
      </c>
    </row>
    <row r="3369" spans="1:7">
      <c r="A3369">
        <v>281</v>
      </c>
      <c r="B3369" s="1">
        <v>46143</v>
      </c>
      <c r="C3369">
        <v>21</v>
      </c>
      <c r="D3369">
        <v>15</v>
      </c>
      <c r="E3369">
        <v>6</v>
      </c>
      <c r="F3369">
        <v>1</v>
      </c>
      <c r="G3369">
        <v>71.400000000000006</v>
      </c>
    </row>
    <row r="3370" spans="1:7">
      <c r="A3370">
        <v>281</v>
      </c>
      <c r="B3370" s="1">
        <v>46174</v>
      </c>
      <c r="C3370">
        <v>19</v>
      </c>
      <c r="D3370">
        <v>16</v>
      </c>
      <c r="E3370">
        <v>3</v>
      </c>
      <c r="F3370">
        <v>2</v>
      </c>
      <c r="G3370">
        <v>84.2</v>
      </c>
    </row>
    <row r="3371" spans="1:7">
      <c r="A3371">
        <v>281</v>
      </c>
      <c r="B3371" s="1">
        <v>46204</v>
      </c>
      <c r="C3371">
        <v>18</v>
      </c>
      <c r="D3371">
        <v>16</v>
      </c>
      <c r="E3371">
        <v>2</v>
      </c>
      <c r="F3371">
        <v>3</v>
      </c>
      <c r="G3371">
        <v>88.9</v>
      </c>
    </row>
    <row r="3372" spans="1:7">
      <c r="A3372">
        <v>281</v>
      </c>
      <c r="B3372" s="1">
        <v>46235</v>
      </c>
      <c r="C3372">
        <v>20</v>
      </c>
      <c r="D3372">
        <v>20</v>
      </c>
      <c r="E3372">
        <v>0</v>
      </c>
      <c r="F3372">
        <v>1</v>
      </c>
      <c r="G3372">
        <v>100</v>
      </c>
    </row>
    <row r="3373" spans="1:7">
      <c r="A3373">
        <v>281</v>
      </c>
      <c r="B3373" s="1">
        <v>46266</v>
      </c>
      <c r="C3373">
        <v>19</v>
      </c>
      <c r="D3373">
        <v>19</v>
      </c>
      <c r="E3373">
        <v>0</v>
      </c>
      <c r="F3373">
        <v>0</v>
      </c>
      <c r="G3373">
        <v>100</v>
      </c>
    </row>
    <row r="3374" spans="1:7">
      <c r="A3374">
        <v>282</v>
      </c>
      <c r="B3374" s="1">
        <v>45931</v>
      </c>
      <c r="C3374">
        <v>19</v>
      </c>
      <c r="D3374">
        <v>17</v>
      </c>
      <c r="E3374">
        <v>2</v>
      </c>
      <c r="F3374">
        <v>2</v>
      </c>
      <c r="G3374">
        <v>89.5</v>
      </c>
    </row>
    <row r="3375" spans="1:7">
      <c r="A3375">
        <v>282</v>
      </c>
      <c r="B3375" s="1">
        <v>45962</v>
      </c>
      <c r="C3375">
        <v>22</v>
      </c>
      <c r="D3375">
        <v>18</v>
      </c>
      <c r="E3375">
        <v>4</v>
      </c>
      <c r="F3375">
        <v>3</v>
      </c>
      <c r="G3375">
        <v>81.8</v>
      </c>
    </row>
    <row r="3376" spans="1:7">
      <c r="A3376">
        <v>282</v>
      </c>
      <c r="B3376" s="1">
        <v>45992</v>
      </c>
      <c r="C3376">
        <v>18</v>
      </c>
      <c r="D3376">
        <v>18</v>
      </c>
      <c r="E3376">
        <v>0</v>
      </c>
      <c r="F3376">
        <v>1</v>
      </c>
      <c r="G3376">
        <v>100</v>
      </c>
    </row>
    <row r="3377" spans="1:7">
      <c r="A3377">
        <v>282</v>
      </c>
      <c r="B3377" s="1">
        <v>46023</v>
      </c>
      <c r="C3377">
        <v>22</v>
      </c>
      <c r="D3377">
        <v>22</v>
      </c>
      <c r="E3377">
        <v>0</v>
      </c>
      <c r="F3377">
        <v>1</v>
      </c>
      <c r="G3377">
        <v>100</v>
      </c>
    </row>
    <row r="3378" spans="1:7">
      <c r="A3378">
        <v>282</v>
      </c>
      <c r="B3378" s="1">
        <v>46054</v>
      </c>
      <c r="C3378">
        <v>20</v>
      </c>
      <c r="D3378">
        <v>16</v>
      </c>
      <c r="E3378">
        <v>4</v>
      </c>
      <c r="F3378">
        <v>6</v>
      </c>
      <c r="G3378">
        <v>80</v>
      </c>
    </row>
    <row r="3379" spans="1:7">
      <c r="A3379">
        <v>282</v>
      </c>
      <c r="B3379" s="1">
        <v>46082</v>
      </c>
      <c r="C3379">
        <v>19</v>
      </c>
      <c r="D3379">
        <v>14</v>
      </c>
      <c r="E3379">
        <v>5</v>
      </c>
      <c r="F3379">
        <v>6</v>
      </c>
      <c r="G3379">
        <v>73.7</v>
      </c>
    </row>
    <row r="3380" spans="1:7">
      <c r="A3380">
        <v>282</v>
      </c>
      <c r="B3380" s="1">
        <v>46113</v>
      </c>
      <c r="C3380">
        <v>19</v>
      </c>
      <c r="D3380">
        <v>18</v>
      </c>
      <c r="E3380">
        <v>1</v>
      </c>
      <c r="F3380">
        <v>4</v>
      </c>
      <c r="G3380">
        <v>94.7</v>
      </c>
    </row>
    <row r="3381" spans="1:7">
      <c r="A3381">
        <v>282</v>
      </c>
      <c r="B3381" s="1">
        <v>46143</v>
      </c>
      <c r="C3381">
        <v>21</v>
      </c>
      <c r="D3381">
        <v>20</v>
      </c>
      <c r="E3381">
        <v>1</v>
      </c>
      <c r="F3381">
        <v>4</v>
      </c>
      <c r="G3381">
        <v>95.2</v>
      </c>
    </row>
    <row r="3382" spans="1:7">
      <c r="A3382">
        <v>282</v>
      </c>
      <c r="B3382" s="1">
        <v>46174</v>
      </c>
      <c r="C3382">
        <v>21</v>
      </c>
      <c r="D3382">
        <v>19</v>
      </c>
      <c r="E3382">
        <v>2</v>
      </c>
      <c r="F3382">
        <v>2</v>
      </c>
      <c r="G3382">
        <v>90.5</v>
      </c>
    </row>
    <row r="3383" spans="1:7">
      <c r="A3383">
        <v>282</v>
      </c>
      <c r="B3383" s="1">
        <v>46204</v>
      </c>
      <c r="C3383">
        <v>21</v>
      </c>
      <c r="D3383">
        <v>21</v>
      </c>
      <c r="E3383">
        <v>0</v>
      </c>
      <c r="F3383">
        <v>2</v>
      </c>
      <c r="G3383">
        <v>100</v>
      </c>
    </row>
    <row r="3384" spans="1:7">
      <c r="A3384">
        <v>282</v>
      </c>
      <c r="B3384" s="1">
        <v>46235</v>
      </c>
      <c r="C3384">
        <v>20</v>
      </c>
      <c r="D3384">
        <v>17</v>
      </c>
      <c r="E3384">
        <v>3</v>
      </c>
      <c r="F3384">
        <v>2</v>
      </c>
      <c r="G3384">
        <v>85</v>
      </c>
    </row>
    <row r="3385" spans="1:7">
      <c r="A3385">
        <v>282</v>
      </c>
      <c r="B3385" s="1">
        <v>46266</v>
      </c>
      <c r="C3385">
        <v>20</v>
      </c>
      <c r="D3385">
        <v>17</v>
      </c>
      <c r="E3385">
        <v>3</v>
      </c>
      <c r="F3385">
        <v>3</v>
      </c>
      <c r="G3385">
        <v>85</v>
      </c>
    </row>
    <row r="3386" spans="1:7">
      <c r="A3386">
        <v>283</v>
      </c>
      <c r="B3386" s="1">
        <v>45931</v>
      </c>
      <c r="C3386">
        <v>20</v>
      </c>
      <c r="D3386">
        <v>18</v>
      </c>
      <c r="E3386">
        <v>2</v>
      </c>
      <c r="F3386">
        <v>3</v>
      </c>
      <c r="G3386">
        <v>90</v>
      </c>
    </row>
    <row r="3387" spans="1:7">
      <c r="A3387">
        <v>283</v>
      </c>
      <c r="B3387" s="1">
        <v>45962</v>
      </c>
      <c r="C3387">
        <v>18</v>
      </c>
      <c r="D3387">
        <v>13</v>
      </c>
      <c r="E3387">
        <v>5</v>
      </c>
      <c r="F3387">
        <v>6</v>
      </c>
      <c r="G3387">
        <v>72.2</v>
      </c>
    </row>
    <row r="3388" spans="1:7">
      <c r="A3388">
        <v>283</v>
      </c>
      <c r="B3388" s="1">
        <v>45992</v>
      </c>
      <c r="C3388">
        <v>21</v>
      </c>
      <c r="D3388">
        <v>15</v>
      </c>
      <c r="E3388">
        <v>6</v>
      </c>
      <c r="F3388">
        <v>5</v>
      </c>
      <c r="G3388">
        <v>71.400000000000006</v>
      </c>
    </row>
    <row r="3389" spans="1:7">
      <c r="A3389">
        <v>283</v>
      </c>
      <c r="B3389" s="1">
        <v>46023</v>
      </c>
      <c r="C3389">
        <v>19</v>
      </c>
      <c r="D3389">
        <v>14</v>
      </c>
      <c r="E3389">
        <v>5</v>
      </c>
      <c r="F3389">
        <v>3</v>
      </c>
      <c r="G3389">
        <v>73.7</v>
      </c>
    </row>
    <row r="3390" spans="1:7">
      <c r="A3390">
        <v>283</v>
      </c>
      <c r="B3390" s="1">
        <v>46054</v>
      </c>
      <c r="C3390">
        <v>20</v>
      </c>
      <c r="D3390">
        <v>13</v>
      </c>
      <c r="E3390">
        <v>7</v>
      </c>
      <c r="F3390">
        <v>1</v>
      </c>
      <c r="G3390">
        <v>65</v>
      </c>
    </row>
    <row r="3391" spans="1:7">
      <c r="A3391">
        <v>283</v>
      </c>
      <c r="B3391" s="1">
        <v>46082</v>
      </c>
      <c r="C3391">
        <v>20</v>
      </c>
      <c r="D3391">
        <v>16</v>
      </c>
      <c r="E3391">
        <v>4</v>
      </c>
      <c r="F3391">
        <v>2</v>
      </c>
      <c r="G3391">
        <v>80</v>
      </c>
    </row>
    <row r="3392" spans="1:7">
      <c r="A3392">
        <v>283</v>
      </c>
      <c r="B3392" s="1">
        <v>46113</v>
      </c>
      <c r="C3392">
        <v>20</v>
      </c>
      <c r="D3392">
        <v>14</v>
      </c>
      <c r="E3392">
        <v>6</v>
      </c>
      <c r="F3392">
        <v>3</v>
      </c>
      <c r="G3392">
        <v>70</v>
      </c>
    </row>
    <row r="3393" spans="1:7">
      <c r="A3393">
        <v>283</v>
      </c>
      <c r="B3393" s="1">
        <v>46143</v>
      </c>
      <c r="C3393">
        <v>20</v>
      </c>
      <c r="D3393">
        <v>16</v>
      </c>
      <c r="E3393">
        <v>4</v>
      </c>
      <c r="F3393">
        <v>4</v>
      </c>
      <c r="G3393">
        <v>80</v>
      </c>
    </row>
    <row r="3394" spans="1:7">
      <c r="A3394">
        <v>283</v>
      </c>
      <c r="B3394" s="1">
        <v>46174</v>
      </c>
      <c r="C3394">
        <v>22</v>
      </c>
      <c r="D3394">
        <v>18</v>
      </c>
      <c r="E3394">
        <v>4</v>
      </c>
      <c r="F3394">
        <v>4</v>
      </c>
      <c r="G3394">
        <v>81.8</v>
      </c>
    </row>
    <row r="3395" spans="1:7">
      <c r="A3395">
        <v>283</v>
      </c>
      <c r="B3395" s="1">
        <v>46204</v>
      </c>
      <c r="C3395">
        <v>22</v>
      </c>
      <c r="D3395">
        <v>22</v>
      </c>
      <c r="E3395">
        <v>0</v>
      </c>
      <c r="F3395">
        <v>3</v>
      </c>
      <c r="G3395">
        <v>100</v>
      </c>
    </row>
    <row r="3396" spans="1:7">
      <c r="A3396">
        <v>283</v>
      </c>
      <c r="B3396" s="1">
        <v>46235</v>
      </c>
      <c r="C3396">
        <v>20</v>
      </c>
      <c r="D3396">
        <v>15</v>
      </c>
      <c r="E3396">
        <v>5</v>
      </c>
      <c r="F3396">
        <v>2</v>
      </c>
      <c r="G3396">
        <v>75</v>
      </c>
    </row>
    <row r="3397" spans="1:7">
      <c r="A3397">
        <v>283</v>
      </c>
      <c r="B3397" s="1">
        <v>46266</v>
      </c>
      <c r="C3397">
        <v>21</v>
      </c>
      <c r="D3397">
        <v>16</v>
      </c>
      <c r="E3397">
        <v>5</v>
      </c>
      <c r="F3397">
        <v>5</v>
      </c>
      <c r="G3397">
        <v>76.2</v>
      </c>
    </row>
    <row r="3398" spans="1:7">
      <c r="A3398">
        <v>284</v>
      </c>
      <c r="B3398" s="1">
        <v>45931</v>
      </c>
      <c r="C3398">
        <v>22</v>
      </c>
      <c r="D3398">
        <v>22</v>
      </c>
      <c r="E3398">
        <v>0</v>
      </c>
      <c r="F3398">
        <v>0</v>
      </c>
      <c r="G3398">
        <v>100</v>
      </c>
    </row>
    <row r="3399" spans="1:7">
      <c r="A3399">
        <v>284</v>
      </c>
      <c r="B3399" s="1">
        <v>45962</v>
      </c>
      <c r="C3399">
        <v>21</v>
      </c>
      <c r="D3399">
        <v>20</v>
      </c>
      <c r="E3399">
        <v>1</v>
      </c>
      <c r="F3399">
        <v>3</v>
      </c>
      <c r="G3399">
        <v>95.2</v>
      </c>
    </row>
    <row r="3400" spans="1:7">
      <c r="A3400">
        <v>284</v>
      </c>
      <c r="B3400" s="1">
        <v>45992</v>
      </c>
      <c r="C3400">
        <v>19</v>
      </c>
      <c r="D3400">
        <v>19</v>
      </c>
      <c r="E3400">
        <v>0</v>
      </c>
      <c r="F3400">
        <v>3</v>
      </c>
      <c r="G3400">
        <v>100</v>
      </c>
    </row>
    <row r="3401" spans="1:7">
      <c r="A3401">
        <v>284</v>
      </c>
      <c r="B3401" s="1">
        <v>46023</v>
      </c>
      <c r="C3401">
        <v>18</v>
      </c>
      <c r="D3401">
        <v>15</v>
      </c>
      <c r="E3401">
        <v>3</v>
      </c>
      <c r="F3401">
        <v>0</v>
      </c>
      <c r="G3401">
        <v>83.3</v>
      </c>
    </row>
    <row r="3402" spans="1:7">
      <c r="A3402">
        <v>284</v>
      </c>
      <c r="B3402" s="1">
        <v>46054</v>
      </c>
      <c r="C3402">
        <v>18</v>
      </c>
      <c r="D3402">
        <v>18</v>
      </c>
      <c r="E3402">
        <v>0</v>
      </c>
      <c r="F3402">
        <v>2</v>
      </c>
      <c r="G3402">
        <v>100</v>
      </c>
    </row>
    <row r="3403" spans="1:7">
      <c r="A3403">
        <v>284</v>
      </c>
      <c r="B3403" s="1">
        <v>46082</v>
      </c>
      <c r="C3403">
        <v>21</v>
      </c>
      <c r="D3403">
        <v>21</v>
      </c>
      <c r="E3403">
        <v>0</v>
      </c>
      <c r="F3403">
        <v>2</v>
      </c>
      <c r="G3403">
        <v>100</v>
      </c>
    </row>
    <row r="3404" spans="1:7">
      <c r="A3404">
        <v>284</v>
      </c>
      <c r="B3404" s="1">
        <v>46113</v>
      </c>
      <c r="C3404">
        <v>18</v>
      </c>
      <c r="D3404">
        <v>18</v>
      </c>
      <c r="E3404">
        <v>0</v>
      </c>
      <c r="F3404">
        <v>0</v>
      </c>
      <c r="G3404">
        <v>100</v>
      </c>
    </row>
    <row r="3405" spans="1:7">
      <c r="A3405">
        <v>284</v>
      </c>
      <c r="B3405" s="1">
        <v>46143</v>
      </c>
      <c r="C3405">
        <v>20</v>
      </c>
      <c r="D3405">
        <v>19</v>
      </c>
      <c r="E3405">
        <v>1</v>
      </c>
      <c r="F3405">
        <v>3</v>
      </c>
      <c r="G3405">
        <v>95</v>
      </c>
    </row>
    <row r="3406" spans="1:7">
      <c r="A3406">
        <v>284</v>
      </c>
      <c r="B3406" s="1">
        <v>46174</v>
      </c>
      <c r="C3406">
        <v>19</v>
      </c>
      <c r="D3406">
        <v>17</v>
      </c>
      <c r="E3406">
        <v>2</v>
      </c>
      <c r="F3406">
        <v>4</v>
      </c>
      <c r="G3406">
        <v>89.5</v>
      </c>
    </row>
    <row r="3407" spans="1:7">
      <c r="A3407">
        <v>284</v>
      </c>
      <c r="B3407" s="1">
        <v>46204</v>
      </c>
      <c r="C3407">
        <v>19</v>
      </c>
      <c r="D3407">
        <v>19</v>
      </c>
      <c r="E3407">
        <v>0</v>
      </c>
      <c r="F3407">
        <v>0</v>
      </c>
      <c r="G3407">
        <v>100</v>
      </c>
    </row>
    <row r="3408" spans="1:7">
      <c r="A3408">
        <v>284</v>
      </c>
      <c r="B3408" s="1">
        <v>46235</v>
      </c>
      <c r="C3408">
        <v>21</v>
      </c>
      <c r="D3408">
        <v>21</v>
      </c>
      <c r="E3408">
        <v>0</v>
      </c>
      <c r="F3408">
        <v>2</v>
      </c>
      <c r="G3408">
        <v>100</v>
      </c>
    </row>
    <row r="3409" spans="1:7">
      <c r="A3409">
        <v>284</v>
      </c>
      <c r="B3409" s="1">
        <v>46266</v>
      </c>
      <c r="C3409">
        <v>22</v>
      </c>
      <c r="D3409">
        <v>19</v>
      </c>
      <c r="E3409">
        <v>3</v>
      </c>
      <c r="F3409">
        <v>4</v>
      </c>
      <c r="G3409">
        <v>86.4</v>
      </c>
    </row>
    <row r="3410" spans="1:7">
      <c r="A3410">
        <v>285</v>
      </c>
      <c r="B3410" s="1">
        <v>45931</v>
      </c>
      <c r="C3410">
        <v>20</v>
      </c>
      <c r="D3410">
        <v>18</v>
      </c>
      <c r="E3410">
        <v>2</v>
      </c>
      <c r="F3410">
        <v>0</v>
      </c>
      <c r="G3410">
        <v>90</v>
      </c>
    </row>
    <row r="3411" spans="1:7">
      <c r="A3411">
        <v>285</v>
      </c>
      <c r="B3411" s="1">
        <v>45962</v>
      </c>
      <c r="C3411">
        <v>20</v>
      </c>
      <c r="D3411">
        <v>19</v>
      </c>
      <c r="E3411">
        <v>1</v>
      </c>
      <c r="F3411">
        <v>2</v>
      </c>
      <c r="G3411">
        <v>95</v>
      </c>
    </row>
    <row r="3412" spans="1:7">
      <c r="A3412">
        <v>285</v>
      </c>
      <c r="B3412" s="1">
        <v>45992</v>
      </c>
      <c r="C3412">
        <v>21</v>
      </c>
      <c r="D3412">
        <v>19</v>
      </c>
      <c r="E3412">
        <v>2</v>
      </c>
      <c r="F3412">
        <v>2</v>
      </c>
      <c r="G3412">
        <v>90.5</v>
      </c>
    </row>
    <row r="3413" spans="1:7">
      <c r="A3413">
        <v>285</v>
      </c>
      <c r="B3413" s="1">
        <v>46023</v>
      </c>
      <c r="C3413">
        <v>21</v>
      </c>
      <c r="D3413">
        <v>20</v>
      </c>
      <c r="E3413">
        <v>1</v>
      </c>
      <c r="F3413">
        <v>1</v>
      </c>
      <c r="G3413">
        <v>95.2</v>
      </c>
    </row>
    <row r="3414" spans="1:7">
      <c r="A3414">
        <v>285</v>
      </c>
      <c r="B3414" s="1">
        <v>46054</v>
      </c>
      <c r="C3414">
        <v>21</v>
      </c>
      <c r="D3414">
        <v>20</v>
      </c>
      <c r="E3414">
        <v>1</v>
      </c>
      <c r="F3414">
        <v>2</v>
      </c>
      <c r="G3414">
        <v>95.2</v>
      </c>
    </row>
    <row r="3415" spans="1:7">
      <c r="A3415">
        <v>285</v>
      </c>
      <c r="B3415" s="1">
        <v>46082</v>
      </c>
      <c r="C3415">
        <v>20</v>
      </c>
      <c r="D3415">
        <v>17</v>
      </c>
      <c r="E3415">
        <v>3</v>
      </c>
      <c r="F3415">
        <v>4</v>
      </c>
      <c r="G3415">
        <v>85</v>
      </c>
    </row>
    <row r="3416" spans="1:7">
      <c r="A3416">
        <v>285</v>
      </c>
      <c r="B3416" s="1">
        <v>46113</v>
      </c>
      <c r="C3416">
        <v>18</v>
      </c>
      <c r="D3416">
        <v>14</v>
      </c>
      <c r="E3416">
        <v>4</v>
      </c>
      <c r="F3416">
        <v>3</v>
      </c>
      <c r="G3416">
        <v>77.8</v>
      </c>
    </row>
    <row r="3417" spans="1:7">
      <c r="A3417">
        <v>285</v>
      </c>
      <c r="B3417" s="1">
        <v>46143</v>
      </c>
      <c r="C3417">
        <v>21</v>
      </c>
      <c r="D3417">
        <v>16</v>
      </c>
      <c r="E3417">
        <v>5</v>
      </c>
      <c r="F3417">
        <v>6</v>
      </c>
      <c r="G3417">
        <v>76.2</v>
      </c>
    </row>
    <row r="3418" spans="1:7">
      <c r="A3418">
        <v>285</v>
      </c>
      <c r="B3418" s="1">
        <v>46174</v>
      </c>
      <c r="C3418">
        <v>21</v>
      </c>
      <c r="D3418">
        <v>18</v>
      </c>
      <c r="E3418">
        <v>3</v>
      </c>
      <c r="F3418">
        <v>0</v>
      </c>
      <c r="G3418">
        <v>85.7</v>
      </c>
    </row>
    <row r="3419" spans="1:7">
      <c r="A3419">
        <v>285</v>
      </c>
      <c r="B3419" s="1">
        <v>46204</v>
      </c>
      <c r="C3419">
        <v>22</v>
      </c>
      <c r="D3419">
        <v>22</v>
      </c>
      <c r="E3419">
        <v>0</v>
      </c>
      <c r="F3419">
        <v>2</v>
      </c>
      <c r="G3419">
        <v>100</v>
      </c>
    </row>
    <row r="3420" spans="1:7">
      <c r="A3420">
        <v>285</v>
      </c>
      <c r="B3420" s="1">
        <v>46235</v>
      </c>
      <c r="C3420">
        <v>18</v>
      </c>
      <c r="D3420">
        <v>18</v>
      </c>
      <c r="E3420">
        <v>0</v>
      </c>
      <c r="F3420">
        <v>2</v>
      </c>
      <c r="G3420">
        <v>100</v>
      </c>
    </row>
    <row r="3421" spans="1:7">
      <c r="A3421">
        <v>285</v>
      </c>
      <c r="B3421" s="1">
        <v>46266</v>
      </c>
      <c r="C3421">
        <v>22</v>
      </c>
      <c r="D3421">
        <v>22</v>
      </c>
      <c r="E3421">
        <v>0</v>
      </c>
      <c r="F3421">
        <v>3</v>
      </c>
      <c r="G3421">
        <v>100</v>
      </c>
    </row>
    <row r="3422" spans="1:7">
      <c r="A3422">
        <v>286</v>
      </c>
      <c r="B3422" s="1">
        <v>45931</v>
      </c>
      <c r="C3422">
        <v>20</v>
      </c>
      <c r="D3422">
        <v>13</v>
      </c>
      <c r="E3422">
        <v>7</v>
      </c>
      <c r="F3422">
        <v>5</v>
      </c>
      <c r="G3422">
        <v>65</v>
      </c>
    </row>
    <row r="3423" spans="1:7">
      <c r="A3423">
        <v>286</v>
      </c>
      <c r="B3423" s="1">
        <v>45962</v>
      </c>
      <c r="C3423">
        <v>18</v>
      </c>
      <c r="D3423">
        <v>10</v>
      </c>
      <c r="E3423">
        <v>8</v>
      </c>
      <c r="F3423">
        <v>4</v>
      </c>
      <c r="G3423">
        <v>55.6</v>
      </c>
    </row>
    <row r="3424" spans="1:7">
      <c r="A3424">
        <v>286</v>
      </c>
      <c r="B3424" s="1">
        <v>45992</v>
      </c>
      <c r="C3424">
        <v>18</v>
      </c>
      <c r="D3424">
        <v>10</v>
      </c>
      <c r="E3424">
        <v>8</v>
      </c>
      <c r="F3424">
        <v>4</v>
      </c>
      <c r="G3424">
        <v>55.6</v>
      </c>
    </row>
    <row r="3425" spans="1:7">
      <c r="A3425">
        <v>286</v>
      </c>
      <c r="B3425" s="1">
        <v>46023</v>
      </c>
      <c r="C3425">
        <v>19</v>
      </c>
      <c r="D3425">
        <v>10</v>
      </c>
      <c r="E3425">
        <v>9</v>
      </c>
      <c r="F3425">
        <v>6</v>
      </c>
      <c r="G3425">
        <v>52.6</v>
      </c>
    </row>
    <row r="3426" spans="1:7">
      <c r="A3426">
        <v>286</v>
      </c>
      <c r="B3426" s="1">
        <v>46054</v>
      </c>
      <c r="C3426">
        <v>22</v>
      </c>
      <c r="D3426">
        <v>12</v>
      </c>
      <c r="E3426">
        <v>10</v>
      </c>
      <c r="F3426">
        <v>3</v>
      </c>
      <c r="G3426">
        <v>54.5</v>
      </c>
    </row>
    <row r="3427" spans="1:7">
      <c r="A3427">
        <v>286</v>
      </c>
      <c r="B3427" s="1">
        <v>46082</v>
      </c>
      <c r="C3427">
        <v>22</v>
      </c>
      <c r="D3427">
        <v>14</v>
      </c>
      <c r="E3427">
        <v>8</v>
      </c>
      <c r="F3427">
        <v>5</v>
      </c>
      <c r="G3427">
        <v>63.6</v>
      </c>
    </row>
    <row r="3428" spans="1:7">
      <c r="A3428">
        <v>286</v>
      </c>
      <c r="B3428" s="1">
        <v>46113</v>
      </c>
      <c r="C3428">
        <v>19</v>
      </c>
      <c r="D3428">
        <v>10</v>
      </c>
      <c r="E3428">
        <v>9</v>
      </c>
      <c r="F3428">
        <v>3</v>
      </c>
      <c r="G3428">
        <v>52.6</v>
      </c>
    </row>
    <row r="3429" spans="1:7">
      <c r="A3429">
        <v>286</v>
      </c>
      <c r="B3429" s="1">
        <v>46143</v>
      </c>
      <c r="C3429">
        <v>20</v>
      </c>
      <c r="D3429">
        <v>14</v>
      </c>
      <c r="E3429">
        <v>6</v>
      </c>
      <c r="F3429">
        <v>3</v>
      </c>
      <c r="G3429">
        <v>70</v>
      </c>
    </row>
    <row r="3430" spans="1:7">
      <c r="A3430">
        <v>286</v>
      </c>
      <c r="B3430" s="1">
        <v>46174</v>
      </c>
      <c r="C3430">
        <v>21</v>
      </c>
      <c r="D3430">
        <v>10</v>
      </c>
      <c r="E3430">
        <v>11</v>
      </c>
      <c r="F3430">
        <v>1</v>
      </c>
      <c r="G3430">
        <v>47.6</v>
      </c>
    </row>
    <row r="3431" spans="1:7">
      <c r="A3431">
        <v>286</v>
      </c>
      <c r="B3431" s="1">
        <v>46204</v>
      </c>
      <c r="C3431">
        <v>20</v>
      </c>
      <c r="D3431">
        <v>15</v>
      </c>
      <c r="E3431">
        <v>5</v>
      </c>
      <c r="F3431">
        <v>0</v>
      </c>
      <c r="G3431">
        <v>75</v>
      </c>
    </row>
    <row r="3432" spans="1:7">
      <c r="A3432">
        <v>286</v>
      </c>
      <c r="B3432" s="1">
        <v>46235</v>
      </c>
      <c r="C3432">
        <v>19</v>
      </c>
      <c r="D3432">
        <v>11</v>
      </c>
      <c r="E3432">
        <v>8</v>
      </c>
      <c r="F3432">
        <v>4</v>
      </c>
      <c r="G3432">
        <v>57.9</v>
      </c>
    </row>
    <row r="3433" spans="1:7">
      <c r="A3433">
        <v>286</v>
      </c>
      <c r="B3433" s="1">
        <v>46266</v>
      </c>
      <c r="C3433">
        <v>21</v>
      </c>
      <c r="D3433">
        <v>13</v>
      </c>
      <c r="E3433">
        <v>8</v>
      </c>
      <c r="F3433">
        <v>0</v>
      </c>
      <c r="G3433">
        <v>61.9</v>
      </c>
    </row>
    <row r="3434" spans="1:7">
      <c r="A3434">
        <v>287</v>
      </c>
      <c r="B3434" s="1">
        <v>45931</v>
      </c>
      <c r="C3434">
        <v>21</v>
      </c>
      <c r="D3434">
        <v>19</v>
      </c>
      <c r="E3434">
        <v>2</v>
      </c>
      <c r="F3434">
        <v>3</v>
      </c>
      <c r="G3434">
        <v>90.5</v>
      </c>
    </row>
    <row r="3435" spans="1:7">
      <c r="A3435">
        <v>287</v>
      </c>
      <c r="B3435" s="1">
        <v>45962</v>
      </c>
      <c r="C3435">
        <v>18</v>
      </c>
      <c r="D3435">
        <v>15</v>
      </c>
      <c r="E3435">
        <v>3</v>
      </c>
      <c r="F3435">
        <v>0</v>
      </c>
      <c r="G3435">
        <v>83.3</v>
      </c>
    </row>
    <row r="3436" spans="1:7">
      <c r="A3436">
        <v>287</v>
      </c>
      <c r="B3436" s="1">
        <v>45992</v>
      </c>
      <c r="C3436">
        <v>19</v>
      </c>
      <c r="D3436">
        <v>17</v>
      </c>
      <c r="E3436">
        <v>2</v>
      </c>
      <c r="F3436">
        <v>1</v>
      </c>
      <c r="G3436">
        <v>89.5</v>
      </c>
    </row>
    <row r="3437" spans="1:7">
      <c r="A3437">
        <v>287</v>
      </c>
      <c r="B3437" s="1">
        <v>46023</v>
      </c>
      <c r="C3437">
        <v>22</v>
      </c>
      <c r="D3437">
        <v>18</v>
      </c>
      <c r="E3437">
        <v>4</v>
      </c>
      <c r="F3437">
        <v>5</v>
      </c>
      <c r="G3437">
        <v>81.8</v>
      </c>
    </row>
    <row r="3438" spans="1:7">
      <c r="A3438">
        <v>287</v>
      </c>
      <c r="B3438" s="1">
        <v>46054</v>
      </c>
      <c r="C3438">
        <v>20</v>
      </c>
      <c r="D3438">
        <v>20</v>
      </c>
      <c r="E3438">
        <v>0</v>
      </c>
      <c r="F3438">
        <v>1</v>
      </c>
      <c r="G3438">
        <v>100</v>
      </c>
    </row>
    <row r="3439" spans="1:7">
      <c r="A3439">
        <v>287</v>
      </c>
      <c r="B3439" s="1">
        <v>46082</v>
      </c>
      <c r="C3439">
        <v>22</v>
      </c>
      <c r="D3439">
        <v>20</v>
      </c>
      <c r="E3439">
        <v>2</v>
      </c>
      <c r="F3439">
        <v>2</v>
      </c>
      <c r="G3439">
        <v>90.9</v>
      </c>
    </row>
    <row r="3440" spans="1:7">
      <c r="A3440">
        <v>287</v>
      </c>
      <c r="B3440" s="1">
        <v>46113</v>
      </c>
      <c r="C3440">
        <v>22</v>
      </c>
      <c r="D3440">
        <v>17</v>
      </c>
      <c r="E3440">
        <v>5</v>
      </c>
      <c r="F3440">
        <v>1</v>
      </c>
      <c r="G3440">
        <v>77.3</v>
      </c>
    </row>
    <row r="3441" spans="1:7">
      <c r="A3441">
        <v>287</v>
      </c>
      <c r="B3441" s="1">
        <v>46143</v>
      </c>
      <c r="C3441">
        <v>20</v>
      </c>
      <c r="D3441">
        <v>14</v>
      </c>
      <c r="E3441">
        <v>6</v>
      </c>
      <c r="F3441">
        <v>1</v>
      </c>
      <c r="G3441">
        <v>70</v>
      </c>
    </row>
    <row r="3442" spans="1:7">
      <c r="A3442">
        <v>287</v>
      </c>
      <c r="B3442" s="1">
        <v>46174</v>
      </c>
      <c r="C3442">
        <v>18</v>
      </c>
      <c r="D3442">
        <v>13</v>
      </c>
      <c r="E3442">
        <v>5</v>
      </c>
      <c r="F3442">
        <v>6</v>
      </c>
      <c r="G3442">
        <v>72.2</v>
      </c>
    </row>
    <row r="3443" spans="1:7">
      <c r="A3443">
        <v>287</v>
      </c>
      <c r="B3443" s="1">
        <v>46204</v>
      </c>
      <c r="C3443">
        <v>18</v>
      </c>
      <c r="D3443">
        <v>15</v>
      </c>
      <c r="E3443">
        <v>3</v>
      </c>
      <c r="F3443">
        <v>6</v>
      </c>
      <c r="G3443">
        <v>83.3</v>
      </c>
    </row>
    <row r="3444" spans="1:7">
      <c r="A3444">
        <v>287</v>
      </c>
      <c r="B3444" s="1">
        <v>46235</v>
      </c>
      <c r="C3444">
        <v>19</v>
      </c>
      <c r="D3444">
        <v>19</v>
      </c>
      <c r="E3444">
        <v>0</v>
      </c>
      <c r="F3444">
        <v>2</v>
      </c>
      <c r="G3444">
        <v>100</v>
      </c>
    </row>
    <row r="3445" spans="1:7">
      <c r="A3445">
        <v>287</v>
      </c>
      <c r="B3445" s="1">
        <v>46266</v>
      </c>
      <c r="C3445">
        <v>20</v>
      </c>
      <c r="D3445">
        <v>19</v>
      </c>
      <c r="E3445">
        <v>1</v>
      </c>
      <c r="F3445">
        <v>1</v>
      </c>
      <c r="G3445">
        <v>95</v>
      </c>
    </row>
    <row r="3446" spans="1:7">
      <c r="A3446">
        <v>288</v>
      </c>
      <c r="B3446" s="1">
        <v>45931</v>
      </c>
      <c r="C3446">
        <v>19</v>
      </c>
      <c r="D3446">
        <v>12</v>
      </c>
      <c r="E3446">
        <v>7</v>
      </c>
      <c r="F3446">
        <v>2</v>
      </c>
      <c r="G3446">
        <v>63.2</v>
      </c>
    </row>
    <row r="3447" spans="1:7">
      <c r="A3447">
        <v>288</v>
      </c>
      <c r="B3447" s="1">
        <v>45962</v>
      </c>
      <c r="C3447">
        <v>19</v>
      </c>
      <c r="D3447">
        <v>11</v>
      </c>
      <c r="E3447">
        <v>8</v>
      </c>
      <c r="F3447">
        <v>1</v>
      </c>
      <c r="G3447">
        <v>57.9</v>
      </c>
    </row>
    <row r="3448" spans="1:7">
      <c r="A3448">
        <v>288</v>
      </c>
      <c r="B3448" s="1">
        <v>45992</v>
      </c>
      <c r="C3448">
        <v>20</v>
      </c>
      <c r="D3448">
        <v>10</v>
      </c>
      <c r="E3448">
        <v>10</v>
      </c>
      <c r="F3448">
        <v>3</v>
      </c>
      <c r="G3448">
        <v>50</v>
      </c>
    </row>
    <row r="3449" spans="1:7">
      <c r="A3449">
        <v>288</v>
      </c>
      <c r="B3449" s="1">
        <v>46023</v>
      </c>
      <c r="C3449">
        <v>18</v>
      </c>
      <c r="D3449">
        <v>10</v>
      </c>
      <c r="E3449">
        <v>8</v>
      </c>
      <c r="F3449">
        <v>6</v>
      </c>
      <c r="G3449">
        <v>55.6</v>
      </c>
    </row>
    <row r="3450" spans="1:7">
      <c r="A3450">
        <v>288</v>
      </c>
      <c r="B3450" s="1">
        <v>46054</v>
      </c>
      <c r="C3450">
        <v>21</v>
      </c>
      <c r="D3450">
        <v>10</v>
      </c>
      <c r="E3450">
        <v>11</v>
      </c>
      <c r="F3450">
        <v>6</v>
      </c>
      <c r="G3450">
        <v>47.6</v>
      </c>
    </row>
    <row r="3451" spans="1:7">
      <c r="A3451">
        <v>288</v>
      </c>
      <c r="B3451" s="1">
        <v>46082</v>
      </c>
      <c r="C3451">
        <v>19</v>
      </c>
      <c r="D3451">
        <v>11</v>
      </c>
      <c r="E3451">
        <v>8</v>
      </c>
      <c r="F3451">
        <v>3</v>
      </c>
      <c r="G3451">
        <v>57.9</v>
      </c>
    </row>
    <row r="3452" spans="1:7">
      <c r="A3452">
        <v>288</v>
      </c>
      <c r="B3452" s="1">
        <v>46113</v>
      </c>
      <c r="C3452">
        <v>18</v>
      </c>
      <c r="D3452">
        <v>13</v>
      </c>
      <c r="E3452">
        <v>5</v>
      </c>
      <c r="F3452">
        <v>1</v>
      </c>
      <c r="G3452">
        <v>72.2</v>
      </c>
    </row>
    <row r="3453" spans="1:7">
      <c r="A3453">
        <v>288</v>
      </c>
      <c r="B3453" s="1">
        <v>46143</v>
      </c>
      <c r="C3453">
        <v>21</v>
      </c>
      <c r="D3453">
        <v>13</v>
      </c>
      <c r="E3453">
        <v>8</v>
      </c>
      <c r="F3453">
        <v>4</v>
      </c>
      <c r="G3453">
        <v>61.9</v>
      </c>
    </row>
    <row r="3454" spans="1:7">
      <c r="A3454">
        <v>288</v>
      </c>
      <c r="B3454" s="1">
        <v>46174</v>
      </c>
      <c r="C3454">
        <v>18</v>
      </c>
      <c r="D3454">
        <v>10</v>
      </c>
      <c r="E3454">
        <v>8</v>
      </c>
      <c r="F3454">
        <v>4</v>
      </c>
      <c r="G3454">
        <v>55.6</v>
      </c>
    </row>
    <row r="3455" spans="1:7">
      <c r="A3455">
        <v>288</v>
      </c>
      <c r="B3455" s="1">
        <v>46204</v>
      </c>
      <c r="C3455">
        <v>22</v>
      </c>
      <c r="D3455">
        <v>14</v>
      </c>
      <c r="E3455">
        <v>8</v>
      </c>
      <c r="F3455">
        <v>0</v>
      </c>
      <c r="G3455">
        <v>63.6</v>
      </c>
    </row>
    <row r="3456" spans="1:7">
      <c r="A3456">
        <v>288</v>
      </c>
      <c r="B3456" s="1">
        <v>46235</v>
      </c>
      <c r="C3456">
        <v>19</v>
      </c>
      <c r="D3456">
        <v>12</v>
      </c>
      <c r="E3456">
        <v>7</v>
      </c>
      <c r="F3456">
        <v>3</v>
      </c>
      <c r="G3456">
        <v>63.2</v>
      </c>
    </row>
    <row r="3457" spans="1:7">
      <c r="A3457">
        <v>288</v>
      </c>
      <c r="B3457" s="1">
        <v>46266</v>
      </c>
      <c r="C3457">
        <v>22</v>
      </c>
      <c r="D3457">
        <v>16</v>
      </c>
      <c r="E3457">
        <v>6</v>
      </c>
      <c r="F3457">
        <v>2</v>
      </c>
      <c r="G3457">
        <v>72.7</v>
      </c>
    </row>
    <row r="3458" spans="1:7">
      <c r="A3458">
        <v>289</v>
      </c>
      <c r="B3458" s="1">
        <v>45931</v>
      </c>
      <c r="C3458">
        <v>20</v>
      </c>
      <c r="D3458">
        <v>12</v>
      </c>
      <c r="E3458">
        <v>8</v>
      </c>
      <c r="F3458">
        <v>0</v>
      </c>
      <c r="G3458">
        <v>60</v>
      </c>
    </row>
    <row r="3459" spans="1:7">
      <c r="A3459">
        <v>289</v>
      </c>
      <c r="B3459" s="1">
        <v>45962</v>
      </c>
      <c r="C3459">
        <v>22</v>
      </c>
      <c r="D3459">
        <v>12</v>
      </c>
      <c r="E3459">
        <v>10</v>
      </c>
      <c r="F3459">
        <v>2</v>
      </c>
      <c r="G3459">
        <v>54.5</v>
      </c>
    </row>
    <row r="3460" spans="1:7">
      <c r="A3460">
        <v>289</v>
      </c>
      <c r="B3460" s="1">
        <v>45992</v>
      </c>
      <c r="C3460">
        <v>21</v>
      </c>
      <c r="D3460">
        <v>12</v>
      </c>
      <c r="E3460">
        <v>9</v>
      </c>
      <c r="F3460">
        <v>3</v>
      </c>
      <c r="G3460">
        <v>57.1</v>
      </c>
    </row>
    <row r="3461" spans="1:7">
      <c r="A3461">
        <v>289</v>
      </c>
      <c r="B3461" s="1">
        <v>46023</v>
      </c>
      <c r="C3461">
        <v>18</v>
      </c>
      <c r="D3461">
        <v>10</v>
      </c>
      <c r="E3461">
        <v>8</v>
      </c>
      <c r="F3461">
        <v>0</v>
      </c>
      <c r="G3461">
        <v>55.6</v>
      </c>
    </row>
    <row r="3462" spans="1:7">
      <c r="A3462">
        <v>289</v>
      </c>
      <c r="B3462" s="1">
        <v>46054</v>
      </c>
      <c r="C3462">
        <v>21</v>
      </c>
      <c r="D3462">
        <v>11</v>
      </c>
      <c r="E3462">
        <v>10</v>
      </c>
      <c r="F3462">
        <v>6</v>
      </c>
      <c r="G3462">
        <v>52.4</v>
      </c>
    </row>
    <row r="3463" spans="1:7">
      <c r="A3463">
        <v>289</v>
      </c>
      <c r="B3463" s="1">
        <v>46082</v>
      </c>
      <c r="C3463">
        <v>18</v>
      </c>
      <c r="D3463">
        <v>11</v>
      </c>
      <c r="E3463">
        <v>7</v>
      </c>
      <c r="F3463">
        <v>2</v>
      </c>
      <c r="G3463">
        <v>61.1</v>
      </c>
    </row>
    <row r="3464" spans="1:7">
      <c r="A3464">
        <v>289</v>
      </c>
      <c r="B3464" s="1">
        <v>46113</v>
      </c>
      <c r="C3464">
        <v>20</v>
      </c>
      <c r="D3464">
        <v>10</v>
      </c>
      <c r="E3464">
        <v>10</v>
      </c>
      <c r="F3464">
        <v>3</v>
      </c>
      <c r="G3464">
        <v>50</v>
      </c>
    </row>
    <row r="3465" spans="1:7">
      <c r="A3465">
        <v>289</v>
      </c>
      <c r="B3465" s="1">
        <v>46143</v>
      </c>
      <c r="C3465">
        <v>20</v>
      </c>
      <c r="D3465">
        <v>12</v>
      </c>
      <c r="E3465">
        <v>8</v>
      </c>
      <c r="F3465">
        <v>1</v>
      </c>
      <c r="G3465">
        <v>60</v>
      </c>
    </row>
    <row r="3466" spans="1:7">
      <c r="A3466">
        <v>289</v>
      </c>
      <c r="B3466" s="1">
        <v>46174</v>
      </c>
      <c r="C3466">
        <v>18</v>
      </c>
      <c r="D3466">
        <v>11</v>
      </c>
      <c r="E3466">
        <v>7</v>
      </c>
      <c r="F3466">
        <v>3</v>
      </c>
      <c r="G3466">
        <v>61.1</v>
      </c>
    </row>
    <row r="3467" spans="1:7">
      <c r="A3467">
        <v>289</v>
      </c>
      <c r="B3467" s="1">
        <v>46204</v>
      </c>
      <c r="C3467">
        <v>18</v>
      </c>
      <c r="D3467">
        <v>12</v>
      </c>
      <c r="E3467">
        <v>6</v>
      </c>
      <c r="F3467">
        <v>2</v>
      </c>
      <c r="G3467">
        <v>66.7</v>
      </c>
    </row>
    <row r="3468" spans="1:7">
      <c r="A3468">
        <v>289</v>
      </c>
      <c r="B3468" s="1">
        <v>46235</v>
      </c>
      <c r="C3468">
        <v>20</v>
      </c>
      <c r="D3468">
        <v>10</v>
      </c>
      <c r="E3468">
        <v>10</v>
      </c>
      <c r="F3468">
        <v>1</v>
      </c>
      <c r="G3468">
        <v>50</v>
      </c>
    </row>
    <row r="3469" spans="1:7">
      <c r="A3469">
        <v>289</v>
      </c>
      <c r="B3469" s="1">
        <v>46266</v>
      </c>
      <c r="C3469">
        <v>22</v>
      </c>
      <c r="D3469">
        <v>12</v>
      </c>
      <c r="E3469">
        <v>10</v>
      </c>
      <c r="F3469">
        <v>0</v>
      </c>
      <c r="G3469">
        <v>54.5</v>
      </c>
    </row>
    <row r="3470" spans="1:7">
      <c r="A3470">
        <v>290</v>
      </c>
      <c r="B3470" s="1">
        <v>45931</v>
      </c>
      <c r="C3470">
        <v>19</v>
      </c>
      <c r="D3470">
        <v>19</v>
      </c>
      <c r="E3470">
        <v>0</v>
      </c>
      <c r="F3470">
        <v>3</v>
      </c>
      <c r="G3470">
        <v>100</v>
      </c>
    </row>
    <row r="3471" spans="1:7">
      <c r="A3471">
        <v>290</v>
      </c>
      <c r="B3471" s="1">
        <v>45962</v>
      </c>
      <c r="C3471">
        <v>18</v>
      </c>
      <c r="D3471">
        <v>17</v>
      </c>
      <c r="E3471">
        <v>1</v>
      </c>
      <c r="F3471">
        <v>0</v>
      </c>
      <c r="G3471">
        <v>94.4</v>
      </c>
    </row>
    <row r="3472" spans="1:7">
      <c r="A3472">
        <v>290</v>
      </c>
      <c r="B3472" s="1">
        <v>45992</v>
      </c>
      <c r="C3472">
        <v>22</v>
      </c>
      <c r="D3472">
        <v>19</v>
      </c>
      <c r="E3472">
        <v>3</v>
      </c>
      <c r="F3472">
        <v>5</v>
      </c>
      <c r="G3472">
        <v>86.4</v>
      </c>
    </row>
    <row r="3473" spans="1:7">
      <c r="A3473">
        <v>290</v>
      </c>
      <c r="B3473" s="1">
        <v>46023</v>
      </c>
      <c r="C3473">
        <v>20</v>
      </c>
      <c r="D3473">
        <v>20</v>
      </c>
      <c r="E3473">
        <v>0</v>
      </c>
      <c r="F3473">
        <v>2</v>
      </c>
      <c r="G3473">
        <v>100</v>
      </c>
    </row>
    <row r="3474" spans="1:7">
      <c r="A3474">
        <v>290</v>
      </c>
      <c r="B3474" s="1">
        <v>46054</v>
      </c>
      <c r="C3474">
        <v>22</v>
      </c>
      <c r="D3474">
        <v>22</v>
      </c>
      <c r="E3474">
        <v>0</v>
      </c>
      <c r="F3474">
        <v>1</v>
      </c>
      <c r="G3474">
        <v>100</v>
      </c>
    </row>
    <row r="3475" spans="1:7">
      <c r="A3475">
        <v>290</v>
      </c>
      <c r="B3475" s="1">
        <v>46082</v>
      </c>
      <c r="C3475">
        <v>19</v>
      </c>
      <c r="D3475">
        <v>17</v>
      </c>
      <c r="E3475">
        <v>2</v>
      </c>
      <c r="F3475">
        <v>4</v>
      </c>
      <c r="G3475">
        <v>89.5</v>
      </c>
    </row>
    <row r="3476" spans="1:7">
      <c r="A3476">
        <v>290</v>
      </c>
      <c r="B3476" s="1">
        <v>46113</v>
      </c>
      <c r="C3476">
        <v>19</v>
      </c>
      <c r="D3476">
        <v>18</v>
      </c>
      <c r="E3476">
        <v>1</v>
      </c>
      <c r="F3476">
        <v>1</v>
      </c>
      <c r="G3476">
        <v>94.7</v>
      </c>
    </row>
    <row r="3477" spans="1:7">
      <c r="A3477">
        <v>290</v>
      </c>
      <c r="B3477" s="1">
        <v>46143</v>
      </c>
      <c r="C3477">
        <v>20</v>
      </c>
      <c r="D3477">
        <v>20</v>
      </c>
      <c r="E3477">
        <v>0</v>
      </c>
      <c r="F3477">
        <v>0</v>
      </c>
      <c r="G3477">
        <v>100</v>
      </c>
    </row>
    <row r="3478" spans="1:7">
      <c r="A3478">
        <v>290</v>
      </c>
      <c r="B3478" s="1">
        <v>46174</v>
      </c>
      <c r="C3478">
        <v>19</v>
      </c>
      <c r="D3478">
        <v>16</v>
      </c>
      <c r="E3478">
        <v>3</v>
      </c>
      <c r="F3478">
        <v>3</v>
      </c>
      <c r="G3478">
        <v>84.2</v>
      </c>
    </row>
    <row r="3479" spans="1:7">
      <c r="A3479">
        <v>290</v>
      </c>
      <c r="B3479" s="1">
        <v>46204</v>
      </c>
      <c r="C3479">
        <v>20</v>
      </c>
      <c r="D3479">
        <v>18</v>
      </c>
      <c r="E3479">
        <v>2</v>
      </c>
      <c r="F3479">
        <v>2</v>
      </c>
      <c r="G3479">
        <v>90</v>
      </c>
    </row>
    <row r="3480" spans="1:7">
      <c r="A3480">
        <v>290</v>
      </c>
      <c r="B3480" s="1">
        <v>46235</v>
      </c>
      <c r="C3480">
        <v>22</v>
      </c>
      <c r="D3480">
        <v>22</v>
      </c>
      <c r="E3480">
        <v>0</v>
      </c>
      <c r="F3480">
        <v>2</v>
      </c>
      <c r="G3480">
        <v>100</v>
      </c>
    </row>
    <row r="3481" spans="1:7">
      <c r="A3481">
        <v>290</v>
      </c>
      <c r="B3481" s="1">
        <v>46266</v>
      </c>
      <c r="C3481">
        <v>18</v>
      </c>
      <c r="D3481">
        <v>13</v>
      </c>
      <c r="E3481">
        <v>5</v>
      </c>
      <c r="F3481">
        <v>3</v>
      </c>
      <c r="G3481">
        <v>72.2</v>
      </c>
    </row>
    <row r="3482" spans="1:7">
      <c r="A3482">
        <v>291</v>
      </c>
      <c r="B3482" s="1">
        <v>45931</v>
      </c>
      <c r="C3482">
        <v>18</v>
      </c>
      <c r="D3482">
        <v>18</v>
      </c>
      <c r="E3482">
        <v>0</v>
      </c>
      <c r="F3482">
        <v>3</v>
      </c>
      <c r="G3482">
        <v>100</v>
      </c>
    </row>
    <row r="3483" spans="1:7">
      <c r="A3483">
        <v>291</v>
      </c>
      <c r="B3483" s="1">
        <v>45962</v>
      </c>
      <c r="C3483">
        <v>18</v>
      </c>
      <c r="D3483">
        <v>18</v>
      </c>
      <c r="E3483">
        <v>0</v>
      </c>
      <c r="F3483">
        <v>3</v>
      </c>
      <c r="G3483">
        <v>100</v>
      </c>
    </row>
    <row r="3484" spans="1:7">
      <c r="A3484">
        <v>291</v>
      </c>
      <c r="B3484" s="1">
        <v>45992</v>
      </c>
      <c r="C3484">
        <v>22</v>
      </c>
      <c r="D3484">
        <v>22</v>
      </c>
      <c r="E3484">
        <v>0</v>
      </c>
      <c r="F3484">
        <v>0</v>
      </c>
      <c r="G3484">
        <v>100</v>
      </c>
    </row>
    <row r="3485" spans="1:7">
      <c r="A3485">
        <v>291</v>
      </c>
      <c r="B3485" s="1">
        <v>46023</v>
      </c>
      <c r="C3485">
        <v>18</v>
      </c>
      <c r="D3485">
        <v>18</v>
      </c>
      <c r="E3485">
        <v>0</v>
      </c>
      <c r="F3485">
        <v>2</v>
      </c>
      <c r="G3485">
        <v>100</v>
      </c>
    </row>
    <row r="3486" spans="1:7">
      <c r="A3486">
        <v>291</v>
      </c>
      <c r="B3486" s="1">
        <v>46054</v>
      </c>
      <c r="C3486">
        <v>19</v>
      </c>
      <c r="D3486">
        <v>15</v>
      </c>
      <c r="E3486">
        <v>4</v>
      </c>
      <c r="F3486">
        <v>0</v>
      </c>
      <c r="G3486">
        <v>78.900000000000006</v>
      </c>
    </row>
    <row r="3487" spans="1:7">
      <c r="A3487">
        <v>291</v>
      </c>
      <c r="B3487" s="1">
        <v>46082</v>
      </c>
      <c r="C3487">
        <v>21</v>
      </c>
      <c r="D3487">
        <v>18</v>
      </c>
      <c r="E3487">
        <v>3</v>
      </c>
      <c r="F3487">
        <v>3</v>
      </c>
      <c r="G3487">
        <v>85.7</v>
      </c>
    </row>
    <row r="3488" spans="1:7">
      <c r="A3488">
        <v>291</v>
      </c>
      <c r="B3488" s="1">
        <v>46113</v>
      </c>
      <c r="C3488">
        <v>21</v>
      </c>
      <c r="D3488">
        <v>20</v>
      </c>
      <c r="E3488">
        <v>1</v>
      </c>
      <c r="F3488">
        <v>1</v>
      </c>
      <c r="G3488">
        <v>95.2</v>
      </c>
    </row>
    <row r="3489" spans="1:7">
      <c r="A3489">
        <v>291</v>
      </c>
      <c r="B3489" s="1">
        <v>46143</v>
      </c>
      <c r="C3489">
        <v>22</v>
      </c>
      <c r="D3489">
        <v>22</v>
      </c>
      <c r="E3489">
        <v>0</v>
      </c>
      <c r="F3489">
        <v>0</v>
      </c>
      <c r="G3489">
        <v>100</v>
      </c>
    </row>
    <row r="3490" spans="1:7">
      <c r="A3490">
        <v>291</v>
      </c>
      <c r="B3490" s="1">
        <v>46174</v>
      </c>
      <c r="C3490">
        <v>20</v>
      </c>
      <c r="D3490">
        <v>20</v>
      </c>
      <c r="E3490">
        <v>0</v>
      </c>
      <c r="F3490">
        <v>2</v>
      </c>
      <c r="G3490">
        <v>100</v>
      </c>
    </row>
    <row r="3491" spans="1:7">
      <c r="A3491">
        <v>291</v>
      </c>
      <c r="B3491" s="1">
        <v>46204</v>
      </c>
      <c r="C3491">
        <v>19</v>
      </c>
      <c r="D3491">
        <v>19</v>
      </c>
      <c r="E3491">
        <v>0</v>
      </c>
      <c r="F3491">
        <v>2</v>
      </c>
      <c r="G3491">
        <v>100</v>
      </c>
    </row>
    <row r="3492" spans="1:7">
      <c r="A3492">
        <v>291</v>
      </c>
      <c r="B3492" s="1">
        <v>46235</v>
      </c>
      <c r="C3492">
        <v>22</v>
      </c>
      <c r="D3492">
        <v>22</v>
      </c>
      <c r="E3492">
        <v>0</v>
      </c>
      <c r="F3492">
        <v>0</v>
      </c>
      <c r="G3492">
        <v>100</v>
      </c>
    </row>
    <row r="3493" spans="1:7">
      <c r="A3493">
        <v>291</v>
      </c>
      <c r="B3493" s="1">
        <v>46266</v>
      </c>
      <c r="C3493">
        <v>21</v>
      </c>
      <c r="D3493">
        <v>19</v>
      </c>
      <c r="E3493">
        <v>2</v>
      </c>
      <c r="F3493">
        <v>3</v>
      </c>
      <c r="G3493">
        <v>90.5</v>
      </c>
    </row>
    <row r="3494" spans="1:7">
      <c r="A3494">
        <v>292</v>
      </c>
      <c r="B3494" s="1">
        <v>45931</v>
      </c>
      <c r="C3494">
        <v>22</v>
      </c>
      <c r="D3494">
        <v>19</v>
      </c>
      <c r="E3494">
        <v>3</v>
      </c>
      <c r="F3494">
        <v>1</v>
      </c>
      <c r="G3494">
        <v>86.4</v>
      </c>
    </row>
    <row r="3495" spans="1:7">
      <c r="A3495">
        <v>292</v>
      </c>
      <c r="B3495" s="1">
        <v>45962</v>
      </c>
      <c r="C3495">
        <v>19</v>
      </c>
      <c r="D3495">
        <v>15</v>
      </c>
      <c r="E3495">
        <v>4</v>
      </c>
      <c r="F3495">
        <v>1</v>
      </c>
      <c r="G3495">
        <v>78.900000000000006</v>
      </c>
    </row>
    <row r="3496" spans="1:7">
      <c r="A3496">
        <v>292</v>
      </c>
      <c r="B3496" s="1">
        <v>45992</v>
      </c>
      <c r="C3496">
        <v>18</v>
      </c>
      <c r="D3496">
        <v>15</v>
      </c>
      <c r="E3496">
        <v>3</v>
      </c>
      <c r="F3496">
        <v>2</v>
      </c>
      <c r="G3496">
        <v>83.3</v>
      </c>
    </row>
    <row r="3497" spans="1:7">
      <c r="A3497">
        <v>292</v>
      </c>
      <c r="B3497" s="1">
        <v>46023</v>
      </c>
      <c r="C3497">
        <v>22</v>
      </c>
      <c r="D3497">
        <v>22</v>
      </c>
      <c r="E3497">
        <v>0</v>
      </c>
      <c r="F3497">
        <v>0</v>
      </c>
      <c r="G3497">
        <v>100</v>
      </c>
    </row>
    <row r="3498" spans="1:7">
      <c r="A3498">
        <v>292</v>
      </c>
      <c r="B3498" s="1">
        <v>46054</v>
      </c>
      <c r="C3498">
        <v>19</v>
      </c>
      <c r="D3498">
        <v>16</v>
      </c>
      <c r="E3498">
        <v>3</v>
      </c>
      <c r="F3498">
        <v>5</v>
      </c>
      <c r="G3498">
        <v>84.2</v>
      </c>
    </row>
    <row r="3499" spans="1:7">
      <c r="A3499">
        <v>292</v>
      </c>
      <c r="B3499" s="1">
        <v>46082</v>
      </c>
      <c r="C3499">
        <v>20</v>
      </c>
      <c r="D3499">
        <v>16</v>
      </c>
      <c r="E3499">
        <v>4</v>
      </c>
      <c r="F3499">
        <v>2</v>
      </c>
      <c r="G3499">
        <v>80</v>
      </c>
    </row>
    <row r="3500" spans="1:7">
      <c r="A3500">
        <v>292</v>
      </c>
      <c r="B3500" s="1">
        <v>46113</v>
      </c>
      <c r="C3500">
        <v>21</v>
      </c>
      <c r="D3500">
        <v>19</v>
      </c>
      <c r="E3500">
        <v>2</v>
      </c>
      <c r="F3500">
        <v>4</v>
      </c>
      <c r="G3500">
        <v>90.5</v>
      </c>
    </row>
    <row r="3501" spans="1:7">
      <c r="A3501">
        <v>292</v>
      </c>
      <c r="B3501" s="1">
        <v>46143</v>
      </c>
      <c r="C3501">
        <v>20</v>
      </c>
      <c r="D3501">
        <v>19</v>
      </c>
      <c r="E3501">
        <v>1</v>
      </c>
      <c r="F3501">
        <v>1</v>
      </c>
      <c r="G3501">
        <v>95</v>
      </c>
    </row>
    <row r="3502" spans="1:7">
      <c r="A3502">
        <v>292</v>
      </c>
      <c r="B3502" s="1">
        <v>46174</v>
      </c>
      <c r="C3502">
        <v>20</v>
      </c>
      <c r="D3502">
        <v>20</v>
      </c>
      <c r="E3502">
        <v>0</v>
      </c>
      <c r="F3502">
        <v>0</v>
      </c>
      <c r="G3502">
        <v>100</v>
      </c>
    </row>
    <row r="3503" spans="1:7">
      <c r="A3503">
        <v>292</v>
      </c>
      <c r="B3503" s="1">
        <v>46204</v>
      </c>
      <c r="C3503">
        <v>21</v>
      </c>
      <c r="D3503">
        <v>17</v>
      </c>
      <c r="E3503">
        <v>4</v>
      </c>
      <c r="F3503">
        <v>5</v>
      </c>
      <c r="G3503">
        <v>81</v>
      </c>
    </row>
    <row r="3504" spans="1:7">
      <c r="A3504">
        <v>292</v>
      </c>
      <c r="B3504" s="1">
        <v>46235</v>
      </c>
      <c r="C3504">
        <v>18</v>
      </c>
      <c r="D3504">
        <v>14</v>
      </c>
      <c r="E3504">
        <v>4</v>
      </c>
      <c r="F3504">
        <v>0</v>
      </c>
      <c r="G3504">
        <v>77.8</v>
      </c>
    </row>
    <row r="3505" spans="1:7">
      <c r="A3505">
        <v>292</v>
      </c>
      <c r="B3505" s="1">
        <v>46266</v>
      </c>
      <c r="C3505">
        <v>19</v>
      </c>
      <c r="D3505">
        <v>19</v>
      </c>
      <c r="E3505">
        <v>0</v>
      </c>
      <c r="F3505">
        <v>0</v>
      </c>
      <c r="G3505">
        <v>100</v>
      </c>
    </row>
    <row r="3506" spans="1:7">
      <c r="A3506">
        <v>293</v>
      </c>
      <c r="B3506" s="1">
        <v>45931</v>
      </c>
      <c r="C3506">
        <v>19</v>
      </c>
      <c r="D3506">
        <v>12</v>
      </c>
      <c r="E3506">
        <v>7</v>
      </c>
      <c r="F3506">
        <v>4</v>
      </c>
      <c r="G3506">
        <v>63.2</v>
      </c>
    </row>
    <row r="3507" spans="1:7">
      <c r="A3507">
        <v>293</v>
      </c>
      <c r="B3507" s="1">
        <v>45962</v>
      </c>
      <c r="C3507">
        <v>21</v>
      </c>
      <c r="D3507">
        <v>14</v>
      </c>
      <c r="E3507">
        <v>7</v>
      </c>
      <c r="F3507">
        <v>3</v>
      </c>
      <c r="G3507">
        <v>66.7</v>
      </c>
    </row>
    <row r="3508" spans="1:7">
      <c r="A3508">
        <v>293</v>
      </c>
      <c r="B3508" s="1">
        <v>45992</v>
      </c>
      <c r="C3508">
        <v>20</v>
      </c>
      <c r="D3508">
        <v>13</v>
      </c>
      <c r="E3508">
        <v>7</v>
      </c>
      <c r="F3508">
        <v>4</v>
      </c>
      <c r="G3508">
        <v>65</v>
      </c>
    </row>
    <row r="3509" spans="1:7">
      <c r="A3509">
        <v>293</v>
      </c>
      <c r="B3509" s="1">
        <v>46023</v>
      </c>
      <c r="C3509">
        <v>21</v>
      </c>
      <c r="D3509">
        <v>11</v>
      </c>
      <c r="E3509">
        <v>10</v>
      </c>
      <c r="F3509">
        <v>3</v>
      </c>
      <c r="G3509">
        <v>52.4</v>
      </c>
    </row>
    <row r="3510" spans="1:7">
      <c r="A3510">
        <v>293</v>
      </c>
      <c r="B3510" s="1">
        <v>46054</v>
      </c>
      <c r="C3510">
        <v>19</v>
      </c>
      <c r="D3510">
        <v>15</v>
      </c>
      <c r="E3510">
        <v>4</v>
      </c>
      <c r="F3510">
        <v>3</v>
      </c>
      <c r="G3510">
        <v>78.900000000000006</v>
      </c>
    </row>
    <row r="3511" spans="1:7">
      <c r="A3511">
        <v>293</v>
      </c>
      <c r="B3511" s="1">
        <v>46082</v>
      </c>
      <c r="C3511">
        <v>18</v>
      </c>
      <c r="D3511">
        <v>12</v>
      </c>
      <c r="E3511">
        <v>6</v>
      </c>
      <c r="F3511">
        <v>5</v>
      </c>
      <c r="G3511">
        <v>66.7</v>
      </c>
    </row>
    <row r="3512" spans="1:7">
      <c r="A3512">
        <v>293</v>
      </c>
      <c r="B3512" s="1">
        <v>46113</v>
      </c>
      <c r="C3512">
        <v>20</v>
      </c>
      <c r="D3512">
        <v>15</v>
      </c>
      <c r="E3512">
        <v>5</v>
      </c>
      <c r="F3512">
        <v>2</v>
      </c>
      <c r="G3512">
        <v>75</v>
      </c>
    </row>
    <row r="3513" spans="1:7">
      <c r="A3513">
        <v>293</v>
      </c>
      <c r="B3513" s="1">
        <v>46143</v>
      </c>
      <c r="C3513">
        <v>20</v>
      </c>
      <c r="D3513">
        <v>16</v>
      </c>
      <c r="E3513">
        <v>4</v>
      </c>
      <c r="F3513">
        <v>1</v>
      </c>
      <c r="G3513">
        <v>80</v>
      </c>
    </row>
    <row r="3514" spans="1:7">
      <c r="A3514">
        <v>293</v>
      </c>
      <c r="B3514" s="1">
        <v>46174</v>
      </c>
      <c r="C3514">
        <v>20</v>
      </c>
      <c r="D3514">
        <v>16</v>
      </c>
      <c r="E3514">
        <v>4</v>
      </c>
      <c r="F3514">
        <v>6</v>
      </c>
      <c r="G3514">
        <v>80</v>
      </c>
    </row>
    <row r="3515" spans="1:7">
      <c r="A3515">
        <v>293</v>
      </c>
      <c r="B3515" s="1">
        <v>46204</v>
      </c>
      <c r="C3515">
        <v>22</v>
      </c>
      <c r="D3515">
        <v>13</v>
      </c>
      <c r="E3515">
        <v>9</v>
      </c>
      <c r="F3515">
        <v>3</v>
      </c>
      <c r="G3515">
        <v>59.1</v>
      </c>
    </row>
    <row r="3516" spans="1:7">
      <c r="A3516">
        <v>293</v>
      </c>
      <c r="B3516" s="1">
        <v>46235</v>
      </c>
      <c r="C3516">
        <v>18</v>
      </c>
      <c r="D3516">
        <v>13</v>
      </c>
      <c r="E3516">
        <v>5</v>
      </c>
      <c r="F3516">
        <v>4</v>
      </c>
      <c r="G3516">
        <v>72.2</v>
      </c>
    </row>
    <row r="3517" spans="1:7">
      <c r="A3517">
        <v>293</v>
      </c>
      <c r="B3517" s="1">
        <v>46266</v>
      </c>
      <c r="C3517">
        <v>20</v>
      </c>
      <c r="D3517">
        <v>16</v>
      </c>
      <c r="E3517">
        <v>4</v>
      </c>
      <c r="F3517">
        <v>0</v>
      </c>
      <c r="G3517">
        <v>80</v>
      </c>
    </row>
    <row r="3518" spans="1:7">
      <c r="A3518">
        <v>294</v>
      </c>
      <c r="B3518" s="1">
        <v>45931</v>
      </c>
      <c r="C3518">
        <v>20</v>
      </c>
      <c r="D3518">
        <v>20</v>
      </c>
      <c r="E3518">
        <v>0</v>
      </c>
      <c r="F3518">
        <v>1</v>
      </c>
      <c r="G3518">
        <v>100</v>
      </c>
    </row>
    <row r="3519" spans="1:7">
      <c r="A3519">
        <v>294</v>
      </c>
      <c r="B3519" s="1">
        <v>45962</v>
      </c>
      <c r="C3519">
        <v>18</v>
      </c>
      <c r="D3519">
        <v>18</v>
      </c>
      <c r="E3519">
        <v>0</v>
      </c>
      <c r="F3519">
        <v>1</v>
      </c>
      <c r="G3519">
        <v>100</v>
      </c>
    </row>
    <row r="3520" spans="1:7">
      <c r="A3520">
        <v>294</v>
      </c>
      <c r="B3520" s="1">
        <v>45992</v>
      </c>
      <c r="C3520">
        <v>21</v>
      </c>
      <c r="D3520">
        <v>21</v>
      </c>
      <c r="E3520">
        <v>0</v>
      </c>
      <c r="F3520">
        <v>2</v>
      </c>
      <c r="G3520">
        <v>100</v>
      </c>
    </row>
    <row r="3521" spans="1:7">
      <c r="A3521">
        <v>294</v>
      </c>
      <c r="B3521" s="1">
        <v>46023</v>
      </c>
      <c r="C3521">
        <v>19</v>
      </c>
      <c r="D3521">
        <v>19</v>
      </c>
      <c r="E3521">
        <v>0</v>
      </c>
      <c r="F3521">
        <v>2</v>
      </c>
      <c r="G3521">
        <v>100</v>
      </c>
    </row>
    <row r="3522" spans="1:7">
      <c r="A3522">
        <v>294</v>
      </c>
      <c r="B3522" s="1">
        <v>46054</v>
      </c>
      <c r="C3522">
        <v>20</v>
      </c>
      <c r="D3522">
        <v>20</v>
      </c>
      <c r="E3522">
        <v>0</v>
      </c>
      <c r="F3522">
        <v>0</v>
      </c>
      <c r="G3522">
        <v>100</v>
      </c>
    </row>
    <row r="3523" spans="1:7">
      <c r="A3523">
        <v>294</v>
      </c>
      <c r="B3523" s="1">
        <v>46082</v>
      </c>
      <c r="C3523">
        <v>22</v>
      </c>
      <c r="D3523">
        <v>21</v>
      </c>
      <c r="E3523">
        <v>1</v>
      </c>
      <c r="F3523">
        <v>1</v>
      </c>
      <c r="G3523">
        <v>95.5</v>
      </c>
    </row>
    <row r="3524" spans="1:7">
      <c r="A3524">
        <v>294</v>
      </c>
      <c r="B3524" s="1">
        <v>46113</v>
      </c>
      <c r="C3524">
        <v>21</v>
      </c>
      <c r="D3524">
        <v>19</v>
      </c>
      <c r="E3524">
        <v>2</v>
      </c>
      <c r="F3524">
        <v>4</v>
      </c>
      <c r="G3524">
        <v>90.5</v>
      </c>
    </row>
    <row r="3525" spans="1:7">
      <c r="A3525">
        <v>294</v>
      </c>
      <c r="B3525" s="1">
        <v>46143</v>
      </c>
      <c r="C3525">
        <v>19</v>
      </c>
      <c r="D3525">
        <v>19</v>
      </c>
      <c r="E3525">
        <v>0</v>
      </c>
      <c r="F3525">
        <v>1</v>
      </c>
      <c r="G3525">
        <v>100</v>
      </c>
    </row>
    <row r="3526" spans="1:7">
      <c r="A3526">
        <v>294</v>
      </c>
      <c r="B3526" s="1">
        <v>46174</v>
      </c>
      <c r="C3526">
        <v>19</v>
      </c>
      <c r="D3526">
        <v>19</v>
      </c>
      <c r="E3526">
        <v>0</v>
      </c>
      <c r="F3526">
        <v>2</v>
      </c>
      <c r="G3526">
        <v>100</v>
      </c>
    </row>
    <row r="3527" spans="1:7">
      <c r="A3527">
        <v>294</v>
      </c>
      <c r="B3527" s="1">
        <v>46204</v>
      </c>
      <c r="C3527">
        <v>22</v>
      </c>
      <c r="D3527">
        <v>22</v>
      </c>
      <c r="E3527">
        <v>0</v>
      </c>
      <c r="F3527">
        <v>1</v>
      </c>
      <c r="G3527">
        <v>100</v>
      </c>
    </row>
    <row r="3528" spans="1:7">
      <c r="A3528">
        <v>294</v>
      </c>
      <c r="B3528" s="1">
        <v>46235</v>
      </c>
      <c r="C3528">
        <v>22</v>
      </c>
      <c r="D3528">
        <v>21</v>
      </c>
      <c r="E3528">
        <v>1</v>
      </c>
      <c r="F3528">
        <v>4</v>
      </c>
      <c r="G3528">
        <v>95.5</v>
      </c>
    </row>
    <row r="3529" spans="1:7">
      <c r="A3529">
        <v>294</v>
      </c>
      <c r="B3529" s="1">
        <v>46266</v>
      </c>
      <c r="C3529">
        <v>20</v>
      </c>
      <c r="D3529">
        <v>20</v>
      </c>
      <c r="E3529">
        <v>0</v>
      </c>
      <c r="F3529">
        <v>1</v>
      </c>
      <c r="G3529">
        <v>100</v>
      </c>
    </row>
    <row r="3530" spans="1:7">
      <c r="A3530">
        <v>295</v>
      </c>
      <c r="B3530" s="1">
        <v>45931</v>
      </c>
      <c r="C3530">
        <v>22</v>
      </c>
      <c r="D3530">
        <v>18</v>
      </c>
      <c r="E3530">
        <v>4</v>
      </c>
      <c r="F3530">
        <v>5</v>
      </c>
      <c r="G3530">
        <v>81.8</v>
      </c>
    </row>
    <row r="3531" spans="1:7">
      <c r="A3531">
        <v>295</v>
      </c>
      <c r="B3531" s="1">
        <v>45962</v>
      </c>
      <c r="C3531">
        <v>19</v>
      </c>
      <c r="D3531">
        <v>14</v>
      </c>
      <c r="E3531">
        <v>5</v>
      </c>
      <c r="F3531">
        <v>5</v>
      </c>
      <c r="G3531">
        <v>73.7</v>
      </c>
    </row>
    <row r="3532" spans="1:7">
      <c r="A3532">
        <v>295</v>
      </c>
      <c r="B3532" s="1">
        <v>45992</v>
      </c>
      <c r="C3532">
        <v>22</v>
      </c>
      <c r="D3532">
        <v>17</v>
      </c>
      <c r="E3532">
        <v>5</v>
      </c>
      <c r="F3532">
        <v>5</v>
      </c>
      <c r="G3532">
        <v>77.3</v>
      </c>
    </row>
    <row r="3533" spans="1:7">
      <c r="A3533">
        <v>295</v>
      </c>
      <c r="B3533" s="1">
        <v>46023</v>
      </c>
      <c r="C3533">
        <v>19</v>
      </c>
      <c r="D3533">
        <v>11</v>
      </c>
      <c r="E3533">
        <v>8</v>
      </c>
      <c r="F3533">
        <v>4</v>
      </c>
      <c r="G3533">
        <v>57.9</v>
      </c>
    </row>
    <row r="3534" spans="1:7">
      <c r="A3534">
        <v>295</v>
      </c>
      <c r="B3534" s="1">
        <v>46054</v>
      </c>
      <c r="C3534">
        <v>22</v>
      </c>
      <c r="D3534">
        <v>19</v>
      </c>
      <c r="E3534">
        <v>3</v>
      </c>
      <c r="F3534">
        <v>0</v>
      </c>
      <c r="G3534">
        <v>86.4</v>
      </c>
    </row>
    <row r="3535" spans="1:7">
      <c r="A3535">
        <v>295</v>
      </c>
      <c r="B3535" s="1">
        <v>46082</v>
      </c>
      <c r="C3535">
        <v>21</v>
      </c>
      <c r="D3535">
        <v>16</v>
      </c>
      <c r="E3535">
        <v>5</v>
      </c>
      <c r="F3535">
        <v>2</v>
      </c>
      <c r="G3535">
        <v>76.2</v>
      </c>
    </row>
    <row r="3536" spans="1:7">
      <c r="A3536">
        <v>295</v>
      </c>
      <c r="B3536" s="1">
        <v>46113</v>
      </c>
      <c r="C3536">
        <v>21</v>
      </c>
      <c r="D3536">
        <v>13</v>
      </c>
      <c r="E3536">
        <v>8</v>
      </c>
      <c r="F3536">
        <v>3</v>
      </c>
      <c r="G3536">
        <v>61.9</v>
      </c>
    </row>
    <row r="3537" spans="1:7">
      <c r="A3537">
        <v>295</v>
      </c>
      <c r="B3537" s="1">
        <v>46143</v>
      </c>
      <c r="C3537">
        <v>21</v>
      </c>
      <c r="D3537">
        <v>20</v>
      </c>
      <c r="E3537">
        <v>1</v>
      </c>
      <c r="F3537">
        <v>2</v>
      </c>
      <c r="G3537">
        <v>95.2</v>
      </c>
    </row>
    <row r="3538" spans="1:7">
      <c r="A3538">
        <v>295</v>
      </c>
      <c r="B3538" s="1">
        <v>46174</v>
      </c>
      <c r="C3538">
        <v>19</v>
      </c>
      <c r="D3538">
        <v>15</v>
      </c>
      <c r="E3538">
        <v>4</v>
      </c>
      <c r="F3538">
        <v>0</v>
      </c>
      <c r="G3538">
        <v>78.900000000000006</v>
      </c>
    </row>
    <row r="3539" spans="1:7">
      <c r="A3539">
        <v>295</v>
      </c>
      <c r="B3539" s="1">
        <v>46204</v>
      </c>
      <c r="C3539">
        <v>20</v>
      </c>
      <c r="D3539">
        <v>18</v>
      </c>
      <c r="E3539">
        <v>2</v>
      </c>
      <c r="F3539">
        <v>5</v>
      </c>
      <c r="G3539">
        <v>90</v>
      </c>
    </row>
    <row r="3540" spans="1:7">
      <c r="A3540">
        <v>295</v>
      </c>
      <c r="B3540" s="1">
        <v>46235</v>
      </c>
      <c r="C3540">
        <v>22</v>
      </c>
      <c r="D3540">
        <v>19</v>
      </c>
      <c r="E3540">
        <v>3</v>
      </c>
      <c r="F3540">
        <v>5</v>
      </c>
      <c r="G3540">
        <v>86.4</v>
      </c>
    </row>
    <row r="3541" spans="1:7">
      <c r="A3541">
        <v>295</v>
      </c>
      <c r="B3541" s="1">
        <v>46266</v>
      </c>
      <c r="C3541">
        <v>22</v>
      </c>
      <c r="D3541">
        <v>19</v>
      </c>
      <c r="E3541">
        <v>3</v>
      </c>
      <c r="F3541">
        <v>4</v>
      </c>
      <c r="G3541">
        <v>86.4</v>
      </c>
    </row>
    <row r="3542" spans="1:7">
      <c r="A3542">
        <v>296</v>
      </c>
      <c r="B3542" s="1">
        <v>45931</v>
      </c>
      <c r="C3542">
        <v>18</v>
      </c>
      <c r="D3542">
        <v>10</v>
      </c>
      <c r="E3542">
        <v>8</v>
      </c>
      <c r="F3542">
        <v>1</v>
      </c>
      <c r="G3542">
        <v>55.6</v>
      </c>
    </row>
    <row r="3543" spans="1:7">
      <c r="A3543">
        <v>296</v>
      </c>
      <c r="B3543" s="1">
        <v>45962</v>
      </c>
      <c r="C3543">
        <v>21</v>
      </c>
      <c r="D3543">
        <v>12</v>
      </c>
      <c r="E3543">
        <v>9</v>
      </c>
      <c r="F3543">
        <v>6</v>
      </c>
      <c r="G3543">
        <v>57.1</v>
      </c>
    </row>
    <row r="3544" spans="1:7">
      <c r="A3544">
        <v>296</v>
      </c>
      <c r="B3544" s="1">
        <v>45992</v>
      </c>
      <c r="C3544">
        <v>19</v>
      </c>
      <c r="D3544">
        <v>10</v>
      </c>
      <c r="E3544">
        <v>9</v>
      </c>
      <c r="F3544">
        <v>1</v>
      </c>
      <c r="G3544">
        <v>52.6</v>
      </c>
    </row>
    <row r="3545" spans="1:7">
      <c r="A3545">
        <v>296</v>
      </c>
      <c r="B3545" s="1">
        <v>46023</v>
      </c>
      <c r="C3545">
        <v>21</v>
      </c>
      <c r="D3545">
        <v>16</v>
      </c>
      <c r="E3545">
        <v>5</v>
      </c>
      <c r="F3545">
        <v>6</v>
      </c>
      <c r="G3545">
        <v>76.2</v>
      </c>
    </row>
    <row r="3546" spans="1:7">
      <c r="A3546">
        <v>296</v>
      </c>
      <c r="B3546" s="1">
        <v>46054</v>
      </c>
      <c r="C3546">
        <v>19</v>
      </c>
      <c r="D3546">
        <v>12</v>
      </c>
      <c r="E3546">
        <v>7</v>
      </c>
      <c r="F3546">
        <v>1</v>
      </c>
      <c r="G3546">
        <v>63.2</v>
      </c>
    </row>
    <row r="3547" spans="1:7">
      <c r="A3547">
        <v>296</v>
      </c>
      <c r="B3547" s="1">
        <v>46082</v>
      </c>
      <c r="C3547">
        <v>19</v>
      </c>
      <c r="D3547">
        <v>12</v>
      </c>
      <c r="E3547">
        <v>7</v>
      </c>
      <c r="F3547">
        <v>6</v>
      </c>
      <c r="G3547">
        <v>63.2</v>
      </c>
    </row>
    <row r="3548" spans="1:7">
      <c r="A3548">
        <v>296</v>
      </c>
      <c r="B3548" s="1">
        <v>46113</v>
      </c>
      <c r="C3548">
        <v>20</v>
      </c>
      <c r="D3548">
        <v>10</v>
      </c>
      <c r="E3548">
        <v>10</v>
      </c>
      <c r="F3548">
        <v>2</v>
      </c>
      <c r="G3548">
        <v>50</v>
      </c>
    </row>
    <row r="3549" spans="1:7">
      <c r="A3549">
        <v>296</v>
      </c>
      <c r="B3549" s="1">
        <v>46143</v>
      </c>
      <c r="C3549">
        <v>19</v>
      </c>
      <c r="D3549">
        <v>10</v>
      </c>
      <c r="E3549">
        <v>9</v>
      </c>
      <c r="F3549">
        <v>3</v>
      </c>
      <c r="G3549">
        <v>52.6</v>
      </c>
    </row>
    <row r="3550" spans="1:7">
      <c r="A3550">
        <v>296</v>
      </c>
      <c r="B3550" s="1">
        <v>46174</v>
      </c>
      <c r="C3550">
        <v>18</v>
      </c>
      <c r="D3550">
        <v>10</v>
      </c>
      <c r="E3550">
        <v>8</v>
      </c>
      <c r="F3550">
        <v>5</v>
      </c>
      <c r="G3550">
        <v>55.6</v>
      </c>
    </row>
    <row r="3551" spans="1:7">
      <c r="A3551">
        <v>296</v>
      </c>
      <c r="B3551" s="1">
        <v>46204</v>
      </c>
      <c r="C3551">
        <v>19</v>
      </c>
      <c r="D3551">
        <v>13</v>
      </c>
      <c r="E3551">
        <v>6</v>
      </c>
      <c r="F3551">
        <v>1</v>
      </c>
      <c r="G3551">
        <v>68.400000000000006</v>
      </c>
    </row>
    <row r="3552" spans="1:7">
      <c r="A3552">
        <v>296</v>
      </c>
      <c r="B3552" s="1">
        <v>46235</v>
      </c>
      <c r="C3552">
        <v>21</v>
      </c>
      <c r="D3552">
        <v>12</v>
      </c>
      <c r="E3552">
        <v>9</v>
      </c>
      <c r="F3552">
        <v>2</v>
      </c>
      <c r="G3552">
        <v>57.1</v>
      </c>
    </row>
    <row r="3553" spans="1:7">
      <c r="A3553">
        <v>296</v>
      </c>
      <c r="B3553" s="1">
        <v>46266</v>
      </c>
      <c r="C3553">
        <v>18</v>
      </c>
      <c r="D3553">
        <v>10</v>
      </c>
      <c r="E3553">
        <v>8</v>
      </c>
      <c r="F3553">
        <v>5</v>
      </c>
      <c r="G3553">
        <v>55.6</v>
      </c>
    </row>
    <row r="3554" spans="1:7">
      <c r="A3554">
        <v>297</v>
      </c>
      <c r="B3554" s="1">
        <v>45931</v>
      </c>
      <c r="C3554">
        <v>18</v>
      </c>
      <c r="D3554">
        <v>13</v>
      </c>
      <c r="E3554">
        <v>5</v>
      </c>
      <c r="F3554">
        <v>6</v>
      </c>
      <c r="G3554">
        <v>72.2</v>
      </c>
    </row>
    <row r="3555" spans="1:7">
      <c r="A3555">
        <v>297</v>
      </c>
      <c r="B3555" s="1">
        <v>45962</v>
      </c>
      <c r="C3555">
        <v>22</v>
      </c>
      <c r="D3555">
        <v>15</v>
      </c>
      <c r="E3555">
        <v>7</v>
      </c>
      <c r="F3555">
        <v>3</v>
      </c>
      <c r="G3555">
        <v>68.2</v>
      </c>
    </row>
    <row r="3556" spans="1:7">
      <c r="A3556">
        <v>297</v>
      </c>
      <c r="B3556" s="1">
        <v>45992</v>
      </c>
      <c r="C3556">
        <v>19</v>
      </c>
      <c r="D3556">
        <v>12</v>
      </c>
      <c r="E3556">
        <v>7</v>
      </c>
      <c r="F3556">
        <v>0</v>
      </c>
      <c r="G3556">
        <v>63.2</v>
      </c>
    </row>
    <row r="3557" spans="1:7">
      <c r="A3557">
        <v>297</v>
      </c>
      <c r="B3557" s="1">
        <v>46023</v>
      </c>
      <c r="C3557">
        <v>22</v>
      </c>
      <c r="D3557">
        <v>16</v>
      </c>
      <c r="E3557">
        <v>6</v>
      </c>
      <c r="F3557">
        <v>5</v>
      </c>
      <c r="G3557">
        <v>72.7</v>
      </c>
    </row>
    <row r="3558" spans="1:7">
      <c r="A3558">
        <v>297</v>
      </c>
      <c r="B3558" s="1">
        <v>46054</v>
      </c>
      <c r="C3558">
        <v>22</v>
      </c>
      <c r="D3558">
        <v>15</v>
      </c>
      <c r="E3558">
        <v>7</v>
      </c>
      <c r="F3558">
        <v>6</v>
      </c>
      <c r="G3558">
        <v>68.2</v>
      </c>
    </row>
    <row r="3559" spans="1:7">
      <c r="A3559">
        <v>297</v>
      </c>
      <c r="B3559" s="1">
        <v>46082</v>
      </c>
      <c r="C3559">
        <v>20</v>
      </c>
      <c r="D3559">
        <v>12</v>
      </c>
      <c r="E3559">
        <v>8</v>
      </c>
      <c r="F3559">
        <v>2</v>
      </c>
      <c r="G3559">
        <v>60</v>
      </c>
    </row>
    <row r="3560" spans="1:7">
      <c r="A3560">
        <v>297</v>
      </c>
      <c r="B3560" s="1">
        <v>46113</v>
      </c>
      <c r="C3560">
        <v>18</v>
      </c>
      <c r="D3560">
        <v>14</v>
      </c>
      <c r="E3560">
        <v>4</v>
      </c>
      <c r="F3560">
        <v>0</v>
      </c>
      <c r="G3560">
        <v>77.8</v>
      </c>
    </row>
    <row r="3561" spans="1:7">
      <c r="A3561">
        <v>297</v>
      </c>
      <c r="B3561" s="1">
        <v>46143</v>
      </c>
      <c r="C3561">
        <v>21</v>
      </c>
      <c r="D3561">
        <v>11</v>
      </c>
      <c r="E3561">
        <v>10</v>
      </c>
      <c r="F3561">
        <v>3</v>
      </c>
      <c r="G3561">
        <v>52.4</v>
      </c>
    </row>
    <row r="3562" spans="1:7">
      <c r="A3562">
        <v>297</v>
      </c>
      <c r="B3562" s="1">
        <v>46174</v>
      </c>
      <c r="C3562">
        <v>22</v>
      </c>
      <c r="D3562">
        <v>13</v>
      </c>
      <c r="E3562">
        <v>9</v>
      </c>
      <c r="F3562">
        <v>6</v>
      </c>
      <c r="G3562">
        <v>59.1</v>
      </c>
    </row>
    <row r="3563" spans="1:7">
      <c r="A3563">
        <v>297</v>
      </c>
      <c r="B3563" s="1">
        <v>46204</v>
      </c>
      <c r="C3563">
        <v>21</v>
      </c>
      <c r="D3563">
        <v>11</v>
      </c>
      <c r="E3563">
        <v>10</v>
      </c>
      <c r="F3563">
        <v>6</v>
      </c>
      <c r="G3563">
        <v>52.4</v>
      </c>
    </row>
    <row r="3564" spans="1:7">
      <c r="A3564">
        <v>297</v>
      </c>
      <c r="B3564" s="1">
        <v>46235</v>
      </c>
      <c r="C3564">
        <v>20</v>
      </c>
      <c r="D3564">
        <v>12</v>
      </c>
      <c r="E3564">
        <v>8</v>
      </c>
      <c r="F3564">
        <v>5</v>
      </c>
      <c r="G3564">
        <v>60</v>
      </c>
    </row>
    <row r="3565" spans="1:7">
      <c r="A3565">
        <v>297</v>
      </c>
      <c r="B3565" s="1">
        <v>46266</v>
      </c>
      <c r="C3565">
        <v>22</v>
      </c>
      <c r="D3565">
        <v>14</v>
      </c>
      <c r="E3565">
        <v>8</v>
      </c>
      <c r="F3565">
        <v>4</v>
      </c>
      <c r="G3565">
        <v>63.6</v>
      </c>
    </row>
    <row r="3566" spans="1:7">
      <c r="A3566">
        <v>298</v>
      </c>
      <c r="B3566" s="1">
        <v>45931</v>
      </c>
      <c r="C3566">
        <v>20</v>
      </c>
      <c r="D3566">
        <v>13</v>
      </c>
      <c r="E3566">
        <v>7</v>
      </c>
      <c r="F3566">
        <v>3</v>
      </c>
      <c r="G3566">
        <v>65</v>
      </c>
    </row>
    <row r="3567" spans="1:7">
      <c r="A3567">
        <v>298</v>
      </c>
      <c r="B3567" s="1">
        <v>45962</v>
      </c>
      <c r="C3567">
        <v>21</v>
      </c>
      <c r="D3567">
        <v>10</v>
      </c>
      <c r="E3567">
        <v>11</v>
      </c>
      <c r="F3567">
        <v>3</v>
      </c>
      <c r="G3567">
        <v>47.6</v>
      </c>
    </row>
    <row r="3568" spans="1:7">
      <c r="A3568">
        <v>298</v>
      </c>
      <c r="B3568" s="1">
        <v>45992</v>
      </c>
      <c r="C3568">
        <v>18</v>
      </c>
      <c r="D3568">
        <v>13</v>
      </c>
      <c r="E3568">
        <v>5</v>
      </c>
      <c r="F3568">
        <v>2</v>
      </c>
      <c r="G3568">
        <v>72.2</v>
      </c>
    </row>
    <row r="3569" spans="1:7">
      <c r="A3569">
        <v>298</v>
      </c>
      <c r="B3569" s="1">
        <v>46023</v>
      </c>
      <c r="C3569">
        <v>20</v>
      </c>
      <c r="D3569">
        <v>16</v>
      </c>
      <c r="E3569">
        <v>4</v>
      </c>
      <c r="F3569">
        <v>2</v>
      </c>
      <c r="G3569">
        <v>80</v>
      </c>
    </row>
    <row r="3570" spans="1:7">
      <c r="A3570">
        <v>298</v>
      </c>
      <c r="B3570" s="1">
        <v>46054</v>
      </c>
      <c r="C3570">
        <v>22</v>
      </c>
      <c r="D3570">
        <v>16</v>
      </c>
      <c r="E3570">
        <v>6</v>
      </c>
      <c r="F3570">
        <v>2</v>
      </c>
      <c r="G3570">
        <v>72.7</v>
      </c>
    </row>
    <row r="3571" spans="1:7">
      <c r="A3571">
        <v>298</v>
      </c>
      <c r="B3571" s="1">
        <v>46082</v>
      </c>
      <c r="C3571">
        <v>20</v>
      </c>
      <c r="D3571">
        <v>10</v>
      </c>
      <c r="E3571">
        <v>10</v>
      </c>
      <c r="F3571">
        <v>0</v>
      </c>
      <c r="G3571">
        <v>50</v>
      </c>
    </row>
    <row r="3572" spans="1:7">
      <c r="A3572">
        <v>298</v>
      </c>
      <c r="B3572" s="1">
        <v>46113</v>
      </c>
      <c r="C3572">
        <v>18</v>
      </c>
      <c r="D3572">
        <v>10</v>
      </c>
      <c r="E3572">
        <v>8</v>
      </c>
      <c r="F3572">
        <v>1</v>
      </c>
      <c r="G3572">
        <v>55.6</v>
      </c>
    </row>
    <row r="3573" spans="1:7">
      <c r="A3573">
        <v>298</v>
      </c>
      <c r="B3573" s="1">
        <v>46143</v>
      </c>
      <c r="C3573">
        <v>22</v>
      </c>
      <c r="D3573">
        <v>13</v>
      </c>
      <c r="E3573">
        <v>9</v>
      </c>
      <c r="F3573">
        <v>3</v>
      </c>
      <c r="G3573">
        <v>59.1</v>
      </c>
    </row>
    <row r="3574" spans="1:7">
      <c r="A3574">
        <v>298</v>
      </c>
      <c r="B3574" s="1">
        <v>46174</v>
      </c>
      <c r="C3574">
        <v>19</v>
      </c>
      <c r="D3574">
        <v>14</v>
      </c>
      <c r="E3574">
        <v>5</v>
      </c>
      <c r="F3574">
        <v>0</v>
      </c>
      <c r="G3574">
        <v>73.7</v>
      </c>
    </row>
    <row r="3575" spans="1:7">
      <c r="A3575">
        <v>298</v>
      </c>
      <c r="B3575" s="1">
        <v>46204</v>
      </c>
      <c r="C3575">
        <v>21</v>
      </c>
      <c r="D3575">
        <v>16</v>
      </c>
      <c r="E3575">
        <v>5</v>
      </c>
      <c r="F3575">
        <v>4</v>
      </c>
      <c r="G3575">
        <v>76.2</v>
      </c>
    </row>
    <row r="3576" spans="1:7">
      <c r="A3576">
        <v>298</v>
      </c>
      <c r="B3576" s="1">
        <v>46235</v>
      </c>
      <c r="C3576">
        <v>22</v>
      </c>
      <c r="D3576">
        <v>14</v>
      </c>
      <c r="E3576">
        <v>8</v>
      </c>
      <c r="F3576">
        <v>4</v>
      </c>
      <c r="G3576">
        <v>63.6</v>
      </c>
    </row>
    <row r="3577" spans="1:7">
      <c r="A3577">
        <v>298</v>
      </c>
      <c r="B3577" s="1">
        <v>46266</v>
      </c>
      <c r="C3577">
        <v>21</v>
      </c>
      <c r="D3577">
        <v>16</v>
      </c>
      <c r="E3577">
        <v>5</v>
      </c>
      <c r="F3577">
        <v>0</v>
      </c>
      <c r="G3577">
        <v>76.2</v>
      </c>
    </row>
    <row r="3578" spans="1:7">
      <c r="A3578">
        <v>299</v>
      </c>
      <c r="B3578" s="1">
        <v>45931</v>
      </c>
      <c r="C3578">
        <v>22</v>
      </c>
      <c r="D3578">
        <v>13</v>
      </c>
      <c r="E3578">
        <v>9</v>
      </c>
      <c r="F3578">
        <v>5</v>
      </c>
      <c r="G3578">
        <v>59.1</v>
      </c>
    </row>
    <row r="3579" spans="1:7">
      <c r="A3579">
        <v>299</v>
      </c>
      <c r="B3579" s="1">
        <v>45962</v>
      </c>
      <c r="C3579">
        <v>18</v>
      </c>
      <c r="D3579">
        <v>10</v>
      </c>
      <c r="E3579">
        <v>8</v>
      </c>
      <c r="F3579">
        <v>4</v>
      </c>
      <c r="G3579">
        <v>55.6</v>
      </c>
    </row>
    <row r="3580" spans="1:7">
      <c r="A3580">
        <v>299</v>
      </c>
      <c r="B3580" s="1">
        <v>45992</v>
      </c>
      <c r="C3580">
        <v>18</v>
      </c>
      <c r="D3580">
        <v>10</v>
      </c>
      <c r="E3580">
        <v>8</v>
      </c>
      <c r="F3580">
        <v>2</v>
      </c>
      <c r="G3580">
        <v>55.6</v>
      </c>
    </row>
    <row r="3581" spans="1:7">
      <c r="A3581">
        <v>299</v>
      </c>
      <c r="B3581" s="1">
        <v>46023</v>
      </c>
      <c r="C3581">
        <v>22</v>
      </c>
      <c r="D3581">
        <v>14</v>
      </c>
      <c r="E3581">
        <v>8</v>
      </c>
      <c r="F3581">
        <v>5</v>
      </c>
      <c r="G3581">
        <v>63.6</v>
      </c>
    </row>
    <row r="3582" spans="1:7">
      <c r="A3582">
        <v>299</v>
      </c>
      <c r="B3582" s="1">
        <v>46054</v>
      </c>
      <c r="C3582">
        <v>22</v>
      </c>
      <c r="D3582">
        <v>18</v>
      </c>
      <c r="E3582">
        <v>4</v>
      </c>
      <c r="F3582">
        <v>5</v>
      </c>
      <c r="G3582">
        <v>81.8</v>
      </c>
    </row>
    <row r="3583" spans="1:7">
      <c r="A3583">
        <v>299</v>
      </c>
      <c r="B3583" s="1">
        <v>46082</v>
      </c>
      <c r="C3583">
        <v>18</v>
      </c>
      <c r="D3583">
        <v>11</v>
      </c>
      <c r="E3583">
        <v>7</v>
      </c>
      <c r="F3583">
        <v>2</v>
      </c>
      <c r="G3583">
        <v>61.1</v>
      </c>
    </row>
    <row r="3584" spans="1:7">
      <c r="A3584">
        <v>299</v>
      </c>
      <c r="B3584" s="1">
        <v>46113</v>
      </c>
      <c r="C3584">
        <v>21</v>
      </c>
      <c r="D3584">
        <v>14</v>
      </c>
      <c r="E3584">
        <v>7</v>
      </c>
      <c r="F3584">
        <v>4</v>
      </c>
      <c r="G3584">
        <v>66.7</v>
      </c>
    </row>
    <row r="3585" spans="1:7">
      <c r="A3585">
        <v>299</v>
      </c>
      <c r="B3585" s="1">
        <v>46143</v>
      </c>
      <c r="C3585">
        <v>18</v>
      </c>
      <c r="D3585">
        <v>14</v>
      </c>
      <c r="E3585">
        <v>4</v>
      </c>
      <c r="F3585">
        <v>3</v>
      </c>
      <c r="G3585">
        <v>77.8</v>
      </c>
    </row>
    <row r="3586" spans="1:7">
      <c r="A3586">
        <v>299</v>
      </c>
      <c r="B3586" s="1">
        <v>46174</v>
      </c>
      <c r="C3586">
        <v>21</v>
      </c>
      <c r="D3586">
        <v>15</v>
      </c>
      <c r="E3586">
        <v>6</v>
      </c>
      <c r="F3586">
        <v>4</v>
      </c>
      <c r="G3586">
        <v>71.400000000000006</v>
      </c>
    </row>
    <row r="3587" spans="1:7">
      <c r="A3587">
        <v>299</v>
      </c>
      <c r="B3587" s="1">
        <v>46204</v>
      </c>
      <c r="C3587">
        <v>19</v>
      </c>
      <c r="D3587">
        <v>13</v>
      </c>
      <c r="E3587">
        <v>6</v>
      </c>
      <c r="F3587">
        <v>0</v>
      </c>
      <c r="G3587">
        <v>68.400000000000006</v>
      </c>
    </row>
    <row r="3588" spans="1:7">
      <c r="A3588">
        <v>299</v>
      </c>
      <c r="B3588" s="1">
        <v>46235</v>
      </c>
      <c r="C3588">
        <v>20</v>
      </c>
      <c r="D3588">
        <v>10</v>
      </c>
      <c r="E3588">
        <v>10</v>
      </c>
      <c r="F3588">
        <v>6</v>
      </c>
      <c r="G3588">
        <v>50</v>
      </c>
    </row>
    <row r="3589" spans="1:7">
      <c r="A3589">
        <v>299</v>
      </c>
      <c r="B3589" s="1">
        <v>46266</v>
      </c>
      <c r="C3589">
        <v>18</v>
      </c>
      <c r="D3589">
        <v>10</v>
      </c>
      <c r="E3589">
        <v>8</v>
      </c>
      <c r="F3589">
        <v>5</v>
      </c>
      <c r="G3589">
        <v>55.6</v>
      </c>
    </row>
    <row r="3590" spans="1:7">
      <c r="A3590">
        <v>300</v>
      </c>
      <c r="B3590" s="1">
        <v>45931</v>
      </c>
      <c r="C3590">
        <v>21</v>
      </c>
      <c r="D3590">
        <v>17</v>
      </c>
      <c r="E3590">
        <v>4</v>
      </c>
      <c r="F3590">
        <v>6</v>
      </c>
      <c r="G3590">
        <v>81</v>
      </c>
    </row>
    <row r="3591" spans="1:7">
      <c r="A3591">
        <v>300</v>
      </c>
      <c r="B3591" s="1">
        <v>45962</v>
      </c>
      <c r="C3591">
        <v>20</v>
      </c>
      <c r="D3591">
        <v>18</v>
      </c>
      <c r="E3591">
        <v>2</v>
      </c>
      <c r="F3591">
        <v>2</v>
      </c>
      <c r="G3591">
        <v>90</v>
      </c>
    </row>
    <row r="3592" spans="1:7">
      <c r="A3592">
        <v>300</v>
      </c>
      <c r="B3592" s="1">
        <v>45992</v>
      </c>
      <c r="C3592">
        <v>19</v>
      </c>
      <c r="D3592">
        <v>16</v>
      </c>
      <c r="E3592">
        <v>3</v>
      </c>
      <c r="F3592">
        <v>2</v>
      </c>
      <c r="G3592">
        <v>84.2</v>
      </c>
    </row>
    <row r="3593" spans="1:7">
      <c r="A3593">
        <v>300</v>
      </c>
      <c r="B3593" s="1">
        <v>46023</v>
      </c>
      <c r="C3593">
        <v>21</v>
      </c>
      <c r="D3593">
        <v>14</v>
      </c>
      <c r="E3593">
        <v>7</v>
      </c>
      <c r="F3593">
        <v>5</v>
      </c>
      <c r="G3593">
        <v>66.7</v>
      </c>
    </row>
    <row r="3594" spans="1:7">
      <c r="A3594">
        <v>300</v>
      </c>
      <c r="B3594" s="1">
        <v>46054</v>
      </c>
      <c r="C3594">
        <v>20</v>
      </c>
      <c r="D3594">
        <v>16</v>
      </c>
      <c r="E3594">
        <v>4</v>
      </c>
      <c r="F3594">
        <v>4</v>
      </c>
      <c r="G3594">
        <v>80</v>
      </c>
    </row>
    <row r="3595" spans="1:7">
      <c r="A3595">
        <v>300</v>
      </c>
      <c r="B3595" s="1">
        <v>46082</v>
      </c>
      <c r="C3595">
        <v>22</v>
      </c>
      <c r="D3595">
        <v>20</v>
      </c>
      <c r="E3595">
        <v>2</v>
      </c>
      <c r="F3595">
        <v>5</v>
      </c>
      <c r="G3595">
        <v>90.9</v>
      </c>
    </row>
    <row r="3596" spans="1:7">
      <c r="A3596">
        <v>300</v>
      </c>
      <c r="B3596" s="1">
        <v>46113</v>
      </c>
      <c r="C3596">
        <v>20</v>
      </c>
      <c r="D3596">
        <v>17</v>
      </c>
      <c r="E3596">
        <v>3</v>
      </c>
      <c r="F3596">
        <v>6</v>
      </c>
      <c r="G3596">
        <v>85</v>
      </c>
    </row>
    <row r="3597" spans="1:7">
      <c r="A3597">
        <v>300</v>
      </c>
      <c r="B3597" s="1">
        <v>46143</v>
      </c>
      <c r="C3597">
        <v>19</v>
      </c>
      <c r="D3597">
        <v>19</v>
      </c>
      <c r="E3597">
        <v>0</v>
      </c>
      <c r="F3597">
        <v>3</v>
      </c>
      <c r="G3597">
        <v>100</v>
      </c>
    </row>
    <row r="3598" spans="1:7">
      <c r="A3598">
        <v>300</v>
      </c>
      <c r="B3598" s="1">
        <v>46174</v>
      </c>
      <c r="C3598">
        <v>18</v>
      </c>
      <c r="D3598">
        <v>16</v>
      </c>
      <c r="E3598">
        <v>2</v>
      </c>
      <c r="F3598">
        <v>5</v>
      </c>
      <c r="G3598">
        <v>88.9</v>
      </c>
    </row>
    <row r="3599" spans="1:7">
      <c r="A3599">
        <v>300</v>
      </c>
      <c r="B3599" s="1">
        <v>46204</v>
      </c>
      <c r="C3599">
        <v>19</v>
      </c>
      <c r="D3599">
        <v>13</v>
      </c>
      <c r="E3599">
        <v>6</v>
      </c>
      <c r="F3599">
        <v>2</v>
      </c>
      <c r="G3599">
        <v>68.400000000000006</v>
      </c>
    </row>
    <row r="3600" spans="1:7">
      <c r="A3600">
        <v>300</v>
      </c>
      <c r="B3600" s="1">
        <v>46235</v>
      </c>
      <c r="C3600">
        <v>20</v>
      </c>
      <c r="D3600">
        <v>14</v>
      </c>
      <c r="E3600">
        <v>6</v>
      </c>
      <c r="F3600">
        <v>5</v>
      </c>
      <c r="G3600">
        <v>70</v>
      </c>
    </row>
    <row r="3601" spans="1:7">
      <c r="A3601">
        <v>300</v>
      </c>
      <c r="B3601" s="1">
        <v>46266</v>
      </c>
      <c r="C3601">
        <v>21</v>
      </c>
      <c r="D3601">
        <v>16</v>
      </c>
      <c r="E3601">
        <v>5</v>
      </c>
      <c r="F3601">
        <v>2</v>
      </c>
      <c r="G3601">
        <v>76.2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B3B2-54A5-48E6-85FA-C1E28376A316}">
  <dimension ref="A3:B7"/>
  <sheetViews>
    <sheetView workbookViewId="0">
      <selection activeCell="A4" sqref="A3:B7"/>
    </sheetView>
  </sheetViews>
  <sheetFormatPr defaultRowHeight="14.4"/>
  <cols>
    <col min="1" max="1" width="12.5546875" bestFit="1" customWidth="1"/>
    <col min="2" max="2" width="15.21875" bestFit="1" customWidth="1"/>
  </cols>
  <sheetData>
    <row r="3" spans="1:2">
      <c r="A3" s="8" t="s">
        <v>390</v>
      </c>
      <c r="B3" t="s">
        <v>402</v>
      </c>
    </row>
    <row r="4" spans="1:2">
      <c r="A4" s="9" t="s">
        <v>381</v>
      </c>
      <c r="B4">
        <v>126367</v>
      </c>
    </row>
    <row r="5" spans="1:2">
      <c r="A5" s="9" t="s">
        <v>386</v>
      </c>
      <c r="B5">
        <v>37073</v>
      </c>
    </row>
    <row r="6" spans="1:2">
      <c r="A6" s="9" t="s">
        <v>385</v>
      </c>
      <c r="B6">
        <v>41680</v>
      </c>
    </row>
    <row r="7" spans="1:2">
      <c r="A7" s="9" t="s">
        <v>391</v>
      </c>
      <c r="B7">
        <v>205120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4F13-7649-4969-8D41-64836CE00709}">
  <dimension ref="A3:B8"/>
  <sheetViews>
    <sheetView workbookViewId="0">
      <selection activeCell="E29" sqref="E29"/>
    </sheetView>
  </sheetViews>
  <sheetFormatPr defaultRowHeight="14.4"/>
  <cols>
    <col min="1" max="1" width="15.21875" bestFit="1" customWidth="1"/>
    <col min="2" max="2" width="16.5546875" bestFit="1" customWidth="1"/>
  </cols>
  <sheetData>
    <row r="3" spans="1:2">
      <c r="A3" s="8" t="s">
        <v>390</v>
      </c>
      <c r="B3" t="s">
        <v>403</v>
      </c>
    </row>
    <row r="4" spans="1:2">
      <c r="A4" s="9" t="s">
        <v>383</v>
      </c>
      <c r="B4">
        <v>173</v>
      </c>
    </row>
    <row r="5" spans="1:2">
      <c r="A5" s="9" t="s">
        <v>384</v>
      </c>
      <c r="B5">
        <v>141</v>
      </c>
    </row>
    <row r="6" spans="1:2">
      <c r="A6" s="9" t="s">
        <v>382</v>
      </c>
      <c r="B6">
        <v>158</v>
      </c>
    </row>
    <row r="7" spans="1:2">
      <c r="A7" s="9" t="s">
        <v>380</v>
      </c>
      <c r="B7">
        <v>168</v>
      </c>
    </row>
    <row r="8" spans="1:2">
      <c r="A8" s="9" t="s">
        <v>391</v>
      </c>
      <c r="B8">
        <v>640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3085-47B3-4B07-8010-953692D82E10}">
  <dimension ref="A3:B16"/>
  <sheetViews>
    <sheetView workbookViewId="0">
      <selection activeCell="A4" sqref="A3:B16"/>
    </sheetView>
  </sheetViews>
  <sheetFormatPr defaultRowHeight="14.4"/>
  <cols>
    <col min="1" max="1" width="12.5546875" bestFit="1" customWidth="1"/>
    <col min="2" max="2" width="17.5546875" bestFit="1" customWidth="1"/>
  </cols>
  <sheetData>
    <row r="3" spans="1:2">
      <c r="A3" s="8" t="s">
        <v>390</v>
      </c>
      <c r="B3" t="s">
        <v>404</v>
      </c>
    </row>
    <row r="4" spans="1:2">
      <c r="A4" s="9" t="s">
        <v>405</v>
      </c>
      <c r="B4">
        <v>138</v>
      </c>
    </row>
    <row r="5" spans="1:2">
      <c r="A5" s="9" t="s">
        <v>406</v>
      </c>
      <c r="B5">
        <v>108</v>
      </c>
    </row>
    <row r="6" spans="1:2">
      <c r="A6" s="9" t="s">
        <v>407</v>
      </c>
      <c r="B6">
        <v>136</v>
      </c>
    </row>
    <row r="7" spans="1:2">
      <c r="A7" s="9" t="s">
        <v>408</v>
      </c>
      <c r="B7">
        <v>186</v>
      </c>
    </row>
    <row r="8" spans="1:2">
      <c r="A8" s="9" t="s">
        <v>409</v>
      </c>
      <c r="B8">
        <v>117</v>
      </c>
    </row>
    <row r="9" spans="1:2">
      <c r="A9" s="9" t="s">
        <v>410</v>
      </c>
      <c r="B9">
        <v>99</v>
      </c>
    </row>
    <row r="10" spans="1:2">
      <c r="A10" s="9" t="s">
        <v>411</v>
      </c>
      <c r="B10">
        <v>124</v>
      </c>
    </row>
    <row r="11" spans="1:2">
      <c r="A11" s="9" t="s">
        <v>412</v>
      </c>
      <c r="B11">
        <v>142</v>
      </c>
    </row>
    <row r="12" spans="1:2">
      <c r="A12" s="9" t="s">
        <v>413</v>
      </c>
      <c r="B12">
        <v>121</v>
      </c>
    </row>
    <row r="13" spans="1:2">
      <c r="A13" s="9" t="s">
        <v>414</v>
      </c>
      <c r="B13">
        <v>135</v>
      </c>
    </row>
    <row r="14" spans="1:2">
      <c r="A14" s="9" t="s">
        <v>415</v>
      </c>
      <c r="B14">
        <v>143</v>
      </c>
    </row>
    <row r="15" spans="1:2">
      <c r="A15" s="9" t="s">
        <v>416</v>
      </c>
      <c r="B15">
        <v>127</v>
      </c>
    </row>
    <row r="16" spans="1:2">
      <c r="A16" s="9" t="s">
        <v>391</v>
      </c>
      <c r="B16">
        <v>1576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5B39-8A18-4E05-B285-AC8CC84D318B}">
  <dimension ref="A3:B12"/>
  <sheetViews>
    <sheetView workbookViewId="0">
      <selection activeCell="A4" sqref="A3:B12"/>
    </sheetView>
  </sheetViews>
  <sheetFormatPr defaultRowHeight="14.4"/>
  <cols>
    <col min="1" max="1" width="15.77734375" bestFit="1" customWidth="1"/>
    <col min="2" max="2" width="17.5546875" bestFit="1" customWidth="1"/>
  </cols>
  <sheetData>
    <row r="3" spans="1:2">
      <c r="A3" s="8" t="s">
        <v>390</v>
      </c>
      <c r="B3" t="s">
        <v>404</v>
      </c>
    </row>
    <row r="4" spans="1:2">
      <c r="A4" s="9" t="s">
        <v>41</v>
      </c>
      <c r="B4">
        <v>83</v>
      </c>
    </row>
    <row r="5" spans="1:2">
      <c r="A5" s="9" t="s">
        <v>58</v>
      </c>
      <c r="B5">
        <v>120</v>
      </c>
    </row>
    <row r="6" spans="1:2">
      <c r="A6" s="9" t="s">
        <v>47</v>
      </c>
      <c r="B6">
        <v>100</v>
      </c>
    </row>
    <row r="7" spans="1:2">
      <c r="A7" s="9" t="s">
        <v>35</v>
      </c>
      <c r="B7">
        <v>124</v>
      </c>
    </row>
    <row r="8" spans="1:2">
      <c r="A8" s="9" t="s">
        <v>29</v>
      </c>
      <c r="B8">
        <v>91</v>
      </c>
    </row>
    <row r="9" spans="1:2">
      <c r="A9" s="9" t="s">
        <v>417</v>
      </c>
      <c r="B9">
        <v>839</v>
      </c>
    </row>
    <row r="10" spans="1:2">
      <c r="A10" s="9" t="s">
        <v>85</v>
      </c>
      <c r="B10">
        <v>92</v>
      </c>
    </row>
    <row r="11" spans="1:2">
      <c r="A11" s="9" t="s">
        <v>51</v>
      </c>
      <c r="B11">
        <v>127</v>
      </c>
    </row>
    <row r="12" spans="1:2">
      <c r="A12" s="9" t="s">
        <v>391</v>
      </c>
      <c r="B12">
        <v>1576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DA5E-A692-4BA9-9CB5-8894B5620AFE}">
  <dimension ref="A3:A7"/>
  <sheetViews>
    <sheetView workbookViewId="0">
      <selection activeCell="B32" sqref="B32"/>
    </sheetView>
  </sheetViews>
  <sheetFormatPr defaultRowHeight="14.4"/>
  <cols>
    <col min="1" max="1" width="12.5546875" bestFit="1" customWidth="1"/>
    <col min="2" max="2" width="18.77734375" bestFit="1" customWidth="1"/>
  </cols>
  <sheetData>
    <row r="3" spans="1:1">
      <c r="A3" s="8" t="s">
        <v>390</v>
      </c>
    </row>
    <row r="4" spans="1:1">
      <c r="A4" s="9" t="s">
        <v>381</v>
      </c>
    </row>
    <row r="5" spans="1:1">
      <c r="A5" s="9" t="s">
        <v>386</v>
      </c>
    </row>
    <row r="6" spans="1:1">
      <c r="A6" s="9" t="s">
        <v>385</v>
      </c>
    </row>
    <row r="7" spans="1:1">
      <c r="A7" s="9" t="s">
        <v>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E39A-6CC6-40BE-87BB-1464F5FFE420}">
  <dimension ref="A3:B644"/>
  <sheetViews>
    <sheetView topLeftCell="A6" workbookViewId="0">
      <selection activeCell="J29" sqref="J29"/>
    </sheetView>
  </sheetViews>
  <sheetFormatPr defaultRowHeight="14.4"/>
  <cols>
    <col min="1" max="1" width="12.5546875" bestFit="1" customWidth="1"/>
    <col min="2" max="2" width="17.5546875" bestFit="1" customWidth="1"/>
  </cols>
  <sheetData>
    <row r="3" spans="1:2">
      <c r="A3" s="8" t="s">
        <v>390</v>
      </c>
      <c r="B3" t="s">
        <v>404</v>
      </c>
    </row>
    <row r="4" spans="1:2">
      <c r="A4" s="9">
        <v>542</v>
      </c>
      <c r="B4">
        <v>4</v>
      </c>
    </row>
    <row r="5" spans="1:2">
      <c r="A5" s="9">
        <v>463</v>
      </c>
      <c r="B5">
        <v>4</v>
      </c>
    </row>
    <row r="6" spans="1:2">
      <c r="A6" s="9">
        <v>623</v>
      </c>
      <c r="B6">
        <v>4</v>
      </c>
    </row>
    <row r="7" spans="1:2">
      <c r="A7" s="9">
        <v>323</v>
      </c>
      <c r="B7">
        <v>4</v>
      </c>
    </row>
    <row r="8" spans="1:2">
      <c r="A8" s="9">
        <v>507</v>
      </c>
      <c r="B8">
        <v>4</v>
      </c>
    </row>
    <row r="9" spans="1:2">
      <c r="A9" s="9">
        <v>324</v>
      </c>
      <c r="B9">
        <v>4</v>
      </c>
    </row>
    <row r="10" spans="1:2">
      <c r="A10" s="9">
        <v>594</v>
      </c>
      <c r="B10">
        <v>4</v>
      </c>
    </row>
    <row r="11" spans="1:2">
      <c r="A11" s="9">
        <v>327</v>
      </c>
      <c r="B11">
        <v>4</v>
      </c>
    </row>
    <row r="12" spans="1:2">
      <c r="A12" s="9">
        <v>455</v>
      </c>
      <c r="B12">
        <v>4</v>
      </c>
    </row>
    <row r="13" spans="1:2">
      <c r="A13" s="9">
        <v>336</v>
      </c>
      <c r="B13">
        <v>4</v>
      </c>
    </row>
    <row r="14" spans="1:2">
      <c r="A14" s="9">
        <v>488</v>
      </c>
      <c r="B14">
        <v>4</v>
      </c>
    </row>
    <row r="15" spans="1:2">
      <c r="A15" s="9">
        <v>337</v>
      </c>
      <c r="B15">
        <v>4</v>
      </c>
    </row>
    <row r="16" spans="1:2">
      <c r="A16" s="9">
        <v>521</v>
      </c>
      <c r="B16">
        <v>4</v>
      </c>
    </row>
    <row r="17" spans="1:2">
      <c r="A17" s="9">
        <v>338</v>
      </c>
      <c r="B17">
        <v>4</v>
      </c>
    </row>
    <row r="18" spans="1:2">
      <c r="A18" s="9">
        <v>573</v>
      </c>
      <c r="B18">
        <v>4</v>
      </c>
    </row>
    <row r="19" spans="1:2">
      <c r="A19" s="9">
        <v>340</v>
      </c>
      <c r="B19">
        <v>4</v>
      </c>
    </row>
    <row r="20" spans="1:2">
      <c r="A20" s="9">
        <v>607</v>
      </c>
      <c r="B20">
        <v>4</v>
      </c>
    </row>
    <row r="21" spans="1:2">
      <c r="A21" s="9">
        <v>343</v>
      </c>
      <c r="B21">
        <v>4</v>
      </c>
    </row>
    <row r="22" spans="1:2">
      <c r="A22" s="9">
        <v>446</v>
      </c>
      <c r="B22">
        <v>4</v>
      </c>
    </row>
    <row r="23" spans="1:2">
      <c r="A23" s="9">
        <v>344</v>
      </c>
      <c r="B23">
        <v>4</v>
      </c>
    </row>
    <row r="24" spans="1:2">
      <c r="A24" s="9">
        <v>459</v>
      </c>
      <c r="B24">
        <v>4</v>
      </c>
    </row>
    <row r="25" spans="1:2">
      <c r="A25" s="9">
        <v>345</v>
      </c>
      <c r="B25">
        <v>4</v>
      </c>
    </row>
    <row r="26" spans="1:2">
      <c r="A26" s="9">
        <v>473</v>
      </c>
      <c r="B26">
        <v>4</v>
      </c>
    </row>
    <row r="27" spans="1:2">
      <c r="A27" s="9">
        <v>347</v>
      </c>
      <c r="B27">
        <v>4</v>
      </c>
    </row>
    <row r="28" spans="1:2">
      <c r="A28" s="9">
        <v>500</v>
      </c>
      <c r="B28">
        <v>4</v>
      </c>
    </row>
    <row r="29" spans="1:2">
      <c r="A29" s="9">
        <v>354</v>
      </c>
      <c r="B29">
        <v>4</v>
      </c>
    </row>
    <row r="30" spans="1:2">
      <c r="A30" s="9">
        <v>513</v>
      </c>
      <c r="B30">
        <v>4</v>
      </c>
    </row>
    <row r="31" spans="1:2">
      <c r="A31" s="9">
        <v>355</v>
      </c>
      <c r="B31">
        <v>4</v>
      </c>
    </row>
    <row r="32" spans="1:2">
      <c r="A32" s="9">
        <v>524</v>
      </c>
      <c r="B32">
        <v>4</v>
      </c>
    </row>
    <row r="33" spans="1:2">
      <c r="A33" s="9">
        <v>361</v>
      </c>
      <c r="B33">
        <v>4</v>
      </c>
    </row>
    <row r="34" spans="1:2">
      <c r="A34" s="9">
        <v>551</v>
      </c>
      <c r="B34">
        <v>4</v>
      </c>
    </row>
    <row r="35" spans="1:2">
      <c r="A35" s="9">
        <v>365</v>
      </c>
      <c r="B35">
        <v>4</v>
      </c>
    </row>
    <row r="36" spans="1:2">
      <c r="A36" s="9">
        <v>582</v>
      </c>
      <c r="B36">
        <v>4</v>
      </c>
    </row>
    <row r="37" spans="1:2">
      <c r="A37" s="9">
        <v>372</v>
      </c>
      <c r="B37">
        <v>4</v>
      </c>
    </row>
    <row r="38" spans="1:2">
      <c r="A38" s="9">
        <v>599</v>
      </c>
      <c r="B38">
        <v>4</v>
      </c>
    </row>
    <row r="39" spans="1:2">
      <c r="A39" s="9">
        <v>376</v>
      </c>
      <c r="B39">
        <v>4</v>
      </c>
    </row>
    <row r="40" spans="1:2">
      <c r="A40" s="9">
        <v>612</v>
      </c>
      <c r="B40">
        <v>4</v>
      </c>
    </row>
    <row r="41" spans="1:2">
      <c r="A41" s="9">
        <v>378</v>
      </c>
      <c r="B41">
        <v>4</v>
      </c>
    </row>
    <row r="42" spans="1:2">
      <c r="A42" s="9">
        <v>444</v>
      </c>
      <c r="B42">
        <v>4</v>
      </c>
    </row>
    <row r="43" spans="1:2">
      <c r="A43" s="9">
        <v>379</v>
      </c>
      <c r="B43">
        <v>4</v>
      </c>
    </row>
    <row r="44" spans="1:2">
      <c r="A44" s="9">
        <v>448</v>
      </c>
      <c r="B44">
        <v>4</v>
      </c>
    </row>
    <row r="45" spans="1:2">
      <c r="A45" s="9">
        <v>390</v>
      </c>
      <c r="B45">
        <v>4</v>
      </c>
    </row>
    <row r="46" spans="1:2">
      <c r="A46" s="9">
        <v>457</v>
      </c>
      <c r="B46">
        <v>4</v>
      </c>
    </row>
    <row r="47" spans="1:2">
      <c r="A47" s="9">
        <v>391</v>
      </c>
      <c r="B47">
        <v>4</v>
      </c>
    </row>
    <row r="48" spans="1:2">
      <c r="A48" s="9">
        <v>461</v>
      </c>
      <c r="B48">
        <v>4</v>
      </c>
    </row>
    <row r="49" spans="1:2">
      <c r="A49" s="9">
        <v>394</v>
      </c>
      <c r="B49">
        <v>4</v>
      </c>
    </row>
    <row r="50" spans="1:2">
      <c r="A50" s="9">
        <v>469</v>
      </c>
      <c r="B50">
        <v>4</v>
      </c>
    </row>
    <row r="51" spans="1:2">
      <c r="A51" s="9">
        <v>396</v>
      </c>
      <c r="B51">
        <v>4</v>
      </c>
    </row>
    <row r="52" spans="1:2">
      <c r="A52" s="9">
        <v>487</v>
      </c>
      <c r="B52">
        <v>4</v>
      </c>
    </row>
    <row r="53" spans="1:2">
      <c r="A53" s="9">
        <v>397</v>
      </c>
      <c r="B53">
        <v>4</v>
      </c>
    </row>
    <row r="54" spans="1:2">
      <c r="A54" s="9">
        <v>492</v>
      </c>
      <c r="B54">
        <v>4</v>
      </c>
    </row>
    <row r="55" spans="1:2">
      <c r="A55" s="9">
        <v>400</v>
      </c>
      <c r="B55">
        <v>4</v>
      </c>
    </row>
    <row r="56" spans="1:2">
      <c r="A56" s="9">
        <v>506</v>
      </c>
      <c r="B56">
        <v>4</v>
      </c>
    </row>
    <row r="57" spans="1:2">
      <c r="A57" s="9">
        <v>405</v>
      </c>
      <c r="B57">
        <v>4</v>
      </c>
    </row>
    <row r="58" spans="1:2">
      <c r="A58" s="9">
        <v>511</v>
      </c>
      <c r="B58">
        <v>4</v>
      </c>
    </row>
    <row r="59" spans="1:2">
      <c r="A59" s="9">
        <v>406</v>
      </c>
      <c r="B59">
        <v>4</v>
      </c>
    </row>
    <row r="60" spans="1:2">
      <c r="A60" s="9">
        <v>520</v>
      </c>
      <c r="B60">
        <v>4</v>
      </c>
    </row>
    <row r="61" spans="1:2">
      <c r="A61" s="9">
        <v>408</v>
      </c>
      <c r="B61">
        <v>4</v>
      </c>
    </row>
    <row r="62" spans="1:2">
      <c r="A62" s="9">
        <v>522</v>
      </c>
      <c r="B62">
        <v>4</v>
      </c>
    </row>
    <row r="63" spans="1:2">
      <c r="A63" s="9">
        <v>409</v>
      </c>
      <c r="B63">
        <v>4</v>
      </c>
    </row>
    <row r="64" spans="1:2">
      <c r="A64" s="9">
        <v>530</v>
      </c>
      <c r="B64">
        <v>4</v>
      </c>
    </row>
    <row r="65" spans="1:2">
      <c r="A65" s="9">
        <v>427</v>
      </c>
      <c r="B65">
        <v>4</v>
      </c>
    </row>
    <row r="66" spans="1:2">
      <c r="A66" s="9">
        <v>548</v>
      </c>
      <c r="B66">
        <v>4</v>
      </c>
    </row>
    <row r="67" spans="1:2">
      <c r="A67" s="9">
        <v>428</v>
      </c>
      <c r="B67">
        <v>4</v>
      </c>
    </row>
    <row r="68" spans="1:2">
      <c r="A68" s="9">
        <v>563</v>
      </c>
      <c r="B68">
        <v>4</v>
      </c>
    </row>
    <row r="69" spans="1:2">
      <c r="A69" s="9">
        <v>432</v>
      </c>
      <c r="B69">
        <v>4</v>
      </c>
    </row>
    <row r="70" spans="1:2">
      <c r="A70" s="9">
        <v>574</v>
      </c>
      <c r="B70">
        <v>4</v>
      </c>
    </row>
    <row r="71" spans="1:2">
      <c r="A71" s="9">
        <v>433</v>
      </c>
      <c r="B71">
        <v>4</v>
      </c>
    </row>
    <row r="72" spans="1:2">
      <c r="A72" s="9">
        <v>591</v>
      </c>
      <c r="B72">
        <v>4</v>
      </c>
    </row>
    <row r="73" spans="1:2">
      <c r="A73" s="9">
        <v>434</v>
      </c>
      <c r="B73">
        <v>4</v>
      </c>
    </row>
    <row r="74" spans="1:2">
      <c r="A74" s="9">
        <v>598</v>
      </c>
      <c r="B74">
        <v>4</v>
      </c>
    </row>
    <row r="75" spans="1:2">
      <c r="A75" s="9">
        <v>435</v>
      </c>
      <c r="B75">
        <v>4</v>
      </c>
    </row>
    <row r="76" spans="1:2">
      <c r="A76" s="9">
        <v>605</v>
      </c>
      <c r="B76">
        <v>4</v>
      </c>
    </row>
    <row r="77" spans="1:2">
      <c r="A77" s="9">
        <v>436</v>
      </c>
      <c r="B77">
        <v>4</v>
      </c>
    </row>
    <row r="78" spans="1:2">
      <c r="A78" s="9">
        <v>610</v>
      </c>
      <c r="B78">
        <v>4</v>
      </c>
    </row>
    <row r="79" spans="1:2">
      <c r="A79" s="9">
        <v>439</v>
      </c>
      <c r="B79">
        <v>4</v>
      </c>
    </row>
    <row r="80" spans="1:2">
      <c r="A80" s="9">
        <v>620</v>
      </c>
      <c r="B80">
        <v>4</v>
      </c>
    </row>
    <row r="81" spans="1:2">
      <c r="A81" s="9">
        <v>440</v>
      </c>
      <c r="B81">
        <v>4</v>
      </c>
    </row>
    <row r="82" spans="1:2">
      <c r="A82" s="9">
        <v>624</v>
      </c>
      <c r="B82">
        <v>4</v>
      </c>
    </row>
    <row r="83" spans="1:2">
      <c r="A83" s="9">
        <v>441</v>
      </c>
      <c r="B83">
        <v>4</v>
      </c>
    </row>
    <row r="84" spans="1:2">
      <c r="A84" s="9">
        <v>480</v>
      </c>
      <c r="B84">
        <v>4</v>
      </c>
    </row>
    <row r="85" spans="1:2">
      <c r="A85" s="9">
        <v>260</v>
      </c>
      <c r="B85">
        <v>4</v>
      </c>
    </row>
    <row r="86" spans="1:2">
      <c r="A86" s="9">
        <v>200</v>
      </c>
      <c r="B86">
        <v>4</v>
      </c>
    </row>
    <row r="87" spans="1:2">
      <c r="A87" s="9">
        <v>319</v>
      </c>
      <c r="B87">
        <v>4</v>
      </c>
    </row>
    <row r="88" spans="1:2">
      <c r="A88" s="9">
        <v>8</v>
      </c>
      <c r="B88">
        <v>4</v>
      </c>
    </row>
    <row r="89" spans="1:2">
      <c r="A89" s="9">
        <v>237</v>
      </c>
      <c r="B89">
        <v>4</v>
      </c>
    </row>
    <row r="90" spans="1:2">
      <c r="A90" s="9">
        <v>16</v>
      </c>
      <c r="B90">
        <v>4</v>
      </c>
    </row>
    <row r="91" spans="1:2">
      <c r="A91" s="9">
        <v>289</v>
      </c>
      <c r="B91">
        <v>4</v>
      </c>
    </row>
    <row r="92" spans="1:2">
      <c r="A92" s="9">
        <v>23</v>
      </c>
      <c r="B92">
        <v>4</v>
      </c>
    </row>
    <row r="93" spans="1:2">
      <c r="A93" s="9">
        <v>189</v>
      </c>
      <c r="B93">
        <v>4</v>
      </c>
    </row>
    <row r="94" spans="1:2">
      <c r="A94" s="9">
        <v>30</v>
      </c>
      <c r="B94">
        <v>4</v>
      </c>
    </row>
    <row r="95" spans="1:2">
      <c r="A95" s="9">
        <v>228</v>
      </c>
      <c r="B95">
        <v>4</v>
      </c>
    </row>
    <row r="96" spans="1:2">
      <c r="A96" s="9">
        <v>36</v>
      </c>
      <c r="B96">
        <v>4</v>
      </c>
    </row>
    <row r="97" spans="1:2">
      <c r="A97" s="9">
        <v>248</v>
      </c>
      <c r="B97">
        <v>4</v>
      </c>
    </row>
    <row r="98" spans="1:2">
      <c r="A98" s="9">
        <v>50</v>
      </c>
      <c r="B98">
        <v>4</v>
      </c>
    </row>
    <row r="99" spans="1:2">
      <c r="A99" s="9">
        <v>274</v>
      </c>
      <c r="B99">
        <v>4</v>
      </c>
    </row>
    <row r="100" spans="1:2">
      <c r="A100" s="9">
        <v>57</v>
      </c>
      <c r="B100">
        <v>4</v>
      </c>
    </row>
    <row r="101" spans="1:2">
      <c r="A101" s="9">
        <v>309</v>
      </c>
      <c r="B101">
        <v>4</v>
      </c>
    </row>
    <row r="102" spans="1:2">
      <c r="A102" s="9">
        <v>61</v>
      </c>
      <c r="B102">
        <v>4</v>
      </c>
    </row>
    <row r="103" spans="1:2">
      <c r="A103" s="9">
        <v>179</v>
      </c>
      <c r="B103">
        <v>4</v>
      </c>
    </row>
    <row r="104" spans="1:2">
      <c r="A104" s="9">
        <v>62</v>
      </c>
      <c r="B104">
        <v>4</v>
      </c>
    </row>
    <row r="105" spans="1:2">
      <c r="A105" s="9">
        <v>196</v>
      </c>
      <c r="B105">
        <v>4</v>
      </c>
    </row>
    <row r="106" spans="1:2">
      <c r="A106" s="9">
        <v>63</v>
      </c>
      <c r="B106">
        <v>4</v>
      </c>
    </row>
    <row r="107" spans="1:2">
      <c r="A107" s="9">
        <v>214</v>
      </c>
      <c r="B107">
        <v>4</v>
      </c>
    </row>
    <row r="108" spans="1:2">
      <c r="A108" s="9">
        <v>64</v>
      </c>
      <c r="B108">
        <v>4</v>
      </c>
    </row>
    <row r="109" spans="1:2">
      <c r="A109" s="9">
        <v>230</v>
      </c>
      <c r="B109">
        <v>4</v>
      </c>
    </row>
    <row r="110" spans="1:2">
      <c r="A110" s="9">
        <v>65</v>
      </c>
      <c r="B110">
        <v>4</v>
      </c>
    </row>
    <row r="111" spans="1:2">
      <c r="A111" s="9">
        <v>243</v>
      </c>
      <c r="B111">
        <v>4</v>
      </c>
    </row>
    <row r="112" spans="1:2">
      <c r="A112" s="9">
        <v>71</v>
      </c>
      <c r="B112">
        <v>4</v>
      </c>
    </row>
    <row r="113" spans="1:2">
      <c r="A113" s="9">
        <v>253</v>
      </c>
      <c r="B113">
        <v>4</v>
      </c>
    </row>
    <row r="114" spans="1:2">
      <c r="A114" s="9">
        <v>79</v>
      </c>
      <c r="B114">
        <v>4</v>
      </c>
    </row>
    <row r="115" spans="1:2">
      <c r="A115" s="9">
        <v>265</v>
      </c>
      <c r="B115">
        <v>4</v>
      </c>
    </row>
    <row r="116" spans="1:2">
      <c r="A116" s="9">
        <v>81</v>
      </c>
      <c r="B116">
        <v>4</v>
      </c>
    </row>
    <row r="117" spans="1:2">
      <c r="A117" s="9">
        <v>277</v>
      </c>
      <c r="B117">
        <v>4</v>
      </c>
    </row>
    <row r="118" spans="1:2">
      <c r="A118" s="9">
        <v>83</v>
      </c>
      <c r="B118">
        <v>4</v>
      </c>
    </row>
    <row r="119" spans="1:2">
      <c r="A119" s="9">
        <v>296</v>
      </c>
      <c r="B119">
        <v>4</v>
      </c>
    </row>
    <row r="120" spans="1:2">
      <c r="A120" s="9">
        <v>87</v>
      </c>
      <c r="B120">
        <v>4</v>
      </c>
    </row>
    <row r="121" spans="1:2">
      <c r="A121" s="9">
        <v>314</v>
      </c>
      <c r="B121">
        <v>4</v>
      </c>
    </row>
    <row r="122" spans="1:2">
      <c r="A122" s="9">
        <v>88</v>
      </c>
      <c r="B122">
        <v>4</v>
      </c>
    </row>
    <row r="123" spans="1:2">
      <c r="A123" s="9">
        <v>175</v>
      </c>
      <c r="B123">
        <v>4</v>
      </c>
    </row>
    <row r="124" spans="1:2">
      <c r="A124" s="9">
        <v>90</v>
      </c>
      <c r="B124">
        <v>4</v>
      </c>
    </row>
    <row r="125" spans="1:2">
      <c r="A125" s="9">
        <v>186</v>
      </c>
      <c r="B125">
        <v>4</v>
      </c>
    </row>
    <row r="126" spans="1:2">
      <c r="A126" s="9">
        <v>94</v>
      </c>
      <c r="B126">
        <v>4</v>
      </c>
    </row>
    <row r="127" spans="1:2">
      <c r="A127" s="9">
        <v>195</v>
      </c>
      <c r="B127">
        <v>4</v>
      </c>
    </row>
    <row r="128" spans="1:2">
      <c r="A128" s="9">
        <v>99</v>
      </c>
      <c r="B128">
        <v>4</v>
      </c>
    </row>
    <row r="129" spans="1:2">
      <c r="A129" s="9">
        <v>198</v>
      </c>
      <c r="B129">
        <v>4</v>
      </c>
    </row>
    <row r="130" spans="1:2">
      <c r="A130" s="9">
        <v>112</v>
      </c>
      <c r="B130">
        <v>4</v>
      </c>
    </row>
    <row r="131" spans="1:2">
      <c r="A131" s="9">
        <v>210</v>
      </c>
      <c r="B131">
        <v>4</v>
      </c>
    </row>
    <row r="132" spans="1:2">
      <c r="A132" s="9">
        <v>114</v>
      </c>
      <c r="B132">
        <v>4</v>
      </c>
    </row>
    <row r="133" spans="1:2">
      <c r="A133" s="9">
        <v>223</v>
      </c>
      <c r="B133">
        <v>4</v>
      </c>
    </row>
    <row r="134" spans="1:2">
      <c r="A134" s="9">
        <v>118</v>
      </c>
      <c r="B134">
        <v>4</v>
      </c>
    </row>
    <row r="135" spans="1:2">
      <c r="A135" s="9">
        <v>229</v>
      </c>
      <c r="B135">
        <v>4</v>
      </c>
    </row>
    <row r="136" spans="1:2">
      <c r="A136" s="9">
        <v>123</v>
      </c>
      <c r="B136">
        <v>4</v>
      </c>
    </row>
    <row r="137" spans="1:2">
      <c r="A137" s="9">
        <v>236</v>
      </c>
      <c r="B137">
        <v>4</v>
      </c>
    </row>
    <row r="138" spans="1:2">
      <c r="A138" s="9">
        <v>124</v>
      </c>
      <c r="B138">
        <v>4</v>
      </c>
    </row>
    <row r="139" spans="1:2">
      <c r="A139" s="9">
        <v>241</v>
      </c>
      <c r="B139">
        <v>4</v>
      </c>
    </row>
    <row r="140" spans="1:2">
      <c r="A140" s="9">
        <v>132</v>
      </c>
      <c r="B140">
        <v>4</v>
      </c>
    </row>
    <row r="141" spans="1:2">
      <c r="A141" s="9">
        <v>244</v>
      </c>
      <c r="B141">
        <v>4</v>
      </c>
    </row>
    <row r="142" spans="1:2">
      <c r="A142" s="9">
        <v>137</v>
      </c>
      <c r="B142">
        <v>4</v>
      </c>
    </row>
    <row r="143" spans="1:2">
      <c r="A143" s="9">
        <v>250</v>
      </c>
      <c r="B143">
        <v>4</v>
      </c>
    </row>
    <row r="144" spans="1:2">
      <c r="A144" s="9">
        <v>138</v>
      </c>
      <c r="B144">
        <v>4</v>
      </c>
    </row>
    <row r="145" spans="1:2">
      <c r="A145" s="9">
        <v>257</v>
      </c>
      <c r="B145">
        <v>4</v>
      </c>
    </row>
    <row r="146" spans="1:2">
      <c r="A146" s="9">
        <v>139</v>
      </c>
      <c r="B146">
        <v>4</v>
      </c>
    </row>
    <row r="147" spans="1:2">
      <c r="A147" s="9">
        <v>261</v>
      </c>
      <c r="B147">
        <v>4</v>
      </c>
    </row>
    <row r="148" spans="1:2">
      <c r="A148" s="9">
        <v>143</v>
      </c>
      <c r="B148">
        <v>4</v>
      </c>
    </row>
    <row r="149" spans="1:2">
      <c r="A149" s="9">
        <v>267</v>
      </c>
      <c r="B149">
        <v>4</v>
      </c>
    </row>
    <row r="150" spans="1:2">
      <c r="A150" s="9">
        <v>149</v>
      </c>
      <c r="B150">
        <v>4</v>
      </c>
    </row>
    <row r="151" spans="1:2">
      <c r="A151" s="9">
        <v>275</v>
      </c>
      <c r="B151">
        <v>4</v>
      </c>
    </row>
    <row r="152" spans="1:2">
      <c r="A152" s="9">
        <v>150</v>
      </c>
      <c r="B152">
        <v>4</v>
      </c>
    </row>
    <row r="153" spans="1:2">
      <c r="A153" s="9">
        <v>282</v>
      </c>
      <c r="B153">
        <v>4</v>
      </c>
    </row>
    <row r="154" spans="1:2">
      <c r="A154" s="9">
        <v>153</v>
      </c>
      <c r="B154">
        <v>4</v>
      </c>
    </row>
    <row r="155" spans="1:2">
      <c r="A155" s="9">
        <v>295</v>
      </c>
      <c r="B155">
        <v>4</v>
      </c>
    </row>
    <row r="156" spans="1:2">
      <c r="A156" s="9">
        <v>155</v>
      </c>
      <c r="B156">
        <v>4</v>
      </c>
    </row>
    <row r="157" spans="1:2">
      <c r="A157" s="9">
        <v>297</v>
      </c>
      <c r="B157">
        <v>4</v>
      </c>
    </row>
    <row r="158" spans="1:2">
      <c r="A158" s="9">
        <v>157</v>
      </c>
      <c r="B158">
        <v>4</v>
      </c>
    </row>
    <row r="159" spans="1:2">
      <c r="A159" s="9">
        <v>310</v>
      </c>
      <c r="B159">
        <v>4</v>
      </c>
    </row>
    <row r="160" spans="1:2">
      <c r="A160" s="9">
        <v>1</v>
      </c>
      <c r="B160">
        <v>4</v>
      </c>
    </row>
    <row r="161" spans="1:2">
      <c r="A161" s="9">
        <v>318</v>
      </c>
      <c r="B161">
        <v>4</v>
      </c>
    </row>
    <row r="162" spans="1:2">
      <c r="A162" s="9">
        <v>169</v>
      </c>
      <c r="B162">
        <v>4</v>
      </c>
    </row>
    <row r="163" spans="1:2">
      <c r="A163" s="9">
        <v>170</v>
      </c>
      <c r="B163">
        <v>4</v>
      </c>
    </row>
    <row r="164" spans="1:2">
      <c r="A164" s="9">
        <v>162</v>
      </c>
      <c r="B164">
        <v>4</v>
      </c>
    </row>
    <row r="165" spans="1:2">
      <c r="A165" s="9">
        <v>603</v>
      </c>
      <c r="B165">
        <v>3</v>
      </c>
    </row>
    <row r="166" spans="1:2">
      <c r="A166" s="9">
        <v>554</v>
      </c>
      <c r="B166">
        <v>3</v>
      </c>
    </row>
    <row r="167" spans="1:2">
      <c r="A167" s="9">
        <v>525</v>
      </c>
      <c r="B167">
        <v>3</v>
      </c>
    </row>
    <row r="168" spans="1:2">
      <c r="A168" s="9">
        <v>403</v>
      </c>
      <c r="B168">
        <v>3</v>
      </c>
    </row>
    <row r="169" spans="1:2">
      <c r="A169" s="9">
        <v>571</v>
      </c>
      <c r="B169">
        <v>3</v>
      </c>
    </row>
    <row r="170" spans="1:2">
      <c r="A170" s="9">
        <v>407</v>
      </c>
      <c r="B170">
        <v>3</v>
      </c>
    </row>
    <row r="171" spans="1:2">
      <c r="A171" s="9">
        <v>626</v>
      </c>
      <c r="B171">
        <v>3</v>
      </c>
    </row>
    <row r="172" spans="1:2">
      <c r="A172" s="9">
        <v>410</v>
      </c>
      <c r="B172">
        <v>3</v>
      </c>
    </row>
    <row r="173" spans="1:2">
      <c r="A173" s="9">
        <v>384</v>
      </c>
      <c r="B173">
        <v>3</v>
      </c>
    </row>
    <row r="174" spans="1:2">
      <c r="A174" s="9">
        <v>415</v>
      </c>
      <c r="B174">
        <v>3</v>
      </c>
    </row>
    <row r="175" spans="1:2">
      <c r="A175" s="9">
        <v>562</v>
      </c>
      <c r="B175">
        <v>3</v>
      </c>
    </row>
    <row r="176" spans="1:2">
      <c r="A176" s="9">
        <v>417</v>
      </c>
      <c r="B176">
        <v>3</v>
      </c>
    </row>
    <row r="177" spans="1:2">
      <c r="A177" s="9">
        <v>586</v>
      </c>
      <c r="B177">
        <v>3</v>
      </c>
    </row>
    <row r="178" spans="1:2">
      <c r="A178" s="9">
        <v>418</v>
      </c>
      <c r="B178">
        <v>3</v>
      </c>
    </row>
    <row r="179" spans="1:2">
      <c r="A179" s="9">
        <v>616</v>
      </c>
      <c r="B179">
        <v>3</v>
      </c>
    </row>
    <row r="180" spans="1:2">
      <c r="A180" s="9">
        <v>420</v>
      </c>
      <c r="B180">
        <v>3</v>
      </c>
    </row>
    <row r="181" spans="1:2">
      <c r="A181" s="9">
        <v>515</v>
      </c>
      <c r="B181">
        <v>3</v>
      </c>
    </row>
    <row r="182" spans="1:2">
      <c r="A182" s="9">
        <v>426</v>
      </c>
      <c r="B182">
        <v>3</v>
      </c>
    </row>
    <row r="183" spans="1:2">
      <c r="A183" s="9">
        <v>537</v>
      </c>
      <c r="B183">
        <v>3</v>
      </c>
    </row>
    <row r="184" spans="1:2">
      <c r="A184" s="9">
        <v>429</v>
      </c>
      <c r="B184">
        <v>3</v>
      </c>
    </row>
    <row r="185" spans="1:2">
      <c r="A185" s="9">
        <v>544</v>
      </c>
      <c r="B185">
        <v>3</v>
      </c>
    </row>
    <row r="186" spans="1:2">
      <c r="A186" s="9">
        <v>333</v>
      </c>
      <c r="B186">
        <v>3</v>
      </c>
    </row>
    <row r="187" spans="1:2">
      <c r="A187" s="9">
        <v>560</v>
      </c>
      <c r="B187">
        <v>3</v>
      </c>
    </row>
    <row r="188" spans="1:2">
      <c r="A188" s="9">
        <v>357</v>
      </c>
      <c r="B188">
        <v>3</v>
      </c>
    </row>
    <row r="189" spans="1:2">
      <c r="A189" s="9">
        <v>566</v>
      </c>
      <c r="B189">
        <v>3</v>
      </c>
    </row>
    <row r="190" spans="1:2">
      <c r="A190" s="9">
        <v>358</v>
      </c>
      <c r="B190">
        <v>3</v>
      </c>
    </row>
    <row r="191" spans="1:2">
      <c r="A191" s="9">
        <v>583</v>
      </c>
      <c r="B191">
        <v>3</v>
      </c>
    </row>
    <row r="192" spans="1:2">
      <c r="A192" s="9">
        <v>359</v>
      </c>
      <c r="B192">
        <v>3</v>
      </c>
    </row>
    <row r="193" spans="1:2">
      <c r="A193" s="9">
        <v>593</v>
      </c>
      <c r="B193">
        <v>3</v>
      </c>
    </row>
    <row r="194" spans="1:2">
      <c r="A194" s="9">
        <v>442</v>
      </c>
      <c r="B194">
        <v>3</v>
      </c>
    </row>
    <row r="195" spans="1:2">
      <c r="A195" s="9">
        <v>331</v>
      </c>
      <c r="B195">
        <v>3</v>
      </c>
    </row>
    <row r="196" spans="1:2">
      <c r="A196" s="9">
        <v>445</v>
      </c>
      <c r="B196">
        <v>3</v>
      </c>
    </row>
    <row r="197" spans="1:2">
      <c r="A197" s="9">
        <v>619</v>
      </c>
      <c r="B197">
        <v>3</v>
      </c>
    </row>
    <row r="198" spans="1:2">
      <c r="A198" s="9">
        <v>362</v>
      </c>
      <c r="B198">
        <v>3</v>
      </c>
    </row>
    <row r="199" spans="1:2">
      <c r="A199" s="9">
        <v>636</v>
      </c>
      <c r="B199">
        <v>3</v>
      </c>
    </row>
    <row r="200" spans="1:2">
      <c r="A200" s="9">
        <v>451</v>
      </c>
      <c r="B200">
        <v>3</v>
      </c>
    </row>
    <row r="201" spans="1:2">
      <c r="A201" s="9">
        <v>517</v>
      </c>
      <c r="B201">
        <v>3</v>
      </c>
    </row>
    <row r="202" spans="1:2">
      <c r="A202" s="9">
        <v>364</v>
      </c>
      <c r="B202">
        <v>3</v>
      </c>
    </row>
    <row r="203" spans="1:2">
      <c r="A203" s="9">
        <v>526</v>
      </c>
      <c r="B203">
        <v>3</v>
      </c>
    </row>
    <row r="204" spans="1:2">
      <c r="A204" s="9">
        <v>456</v>
      </c>
      <c r="B204">
        <v>3</v>
      </c>
    </row>
    <row r="205" spans="1:2">
      <c r="A205" s="9">
        <v>539</v>
      </c>
      <c r="B205">
        <v>3</v>
      </c>
    </row>
    <row r="206" spans="1:2">
      <c r="A206" s="9">
        <v>462</v>
      </c>
      <c r="B206">
        <v>3</v>
      </c>
    </row>
    <row r="207" spans="1:2">
      <c r="A207" s="9">
        <v>543</v>
      </c>
      <c r="B207">
        <v>3</v>
      </c>
    </row>
    <row r="208" spans="1:2">
      <c r="A208" s="9">
        <v>470</v>
      </c>
      <c r="B208">
        <v>3</v>
      </c>
    </row>
    <row r="209" spans="1:2">
      <c r="A209" s="9">
        <v>386</v>
      </c>
      <c r="B209">
        <v>3</v>
      </c>
    </row>
    <row r="210" spans="1:2">
      <c r="A210" s="9">
        <v>472</v>
      </c>
      <c r="B210">
        <v>3</v>
      </c>
    </row>
    <row r="211" spans="1:2">
      <c r="A211" s="9">
        <v>555</v>
      </c>
      <c r="B211">
        <v>3</v>
      </c>
    </row>
    <row r="212" spans="1:2">
      <c r="A212" s="9">
        <v>474</v>
      </c>
      <c r="B212">
        <v>3</v>
      </c>
    </row>
    <row r="213" spans="1:2">
      <c r="A213" s="9">
        <v>561</v>
      </c>
      <c r="B213">
        <v>3</v>
      </c>
    </row>
    <row r="214" spans="1:2">
      <c r="A214" s="9">
        <v>476</v>
      </c>
      <c r="B214">
        <v>3</v>
      </c>
    </row>
    <row r="215" spans="1:2">
      <c r="A215" s="9">
        <v>387</v>
      </c>
      <c r="B215">
        <v>3</v>
      </c>
    </row>
    <row r="216" spans="1:2">
      <c r="A216" s="9">
        <v>477</v>
      </c>
      <c r="B216">
        <v>3</v>
      </c>
    </row>
    <row r="217" spans="1:2">
      <c r="A217" s="9">
        <v>569</v>
      </c>
      <c r="B217">
        <v>3</v>
      </c>
    </row>
    <row r="218" spans="1:2">
      <c r="A218" s="9">
        <v>479</v>
      </c>
      <c r="B218">
        <v>3</v>
      </c>
    </row>
    <row r="219" spans="1:2">
      <c r="A219" s="9">
        <v>579</v>
      </c>
      <c r="B219">
        <v>3</v>
      </c>
    </row>
    <row r="220" spans="1:2">
      <c r="A220" s="9">
        <v>326</v>
      </c>
      <c r="B220">
        <v>3</v>
      </c>
    </row>
    <row r="221" spans="1:2">
      <c r="A221" s="9">
        <v>584</v>
      </c>
      <c r="B221">
        <v>3</v>
      </c>
    </row>
    <row r="222" spans="1:2">
      <c r="A222" s="9">
        <v>489</v>
      </c>
      <c r="B222">
        <v>3</v>
      </c>
    </row>
    <row r="223" spans="1:2">
      <c r="A223" s="9">
        <v>589</v>
      </c>
      <c r="B223">
        <v>3</v>
      </c>
    </row>
    <row r="224" spans="1:2">
      <c r="A224" s="9">
        <v>373</v>
      </c>
      <c r="B224">
        <v>3</v>
      </c>
    </row>
    <row r="225" spans="1:2">
      <c r="A225" s="9">
        <v>601</v>
      </c>
      <c r="B225">
        <v>3</v>
      </c>
    </row>
    <row r="226" spans="1:2">
      <c r="A226" s="9">
        <v>496</v>
      </c>
      <c r="B226">
        <v>3</v>
      </c>
    </row>
    <row r="227" spans="1:2">
      <c r="A227" s="9">
        <v>604</v>
      </c>
      <c r="B227">
        <v>3</v>
      </c>
    </row>
    <row r="228" spans="1:2">
      <c r="A228" s="9">
        <v>498</v>
      </c>
      <c r="B228">
        <v>3</v>
      </c>
    </row>
    <row r="229" spans="1:2">
      <c r="A229" s="9">
        <v>398</v>
      </c>
      <c r="B229">
        <v>3</v>
      </c>
    </row>
    <row r="230" spans="1:2">
      <c r="A230" s="9">
        <v>499</v>
      </c>
      <c r="B230">
        <v>3</v>
      </c>
    </row>
    <row r="231" spans="1:2">
      <c r="A231" s="9">
        <v>617</v>
      </c>
      <c r="B231">
        <v>3</v>
      </c>
    </row>
    <row r="232" spans="1:2">
      <c r="A232" s="9">
        <v>374</v>
      </c>
      <c r="B232">
        <v>3</v>
      </c>
    </row>
    <row r="233" spans="1:2">
      <c r="A233" s="9">
        <v>399</v>
      </c>
      <c r="B233">
        <v>3</v>
      </c>
    </row>
    <row r="234" spans="1:2">
      <c r="A234" s="9">
        <v>510</v>
      </c>
      <c r="B234">
        <v>3</v>
      </c>
    </row>
    <row r="235" spans="1:2">
      <c r="A235" s="9">
        <v>632</v>
      </c>
      <c r="B235">
        <v>3</v>
      </c>
    </row>
    <row r="236" spans="1:2">
      <c r="A236" s="9">
        <v>633</v>
      </c>
      <c r="B236">
        <v>3</v>
      </c>
    </row>
    <row r="237" spans="1:2">
      <c r="A237" s="9">
        <v>634</v>
      </c>
      <c r="B237">
        <v>3</v>
      </c>
    </row>
    <row r="238" spans="1:2">
      <c r="A238" s="9">
        <v>288</v>
      </c>
      <c r="B238">
        <v>3</v>
      </c>
    </row>
    <row r="239" spans="1:2">
      <c r="A239" s="9">
        <v>249</v>
      </c>
      <c r="B239">
        <v>3</v>
      </c>
    </row>
    <row r="240" spans="1:2">
      <c r="A240" s="9">
        <v>221</v>
      </c>
      <c r="B240">
        <v>3</v>
      </c>
    </row>
    <row r="241" spans="1:2">
      <c r="A241" s="9">
        <v>121</v>
      </c>
      <c r="B241">
        <v>3</v>
      </c>
    </row>
    <row r="242" spans="1:2">
      <c r="A242" s="9">
        <v>100</v>
      </c>
      <c r="B242">
        <v>3</v>
      </c>
    </row>
    <row r="243" spans="1:2">
      <c r="A243" s="9">
        <v>41</v>
      </c>
      <c r="B243">
        <v>3</v>
      </c>
    </row>
    <row r="244" spans="1:2">
      <c r="A244" s="9">
        <v>308</v>
      </c>
      <c r="B244">
        <v>3</v>
      </c>
    </row>
    <row r="245" spans="1:2">
      <c r="A245" s="9">
        <v>125</v>
      </c>
      <c r="B245">
        <v>3</v>
      </c>
    </row>
    <row r="246" spans="1:2">
      <c r="A246" s="9">
        <v>235</v>
      </c>
      <c r="B246">
        <v>3</v>
      </c>
    </row>
    <row r="247" spans="1:2">
      <c r="A247" s="9">
        <v>130</v>
      </c>
      <c r="B247">
        <v>3</v>
      </c>
    </row>
    <row r="248" spans="1:2">
      <c r="A248" s="9">
        <v>264</v>
      </c>
      <c r="B248">
        <v>3</v>
      </c>
    </row>
    <row r="249" spans="1:2">
      <c r="A249" s="9">
        <v>131</v>
      </c>
      <c r="B249">
        <v>3</v>
      </c>
    </row>
    <row r="250" spans="1:2">
      <c r="A250" s="9">
        <v>283</v>
      </c>
      <c r="B250">
        <v>3</v>
      </c>
    </row>
    <row r="251" spans="1:2">
      <c r="A251" s="9">
        <v>133</v>
      </c>
      <c r="B251">
        <v>3</v>
      </c>
    </row>
    <row r="252" spans="1:2">
      <c r="A252" s="9">
        <v>7</v>
      </c>
      <c r="B252">
        <v>3</v>
      </c>
    </row>
    <row r="253" spans="1:2">
      <c r="A253" s="9">
        <v>136</v>
      </c>
      <c r="B253">
        <v>3</v>
      </c>
    </row>
    <row r="254" spans="1:2">
      <c r="A254" s="9">
        <v>38</v>
      </c>
      <c r="B254">
        <v>3</v>
      </c>
    </row>
    <row r="255" spans="1:2">
      <c r="A255" s="9">
        <v>2</v>
      </c>
      <c r="B255">
        <v>3</v>
      </c>
    </row>
    <row r="256" spans="1:2">
      <c r="A256" s="9">
        <v>225</v>
      </c>
      <c r="B256">
        <v>3</v>
      </c>
    </row>
    <row r="257" spans="1:2">
      <c r="A257" s="9">
        <v>141</v>
      </c>
      <c r="B257">
        <v>3</v>
      </c>
    </row>
    <row r="258" spans="1:2">
      <c r="A258" s="9">
        <v>239</v>
      </c>
      <c r="B258">
        <v>3</v>
      </c>
    </row>
    <row r="259" spans="1:2">
      <c r="A259" s="9">
        <v>51</v>
      </c>
      <c r="B259">
        <v>3</v>
      </c>
    </row>
    <row r="260" spans="1:2">
      <c r="A260" s="9">
        <v>96</v>
      </c>
      <c r="B260">
        <v>3</v>
      </c>
    </row>
    <row r="261" spans="1:2">
      <c r="A261" s="9">
        <v>144</v>
      </c>
      <c r="B261">
        <v>3</v>
      </c>
    </row>
    <row r="262" spans="1:2">
      <c r="A262" s="9">
        <v>268</v>
      </c>
      <c r="B262">
        <v>3</v>
      </c>
    </row>
    <row r="263" spans="1:2">
      <c r="A263" s="9">
        <v>54</v>
      </c>
      <c r="B263">
        <v>3</v>
      </c>
    </row>
    <row r="264" spans="1:2">
      <c r="A264" s="9">
        <v>278</v>
      </c>
      <c r="B264">
        <v>3</v>
      </c>
    </row>
    <row r="265" spans="1:2">
      <c r="A265" s="9">
        <v>152</v>
      </c>
      <c r="B265">
        <v>3</v>
      </c>
    </row>
    <row r="266" spans="1:2">
      <c r="A266" s="9">
        <v>285</v>
      </c>
      <c r="B266">
        <v>3</v>
      </c>
    </row>
    <row r="267" spans="1:2">
      <c r="A267" s="9">
        <v>154</v>
      </c>
      <c r="B267">
        <v>3</v>
      </c>
    </row>
    <row r="268" spans="1:2">
      <c r="A268" s="9">
        <v>291</v>
      </c>
      <c r="B268">
        <v>3</v>
      </c>
    </row>
    <row r="269" spans="1:2">
      <c r="A269" s="9">
        <v>11</v>
      </c>
      <c r="B269">
        <v>3</v>
      </c>
    </row>
    <row r="270" spans="1:2">
      <c r="A270" s="9">
        <v>305</v>
      </c>
      <c r="B270">
        <v>3</v>
      </c>
    </row>
    <row r="271" spans="1:2">
      <c r="A271" s="9">
        <v>58</v>
      </c>
      <c r="B271">
        <v>3</v>
      </c>
    </row>
    <row r="272" spans="1:2">
      <c r="A272" s="9">
        <v>216</v>
      </c>
      <c r="B272">
        <v>3</v>
      </c>
    </row>
    <row r="273" spans="1:2">
      <c r="A273" s="9">
        <v>320</v>
      </c>
      <c r="B273">
        <v>3</v>
      </c>
    </row>
    <row r="274" spans="1:2">
      <c r="A274" s="9">
        <v>220</v>
      </c>
      <c r="B274">
        <v>3</v>
      </c>
    </row>
    <row r="275" spans="1:2">
      <c r="A275" s="9">
        <v>167</v>
      </c>
      <c r="B275">
        <v>3</v>
      </c>
    </row>
    <row r="276" spans="1:2">
      <c r="A276" s="9">
        <v>224</v>
      </c>
      <c r="B276">
        <v>3</v>
      </c>
    </row>
    <row r="277" spans="1:2">
      <c r="A277" s="9">
        <v>182</v>
      </c>
      <c r="B277">
        <v>3</v>
      </c>
    </row>
    <row r="278" spans="1:2">
      <c r="A278" s="9">
        <v>231</v>
      </c>
      <c r="B278">
        <v>3</v>
      </c>
    </row>
    <row r="279" spans="1:2">
      <c r="A279" s="9">
        <v>183</v>
      </c>
      <c r="B279">
        <v>3</v>
      </c>
    </row>
    <row r="280" spans="1:2">
      <c r="A280" s="9">
        <v>85</v>
      </c>
      <c r="B280">
        <v>3</v>
      </c>
    </row>
    <row r="281" spans="1:2">
      <c r="A281" s="9">
        <v>185</v>
      </c>
      <c r="B281">
        <v>3</v>
      </c>
    </row>
    <row r="282" spans="1:2">
      <c r="A282" s="9">
        <v>29</v>
      </c>
      <c r="B282">
        <v>3</v>
      </c>
    </row>
    <row r="283" spans="1:2">
      <c r="A283" s="9">
        <v>17</v>
      </c>
      <c r="B283">
        <v>3</v>
      </c>
    </row>
    <row r="284" spans="1:2">
      <c r="A284" s="9">
        <v>251</v>
      </c>
      <c r="B284">
        <v>3</v>
      </c>
    </row>
    <row r="285" spans="1:2">
      <c r="A285" s="9">
        <v>67</v>
      </c>
      <c r="B285">
        <v>3</v>
      </c>
    </row>
    <row r="286" spans="1:2">
      <c r="A286" s="9">
        <v>97</v>
      </c>
      <c r="B286">
        <v>3</v>
      </c>
    </row>
    <row r="287" spans="1:2">
      <c r="A287" s="9">
        <v>194</v>
      </c>
      <c r="B287">
        <v>3</v>
      </c>
    </row>
    <row r="288" spans="1:2">
      <c r="A288" s="9">
        <v>98</v>
      </c>
      <c r="B288">
        <v>3</v>
      </c>
    </row>
    <row r="289" spans="1:2">
      <c r="A289" s="9">
        <v>70</v>
      </c>
      <c r="B289">
        <v>3</v>
      </c>
    </row>
    <row r="290" spans="1:2">
      <c r="A290" s="9">
        <v>272</v>
      </c>
      <c r="B290">
        <v>3</v>
      </c>
    </row>
    <row r="291" spans="1:2">
      <c r="A291" s="9">
        <v>18</v>
      </c>
      <c r="B291">
        <v>3</v>
      </c>
    </row>
    <row r="292" spans="1:2">
      <c r="A292" s="9">
        <v>105</v>
      </c>
      <c r="B292">
        <v>3</v>
      </c>
    </row>
    <row r="293" spans="1:2">
      <c r="A293" s="9">
        <v>197</v>
      </c>
      <c r="B293">
        <v>3</v>
      </c>
    </row>
    <row r="294" spans="1:2">
      <c r="A294" s="9">
        <v>107</v>
      </c>
      <c r="B294">
        <v>3</v>
      </c>
    </row>
    <row r="295" spans="1:2">
      <c r="A295" s="9">
        <v>74</v>
      </c>
      <c r="B295">
        <v>3</v>
      </c>
    </row>
    <row r="296" spans="1:2">
      <c r="A296" s="9">
        <v>284</v>
      </c>
      <c r="B296">
        <v>3</v>
      </c>
    </row>
    <row r="297" spans="1:2">
      <c r="A297" s="9">
        <v>201</v>
      </c>
      <c r="B297">
        <v>3</v>
      </c>
    </row>
    <row r="298" spans="1:2">
      <c r="A298" s="9">
        <v>287</v>
      </c>
      <c r="B298">
        <v>3</v>
      </c>
    </row>
    <row r="299" spans="1:2">
      <c r="A299" s="9">
        <v>203</v>
      </c>
      <c r="B299">
        <v>3</v>
      </c>
    </row>
    <row r="300" spans="1:2">
      <c r="A300" s="9">
        <v>108</v>
      </c>
      <c r="B300">
        <v>3</v>
      </c>
    </row>
    <row r="301" spans="1:2">
      <c r="A301" s="9">
        <v>206</v>
      </c>
      <c r="B301">
        <v>3</v>
      </c>
    </row>
    <row r="302" spans="1:2">
      <c r="A302" s="9">
        <v>110</v>
      </c>
      <c r="B302">
        <v>3</v>
      </c>
    </row>
    <row r="303" spans="1:2">
      <c r="A303" s="9">
        <v>207</v>
      </c>
      <c r="B303">
        <v>3</v>
      </c>
    </row>
    <row r="304" spans="1:2">
      <c r="A304" s="9">
        <v>304</v>
      </c>
      <c r="B304">
        <v>3</v>
      </c>
    </row>
    <row r="305" spans="1:2">
      <c r="A305" s="9">
        <v>77</v>
      </c>
      <c r="B305">
        <v>3</v>
      </c>
    </row>
    <row r="306" spans="1:2">
      <c r="A306" s="9">
        <v>306</v>
      </c>
      <c r="B306">
        <v>3</v>
      </c>
    </row>
    <row r="307" spans="1:2">
      <c r="A307" s="9">
        <v>213</v>
      </c>
      <c r="B307">
        <v>3</v>
      </c>
    </row>
    <row r="308" spans="1:2">
      <c r="A308" s="9">
        <v>115</v>
      </c>
      <c r="B308">
        <v>3</v>
      </c>
    </row>
    <row r="309" spans="1:2">
      <c r="A309" s="9">
        <v>215</v>
      </c>
      <c r="B309">
        <v>3</v>
      </c>
    </row>
    <row r="310" spans="1:2">
      <c r="A310" s="9">
        <v>218</v>
      </c>
      <c r="B310">
        <v>3</v>
      </c>
    </row>
    <row r="311" spans="1:2">
      <c r="A311" s="9">
        <v>349</v>
      </c>
      <c r="B311">
        <v>2</v>
      </c>
    </row>
    <row r="312" spans="1:2">
      <c r="A312" s="9">
        <v>581</v>
      </c>
      <c r="B312">
        <v>2</v>
      </c>
    </row>
    <row r="313" spans="1:2">
      <c r="A313" s="9">
        <v>475</v>
      </c>
      <c r="B313">
        <v>2</v>
      </c>
    </row>
    <row r="314" spans="1:2">
      <c r="A314" s="9">
        <v>423</v>
      </c>
      <c r="B314">
        <v>2</v>
      </c>
    </row>
    <row r="315" spans="1:2">
      <c r="A315" s="9">
        <v>484</v>
      </c>
      <c r="B315">
        <v>2</v>
      </c>
    </row>
    <row r="316" spans="1:2">
      <c r="A316" s="9">
        <v>363</v>
      </c>
      <c r="B316">
        <v>2</v>
      </c>
    </row>
    <row r="317" spans="1:2">
      <c r="A317" s="9">
        <v>622</v>
      </c>
      <c r="B317">
        <v>2</v>
      </c>
    </row>
    <row r="318" spans="1:2">
      <c r="A318" s="9">
        <v>424</v>
      </c>
      <c r="B318">
        <v>2</v>
      </c>
    </row>
    <row r="319" spans="1:2">
      <c r="A319" s="9">
        <v>389</v>
      </c>
      <c r="B319">
        <v>2</v>
      </c>
    </row>
    <row r="320" spans="1:2">
      <c r="A320" s="9">
        <v>638</v>
      </c>
      <c r="B320">
        <v>2</v>
      </c>
    </row>
    <row r="321" spans="1:2">
      <c r="A321" s="9">
        <v>588</v>
      </c>
      <c r="B321">
        <v>2</v>
      </c>
    </row>
    <row r="322" spans="1:2">
      <c r="A322" s="9">
        <v>425</v>
      </c>
      <c r="B322">
        <v>2</v>
      </c>
    </row>
    <row r="323" spans="1:2">
      <c r="A323" s="9">
        <v>485</v>
      </c>
      <c r="B323">
        <v>2</v>
      </c>
    </row>
    <row r="324" spans="1:2">
      <c r="A324" s="9">
        <v>413</v>
      </c>
      <c r="B324">
        <v>2</v>
      </c>
    </row>
    <row r="325" spans="1:2">
      <c r="A325" s="9">
        <v>497</v>
      </c>
      <c r="B325">
        <v>2</v>
      </c>
    </row>
    <row r="326" spans="1:2">
      <c r="A326" s="9">
        <v>519</v>
      </c>
      <c r="B326">
        <v>2</v>
      </c>
    </row>
    <row r="327" spans="1:2">
      <c r="A327" s="9">
        <v>421</v>
      </c>
      <c r="B327">
        <v>2</v>
      </c>
    </row>
    <row r="328" spans="1:2">
      <c r="A328" s="9">
        <v>402</v>
      </c>
      <c r="B328">
        <v>2</v>
      </c>
    </row>
    <row r="329" spans="1:2">
      <c r="A329" s="9">
        <v>353</v>
      </c>
      <c r="B329">
        <v>2</v>
      </c>
    </row>
    <row r="330" spans="1:2">
      <c r="A330" s="9">
        <v>382</v>
      </c>
      <c r="B330">
        <v>2</v>
      </c>
    </row>
    <row r="331" spans="1:2">
      <c r="A331" s="9">
        <v>578</v>
      </c>
      <c r="B331">
        <v>2</v>
      </c>
    </row>
    <row r="332" spans="1:2">
      <c r="A332" s="9">
        <v>325</v>
      </c>
      <c r="B332">
        <v>2</v>
      </c>
    </row>
    <row r="333" spans="1:2">
      <c r="A333" s="9">
        <v>321</v>
      </c>
      <c r="B333">
        <v>2</v>
      </c>
    </row>
    <row r="334" spans="1:2">
      <c r="A334" s="9">
        <v>366</v>
      </c>
      <c r="B334">
        <v>2</v>
      </c>
    </row>
    <row r="335" spans="1:2">
      <c r="A335" s="9">
        <v>590</v>
      </c>
      <c r="B335">
        <v>2</v>
      </c>
    </row>
    <row r="336" spans="1:2">
      <c r="A336" s="9">
        <v>527</v>
      </c>
      <c r="B336">
        <v>2</v>
      </c>
    </row>
    <row r="337" spans="1:2">
      <c r="A337" s="9">
        <v>595</v>
      </c>
      <c r="B337">
        <v>2</v>
      </c>
    </row>
    <row r="338" spans="1:2">
      <c r="A338" s="9">
        <v>529</v>
      </c>
      <c r="B338">
        <v>2</v>
      </c>
    </row>
    <row r="339" spans="1:2">
      <c r="A339" s="9">
        <v>334</v>
      </c>
      <c r="B339">
        <v>2</v>
      </c>
    </row>
    <row r="340" spans="1:2">
      <c r="A340" s="9">
        <v>534</v>
      </c>
      <c r="B340">
        <v>2</v>
      </c>
    </row>
    <row r="341" spans="1:2">
      <c r="A341" s="9">
        <v>348</v>
      </c>
      <c r="B341">
        <v>2</v>
      </c>
    </row>
    <row r="342" spans="1:2">
      <c r="A342" s="9">
        <v>536</v>
      </c>
      <c r="B342">
        <v>2</v>
      </c>
    </row>
    <row r="343" spans="1:2">
      <c r="A343" s="9">
        <v>360</v>
      </c>
      <c r="B343">
        <v>2</v>
      </c>
    </row>
    <row r="344" spans="1:2">
      <c r="A344" s="9">
        <v>460</v>
      </c>
      <c r="B344">
        <v>2</v>
      </c>
    </row>
    <row r="345" spans="1:2">
      <c r="A345" s="9">
        <v>401</v>
      </c>
      <c r="B345">
        <v>2</v>
      </c>
    </row>
    <row r="346" spans="1:2">
      <c r="A346" s="9">
        <v>538</v>
      </c>
      <c r="B346">
        <v>2</v>
      </c>
    </row>
    <row r="347" spans="1:2">
      <c r="A347" s="9">
        <v>504</v>
      </c>
      <c r="B347">
        <v>2</v>
      </c>
    </row>
    <row r="348" spans="1:2">
      <c r="A348" s="9">
        <v>367</v>
      </c>
      <c r="B348">
        <v>2</v>
      </c>
    </row>
    <row r="349" spans="1:2">
      <c r="A349" s="9">
        <v>431</v>
      </c>
      <c r="B349">
        <v>2</v>
      </c>
    </row>
    <row r="350" spans="1:2">
      <c r="A350" s="9">
        <v>541</v>
      </c>
      <c r="B350">
        <v>2</v>
      </c>
    </row>
    <row r="351" spans="1:2">
      <c r="A351" s="9">
        <v>388</v>
      </c>
      <c r="B351">
        <v>2</v>
      </c>
    </row>
    <row r="352" spans="1:2">
      <c r="A352" s="9">
        <v>351</v>
      </c>
      <c r="B352">
        <v>2</v>
      </c>
    </row>
    <row r="353" spans="1:2">
      <c r="A353" s="9">
        <v>575</v>
      </c>
      <c r="B353">
        <v>2</v>
      </c>
    </row>
    <row r="354" spans="1:2">
      <c r="A354" s="9">
        <v>368</v>
      </c>
      <c r="B354">
        <v>2</v>
      </c>
    </row>
    <row r="355" spans="1:2">
      <c r="A355" s="9">
        <v>478</v>
      </c>
      <c r="B355">
        <v>2</v>
      </c>
    </row>
    <row r="356" spans="1:2">
      <c r="A356" s="9">
        <v>464</v>
      </c>
      <c r="B356">
        <v>2</v>
      </c>
    </row>
    <row r="357" spans="1:2">
      <c r="A357" s="9">
        <v>416</v>
      </c>
      <c r="B357">
        <v>2</v>
      </c>
    </row>
    <row r="358" spans="1:2">
      <c r="A358" s="9">
        <v>546</v>
      </c>
      <c r="B358">
        <v>2</v>
      </c>
    </row>
    <row r="359" spans="1:2">
      <c r="A359" s="9">
        <v>482</v>
      </c>
      <c r="B359">
        <v>2</v>
      </c>
    </row>
    <row r="360" spans="1:2">
      <c r="A360" s="9">
        <v>547</v>
      </c>
      <c r="B360">
        <v>2</v>
      </c>
    </row>
    <row r="361" spans="1:2">
      <c r="A361" s="9">
        <v>483</v>
      </c>
      <c r="B361">
        <v>2</v>
      </c>
    </row>
    <row r="362" spans="1:2">
      <c r="A362" s="9">
        <v>385</v>
      </c>
      <c r="B362">
        <v>2</v>
      </c>
    </row>
    <row r="363" spans="1:2">
      <c r="A363" s="9">
        <v>592</v>
      </c>
      <c r="B363">
        <v>2</v>
      </c>
    </row>
    <row r="364" spans="1:2">
      <c r="A364" s="9">
        <v>549</v>
      </c>
      <c r="B364">
        <v>2</v>
      </c>
    </row>
    <row r="365" spans="1:2">
      <c r="A365" s="9">
        <v>392</v>
      </c>
      <c r="B365">
        <v>2</v>
      </c>
    </row>
    <row r="366" spans="1:2">
      <c r="A366" s="9">
        <v>465</v>
      </c>
      <c r="B366">
        <v>2</v>
      </c>
    </row>
    <row r="367" spans="1:2">
      <c r="A367" s="9">
        <v>596</v>
      </c>
      <c r="B367">
        <v>2</v>
      </c>
    </row>
    <row r="368" spans="1:2">
      <c r="A368" s="9">
        <v>552</v>
      </c>
      <c r="B368">
        <v>2</v>
      </c>
    </row>
    <row r="369" spans="1:2">
      <c r="A369" s="9">
        <v>371</v>
      </c>
      <c r="B369">
        <v>2</v>
      </c>
    </row>
    <row r="370" spans="1:2">
      <c r="A370" s="9">
        <v>553</v>
      </c>
      <c r="B370">
        <v>2</v>
      </c>
    </row>
    <row r="371" spans="1:2">
      <c r="A371" s="9">
        <v>395</v>
      </c>
      <c r="B371">
        <v>2</v>
      </c>
    </row>
    <row r="372" spans="1:2">
      <c r="A372" s="9">
        <v>467</v>
      </c>
      <c r="B372">
        <v>2</v>
      </c>
    </row>
    <row r="373" spans="1:2">
      <c r="A373" s="9">
        <v>611</v>
      </c>
      <c r="B373">
        <v>2</v>
      </c>
    </row>
    <row r="374" spans="1:2">
      <c r="A374" s="9">
        <v>352</v>
      </c>
      <c r="B374">
        <v>2</v>
      </c>
    </row>
    <row r="375" spans="1:2">
      <c r="A375" s="9">
        <v>419</v>
      </c>
      <c r="B375">
        <v>2</v>
      </c>
    </row>
    <row r="376" spans="1:2">
      <c r="A376" s="9">
        <v>557</v>
      </c>
      <c r="B376">
        <v>2</v>
      </c>
    </row>
    <row r="377" spans="1:2">
      <c r="A377" s="9">
        <v>618</v>
      </c>
      <c r="B377">
        <v>2</v>
      </c>
    </row>
    <row r="378" spans="1:2">
      <c r="A378" s="9">
        <v>559</v>
      </c>
      <c r="B378">
        <v>2</v>
      </c>
    </row>
    <row r="379" spans="1:2">
      <c r="A379" s="9">
        <v>411</v>
      </c>
      <c r="B379">
        <v>2</v>
      </c>
    </row>
    <row r="380" spans="1:2">
      <c r="A380" s="9">
        <v>471</v>
      </c>
      <c r="B380">
        <v>2</v>
      </c>
    </row>
    <row r="381" spans="1:2">
      <c r="A381" s="9">
        <v>346</v>
      </c>
      <c r="B381">
        <v>2</v>
      </c>
    </row>
    <row r="382" spans="1:2">
      <c r="A382" s="9">
        <v>404</v>
      </c>
      <c r="B382">
        <v>2</v>
      </c>
    </row>
    <row r="383" spans="1:2">
      <c r="A383" s="9">
        <v>625</v>
      </c>
      <c r="B383">
        <v>2</v>
      </c>
    </row>
    <row r="384" spans="1:2">
      <c r="A384" s="9">
        <v>370</v>
      </c>
      <c r="B384">
        <v>2</v>
      </c>
    </row>
    <row r="385" spans="1:2">
      <c r="A385" s="9">
        <v>631</v>
      </c>
      <c r="B385">
        <v>2</v>
      </c>
    </row>
    <row r="386" spans="1:2">
      <c r="A386" s="9">
        <v>430</v>
      </c>
      <c r="B386">
        <v>2</v>
      </c>
    </row>
    <row r="387" spans="1:2">
      <c r="A387" s="9">
        <v>509</v>
      </c>
      <c r="B387">
        <v>2</v>
      </c>
    </row>
    <row r="388" spans="1:2">
      <c r="A388" s="9">
        <v>565</v>
      </c>
      <c r="B388">
        <v>2</v>
      </c>
    </row>
    <row r="389" spans="1:2">
      <c r="A389" s="9">
        <v>377</v>
      </c>
      <c r="B389">
        <v>2</v>
      </c>
    </row>
    <row r="390" spans="1:2">
      <c r="A390" s="9">
        <v>637</v>
      </c>
      <c r="B390">
        <v>2</v>
      </c>
    </row>
    <row r="391" spans="1:2">
      <c r="A391" s="9">
        <v>339</v>
      </c>
      <c r="B391">
        <v>2</v>
      </c>
    </row>
    <row r="392" spans="1:2">
      <c r="A392" s="9">
        <v>514</v>
      </c>
      <c r="B392">
        <v>2</v>
      </c>
    </row>
    <row r="393" spans="1:2">
      <c r="A393" s="9">
        <v>380</v>
      </c>
      <c r="B393">
        <v>2</v>
      </c>
    </row>
    <row r="394" spans="1:2">
      <c r="A394" s="9">
        <v>298</v>
      </c>
      <c r="B394">
        <v>2</v>
      </c>
    </row>
    <row r="395" spans="1:2">
      <c r="A395" s="9">
        <v>151</v>
      </c>
      <c r="B395">
        <v>2</v>
      </c>
    </row>
    <row r="396" spans="1:2">
      <c r="A396" s="9">
        <v>34</v>
      </c>
      <c r="B396">
        <v>2</v>
      </c>
    </row>
    <row r="397" spans="1:2">
      <c r="A397" s="9">
        <v>127</v>
      </c>
      <c r="B397">
        <v>2</v>
      </c>
    </row>
    <row r="398" spans="1:2">
      <c r="A398" s="9">
        <v>126</v>
      </c>
      <c r="B398">
        <v>2</v>
      </c>
    </row>
    <row r="399" spans="1:2">
      <c r="A399" s="9">
        <v>219</v>
      </c>
      <c r="B399">
        <v>2</v>
      </c>
    </row>
    <row r="400" spans="1:2">
      <c r="A400" s="9">
        <v>37</v>
      </c>
      <c r="B400">
        <v>2</v>
      </c>
    </row>
    <row r="401" spans="1:2">
      <c r="A401" s="9">
        <v>168</v>
      </c>
      <c r="B401">
        <v>2</v>
      </c>
    </row>
    <row r="402" spans="1:2">
      <c r="A402" s="9">
        <v>273</v>
      </c>
      <c r="B402">
        <v>2</v>
      </c>
    </row>
    <row r="403" spans="1:2">
      <c r="A403" s="9">
        <v>12</v>
      </c>
      <c r="B403">
        <v>2</v>
      </c>
    </row>
    <row r="404" spans="1:2">
      <c r="A404" s="9">
        <v>199</v>
      </c>
      <c r="B404">
        <v>2</v>
      </c>
    </row>
    <row r="405" spans="1:2">
      <c r="A405" s="9">
        <v>19</v>
      </c>
      <c r="B405">
        <v>2</v>
      </c>
    </row>
    <row r="406" spans="1:2">
      <c r="A406" s="9">
        <v>294</v>
      </c>
      <c r="B406">
        <v>2</v>
      </c>
    </row>
    <row r="407" spans="1:2">
      <c r="A407" s="9">
        <v>13</v>
      </c>
      <c r="B407">
        <v>2</v>
      </c>
    </row>
    <row r="408" spans="1:2">
      <c r="A408" s="9">
        <v>49</v>
      </c>
      <c r="B408">
        <v>2</v>
      </c>
    </row>
    <row r="409" spans="1:2">
      <c r="A409" s="9">
        <v>172</v>
      </c>
      <c r="B409">
        <v>2</v>
      </c>
    </row>
    <row r="410" spans="1:2">
      <c r="A410" s="9">
        <v>116</v>
      </c>
      <c r="B410">
        <v>2</v>
      </c>
    </row>
    <row r="411" spans="1:2">
      <c r="A411" s="9">
        <v>226</v>
      </c>
      <c r="B411">
        <v>2</v>
      </c>
    </row>
    <row r="412" spans="1:2">
      <c r="A412" s="9">
        <v>269</v>
      </c>
      <c r="B412">
        <v>2</v>
      </c>
    </row>
    <row r="413" spans="1:2">
      <c r="A413" s="9">
        <v>80</v>
      </c>
      <c r="B413">
        <v>2</v>
      </c>
    </row>
    <row r="414" spans="1:2">
      <c r="A414" s="9">
        <v>122</v>
      </c>
      <c r="B414">
        <v>2</v>
      </c>
    </row>
    <row r="415" spans="1:2">
      <c r="A415" s="9">
        <v>22</v>
      </c>
      <c r="B415">
        <v>2</v>
      </c>
    </row>
    <row r="416" spans="1:2">
      <c r="A416" s="9">
        <v>134</v>
      </c>
      <c r="B416">
        <v>2</v>
      </c>
    </row>
    <row r="417" spans="1:2">
      <c r="A417" s="9">
        <v>5</v>
      </c>
      <c r="B417">
        <v>2</v>
      </c>
    </row>
    <row r="418" spans="1:2">
      <c r="A418" s="9">
        <v>286</v>
      </c>
      <c r="B418">
        <v>2</v>
      </c>
    </row>
    <row r="419" spans="1:2">
      <c r="A419" s="9">
        <v>174</v>
      </c>
      <c r="B419">
        <v>2</v>
      </c>
    </row>
    <row r="420" spans="1:2">
      <c r="A420" s="9">
        <v>156</v>
      </c>
      <c r="B420">
        <v>2</v>
      </c>
    </row>
    <row r="421" spans="1:2">
      <c r="A421" s="9">
        <v>233</v>
      </c>
      <c r="B421">
        <v>2</v>
      </c>
    </row>
    <row r="422" spans="1:2">
      <c r="A422" s="9">
        <v>47</v>
      </c>
      <c r="B422">
        <v>2</v>
      </c>
    </row>
    <row r="423" spans="1:2">
      <c r="A423" s="9">
        <v>234</v>
      </c>
      <c r="B423">
        <v>2</v>
      </c>
    </row>
    <row r="424" spans="1:2">
      <c r="A424" s="9">
        <v>300</v>
      </c>
      <c r="B424">
        <v>2</v>
      </c>
    </row>
    <row r="425" spans="1:2">
      <c r="A425" s="9">
        <v>15</v>
      </c>
      <c r="B425">
        <v>2</v>
      </c>
    </row>
    <row r="426" spans="1:2">
      <c r="A426" s="9">
        <v>164</v>
      </c>
      <c r="B426">
        <v>2</v>
      </c>
    </row>
    <row r="427" spans="1:2">
      <c r="A427" s="9">
        <v>84</v>
      </c>
      <c r="B427">
        <v>2</v>
      </c>
    </row>
    <row r="428" spans="1:2">
      <c r="A428" s="9">
        <v>316</v>
      </c>
      <c r="B428">
        <v>2</v>
      </c>
    </row>
    <row r="429" spans="1:2">
      <c r="A429" s="9">
        <v>176</v>
      </c>
      <c r="B429">
        <v>2</v>
      </c>
    </row>
    <row r="430" spans="1:2">
      <c r="A430" s="9">
        <v>217</v>
      </c>
      <c r="B430">
        <v>2</v>
      </c>
    </row>
    <row r="431" spans="1:2">
      <c r="A431" s="9">
        <v>3</v>
      </c>
      <c r="B431">
        <v>2</v>
      </c>
    </row>
    <row r="432" spans="1:2">
      <c r="A432" s="9">
        <v>190</v>
      </c>
      <c r="B432">
        <v>2</v>
      </c>
    </row>
    <row r="433" spans="1:2">
      <c r="A433" s="9">
        <v>28</v>
      </c>
      <c r="B433">
        <v>2</v>
      </c>
    </row>
    <row r="434" spans="1:2">
      <c r="A434" s="9">
        <v>192</v>
      </c>
      <c r="B434">
        <v>2</v>
      </c>
    </row>
    <row r="435" spans="1:2">
      <c r="A435" s="9">
        <v>242</v>
      </c>
      <c r="B435">
        <v>2</v>
      </c>
    </row>
    <row r="436" spans="1:2">
      <c r="A436" s="9">
        <v>52</v>
      </c>
      <c r="B436">
        <v>2</v>
      </c>
    </row>
    <row r="437" spans="1:2">
      <c r="A437" s="9">
        <v>40</v>
      </c>
      <c r="B437">
        <v>2</v>
      </c>
    </row>
    <row r="438" spans="1:2">
      <c r="A438" s="9">
        <v>106</v>
      </c>
      <c r="B438">
        <v>2</v>
      </c>
    </row>
    <row r="439" spans="1:2">
      <c r="A439" s="9">
        <v>89</v>
      </c>
      <c r="B439">
        <v>2</v>
      </c>
    </row>
    <row r="440" spans="1:2">
      <c r="A440" s="9">
        <v>280</v>
      </c>
      <c r="B440">
        <v>2</v>
      </c>
    </row>
    <row r="441" spans="1:2">
      <c r="A441" s="9">
        <v>246</v>
      </c>
      <c r="B441">
        <v>2</v>
      </c>
    </row>
    <row r="442" spans="1:2">
      <c r="A442" s="9">
        <v>56</v>
      </c>
      <c r="B442">
        <v>2</v>
      </c>
    </row>
    <row r="443" spans="1:2">
      <c r="A443" s="9">
        <v>6</v>
      </c>
      <c r="B443">
        <v>2</v>
      </c>
    </row>
    <row r="444" spans="1:2">
      <c r="A444" s="9">
        <v>75</v>
      </c>
      <c r="B444">
        <v>2</v>
      </c>
    </row>
    <row r="445" spans="1:2">
      <c r="A445" s="9">
        <v>142</v>
      </c>
      <c r="B445">
        <v>2</v>
      </c>
    </row>
    <row r="446" spans="1:2">
      <c r="A446" s="9">
        <v>135</v>
      </c>
      <c r="B446">
        <v>2</v>
      </c>
    </row>
    <row r="447" spans="1:2">
      <c r="A447" s="9">
        <v>91</v>
      </c>
      <c r="B447">
        <v>2</v>
      </c>
    </row>
    <row r="448" spans="1:2">
      <c r="A448" s="9">
        <v>205</v>
      </c>
      <c r="B448">
        <v>2</v>
      </c>
    </row>
    <row r="449" spans="1:2">
      <c r="A449" s="9">
        <v>184</v>
      </c>
      <c r="B449">
        <v>2</v>
      </c>
    </row>
    <row r="450" spans="1:2">
      <c r="A450" s="9">
        <v>292</v>
      </c>
      <c r="B450">
        <v>2</v>
      </c>
    </row>
    <row r="451" spans="1:2">
      <c r="A451" s="9">
        <v>93</v>
      </c>
      <c r="B451">
        <v>2</v>
      </c>
    </row>
    <row r="452" spans="1:2">
      <c r="A452" s="9">
        <v>109</v>
      </c>
      <c r="B452">
        <v>2</v>
      </c>
    </row>
    <row r="453" spans="1:2">
      <c r="A453" s="9">
        <v>254</v>
      </c>
      <c r="B453">
        <v>2</v>
      </c>
    </row>
    <row r="454" spans="1:2">
      <c r="A454" s="9">
        <v>208</v>
      </c>
      <c r="B454">
        <v>2</v>
      </c>
    </row>
    <row r="455" spans="1:2">
      <c r="A455" s="9">
        <v>256</v>
      </c>
      <c r="B455">
        <v>2</v>
      </c>
    </row>
    <row r="456" spans="1:2">
      <c r="A456" s="9">
        <v>299</v>
      </c>
      <c r="B456">
        <v>2</v>
      </c>
    </row>
    <row r="457" spans="1:2">
      <c r="A457" s="9">
        <v>33</v>
      </c>
      <c r="B457">
        <v>2</v>
      </c>
    </row>
    <row r="458" spans="1:2">
      <c r="A458" s="9">
        <v>60</v>
      </c>
      <c r="B458">
        <v>2</v>
      </c>
    </row>
    <row r="459" spans="1:2">
      <c r="A459" s="9">
        <v>258</v>
      </c>
      <c r="B459">
        <v>2</v>
      </c>
    </row>
    <row r="460" spans="1:2">
      <c r="A460" s="9">
        <v>78</v>
      </c>
      <c r="B460">
        <v>2</v>
      </c>
    </row>
    <row r="461" spans="1:2">
      <c r="A461" s="9">
        <v>259</v>
      </c>
      <c r="B461">
        <v>2</v>
      </c>
    </row>
    <row r="462" spans="1:2">
      <c r="A462" s="9">
        <v>113</v>
      </c>
      <c r="B462">
        <v>2</v>
      </c>
    </row>
    <row r="463" spans="1:2">
      <c r="A463" s="9">
        <v>119</v>
      </c>
      <c r="B463">
        <v>2</v>
      </c>
    </row>
    <row r="464" spans="1:2">
      <c r="A464" s="9">
        <v>166</v>
      </c>
      <c r="B464">
        <v>2</v>
      </c>
    </row>
    <row r="465" spans="1:2">
      <c r="A465" s="9">
        <v>46</v>
      </c>
      <c r="B465">
        <v>2</v>
      </c>
    </row>
    <row r="466" spans="1:2">
      <c r="A466" s="9">
        <v>317</v>
      </c>
      <c r="B466">
        <v>2</v>
      </c>
    </row>
    <row r="467" spans="1:2">
      <c r="A467" s="9">
        <v>262</v>
      </c>
      <c r="B467">
        <v>2</v>
      </c>
    </row>
    <row r="468" spans="1:2">
      <c r="A468" s="9">
        <v>117</v>
      </c>
      <c r="B468">
        <v>2</v>
      </c>
    </row>
    <row r="469" spans="1:2">
      <c r="A469" s="9">
        <v>187</v>
      </c>
      <c r="B469">
        <v>2</v>
      </c>
    </row>
    <row r="470" spans="1:2">
      <c r="A470" s="9">
        <v>146</v>
      </c>
      <c r="B470">
        <v>2</v>
      </c>
    </row>
    <row r="471" spans="1:2">
      <c r="A471" s="9">
        <v>160</v>
      </c>
      <c r="B471">
        <v>2</v>
      </c>
    </row>
    <row r="472" spans="1:2">
      <c r="A472" s="9">
        <v>621</v>
      </c>
      <c r="B472">
        <v>1</v>
      </c>
    </row>
    <row r="473" spans="1:2">
      <c r="A473" s="9">
        <v>491</v>
      </c>
      <c r="B473">
        <v>1</v>
      </c>
    </row>
    <row r="474" spans="1:2">
      <c r="A474" s="9">
        <v>556</v>
      </c>
      <c r="B474">
        <v>1</v>
      </c>
    </row>
    <row r="475" spans="1:2">
      <c r="A475" s="9">
        <v>508</v>
      </c>
      <c r="B475">
        <v>1</v>
      </c>
    </row>
    <row r="476" spans="1:2">
      <c r="A476" s="9">
        <v>613</v>
      </c>
      <c r="B476">
        <v>1</v>
      </c>
    </row>
    <row r="477" spans="1:2">
      <c r="A477" s="9">
        <v>332</v>
      </c>
      <c r="B477">
        <v>1</v>
      </c>
    </row>
    <row r="478" spans="1:2">
      <c r="A478" s="9">
        <v>629</v>
      </c>
      <c r="B478">
        <v>1</v>
      </c>
    </row>
    <row r="479" spans="1:2">
      <c r="A479" s="9">
        <v>422</v>
      </c>
      <c r="B479">
        <v>1</v>
      </c>
    </row>
    <row r="480" spans="1:2">
      <c r="A480" s="9">
        <v>449</v>
      </c>
      <c r="B480">
        <v>1</v>
      </c>
    </row>
    <row r="481" spans="1:2">
      <c r="A481" s="9">
        <v>414</v>
      </c>
      <c r="B481">
        <v>1</v>
      </c>
    </row>
    <row r="482" spans="1:2">
      <c r="A482" s="9">
        <v>609</v>
      </c>
      <c r="B482">
        <v>1</v>
      </c>
    </row>
    <row r="483" spans="1:2">
      <c r="A483" s="9">
        <v>512</v>
      </c>
      <c r="B483">
        <v>1</v>
      </c>
    </row>
    <row r="484" spans="1:2">
      <c r="A484" s="9">
        <v>495</v>
      </c>
      <c r="B484">
        <v>1</v>
      </c>
    </row>
    <row r="485" spans="1:2">
      <c r="A485" s="9">
        <v>564</v>
      </c>
      <c r="B485">
        <v>1</v>
      </c>
    </row>
    <row r="486" spans="1:2">
      <c r="A486" s="9">
        <v>501</v>
      </c>
      <c r="B486">
        <v>1</v>
      </c>
    </row>
    <row r="487" spans="1:2">
      <c r="A487" s="9">
        <v>458</v>
      </c>
      <c r="B487">
        <v>1</v>
      </c>
    </row>
    <row r="488" spans="1:2">
      <c r="A488" s="9">
        <v>454</v>
      </c>
      <c r="B488">
        <v>1</v>
      </c>
    </row>
    <row r="489" spans="1:2">
      <c r="A489" s="9">
        <v>350</v>
      </c>
      <c r="B489">
        <v>1</v>
      </c>
    </row>
    <row r="490" spans="1:2">
      <c r="A490" s="9">
        <v>558</v>
      </c>
      <c r="B490">
        <v>1</v>
      </c>
    </row>
    <row r="491" spans="1:2">
      <c r="A491" s="9">
        <v>567</v>
      </c>
      <c r="B491">
        <v>1</v>
      </c>
    </row>
    <row r="492" spans="1:2">
      <c r="A492" s="9">
        <v>535</v>
      </c>
      <c r="B492">
        <v>1</v>
      </c>
    </row>
    <row r="493" spans="1:2">
      <c r="A493" s="9">
        <v>568</v>
      </c>
      <c r="B493">
        <v>1</v>
      </c>
    </row>
    <row r="494" spans="1:2">
      <c r="A494" s="9">
        <v>330</v>
      </c>
      <c r="B494">
        <v>1</v>
      </c>
    </row>
    <row r="495" spans="1:2">
      <c r="A495" s="9">
        <v>443</v>
      </c>
      <c r="B495">
        <v>1</v>
      </c>
    </row>
    <row r="496" spans="1:2">
      <c r="A496" s="9">
        <v>493</v>
      </c>
      <c r="B496">
        <v>1</v>
      </c>
    </row>
    <row r="497" spans="1:2">
      <c r="A497" s="9">
        <v>570</v>
      </c>
      <c r="B497">
        <v>1</v>
      </c>
    </row>
    <row r="498" spans="1:2">
      <c r="A498" s="9">
        <v>615</v>
      </c>
      <c r="B498">
        <v>1</v>
      </c>
    </row>
    <row r="499" spans="1:2">
      <c r="A499" s="9">
        <v>516</v>
      </c>
      <c r="B499">
        <v>1</v>
      </c>
    </row>
    <row r="500" spans="1:2">
      <c r="A500" s="9">
        <v>450</v>
      </c>
      <c r="B500">
        <v>1</v>
      </c>
    </row>
    <row r="501" spans="1:2">
      <c r="A501" s="9">
        <v>572</v>
      </c>
      <c r="B501">
        <v>1</v>
      </c>
    </row>
    <row r="502" spans="1:2">
      <c r="A502" s="9">
        <v>452</v>
      </c>
      <c r="B502">
        <v>1</v>
      </c>
    </row>
    <row r="503" spans="1:2">
      <c r="A503" s="9">
        <v>481</v>
      </c>
      <c r="B503">
        <v>1</v>
      </c>
    </row>
    <row r="504" spans="1:2">
      <c r="A504" s="9">
        <v>627</v>
      </c>
      <c r="B504">
        <v>1</v>
      </c>
    </row>
    <row r="505" spans="1:2">
      <c r="A505" s="9">
        <v>518</v>
      </c>
      <c r="B505">
        <v>1</v>
      </c>
    </row>
    <row r="506" spans="1:2">
      <c r="A506" s="9">
        <v>502</v>
      </c>
      <c r="B506">
        <v>1</v>
      </c>
    </row>
    <row r="507" spans="1:2">
      <c r="A507" s="9">
        <v>335</v>
      </c>
      <c r="B507">
        <v>1</v>
      </c>
    </row>
    <row r="508" spans="1:2">
      <c r="A508" s="9">
        <v>635</v>
      </c>
      <c r="B508">
        <v>1</v>
      </c>
    </row>
    <row r="509" spans="1:2">
      <c r="A509" s="9">
        <v>576</v>
      </c>
      <c r="B509">
        <v>1</v>
      </c>
    </row>
    <row r="510" spans="1:2">
      <c r="A510" s="9">
        <v>639</v>
      </c>
      <c r="B510">
        <v>1</v>
      </c>
    </row>
    <row r="511" spans="1:2">
      <c r="A511" s="9">
        <v>577</v>
      </c>
      <c r="B511">
        <v>1</v>
      </c>
    </row>
    <row r="512" spans="1:2">
      <c r="A512" s="9">
        <v>600</v>
      </c>
      <c r="B512">
        <v>1</v>
      </c>
    </row>
    <row r="513" spans="1:2">
      <c r="A513" s="9">
        <v>328</v>
      </c>
      <c r="B513">
        <v>1</v>
      </c>
    </row>
    <row r="514" spans="1:2">
      <c r="A514" s="9">
        <v>602</v>
      </c>
      <c r="B514">
        <v>1</v>
      </c>
    </row>
    <row r="515" spans="1:2">
      <c r="A515" s="9">
        <v>356</v>
      </c>
      <c r="B515">
        <v>1</v>
      </c>
    </row>
    <row r="516" spans="1:2">
      <c r="A516" s="9">
        <v>490</v>
      </c>
      <c r="B516">
        <v>1</v>
      </c>
    </row>
    <row r="517" spans="1:2">
      <c r="A517" s="9">
        <v>580</v>
      </c>
      <c r="B517">
        <v>1</v>
      </c>
    </row>
    <row r="518" spans="1:2">
      <c r="A518" s="9">
        <v>606</v>
      </c>
      <c r="B518">
        <v>1</v>
      </c>
    </row>
    <row r="519" spans="1:2">
      <c r="A519" s="9">
        <v>381</v>
      </c>
      <c r="B519">
        <v>1</v>
      </c>
    </row>
    <row r="520" spans="1:2">
      <c r="A520" s="9">
        <v>608</v>
      </c>
      <c r="B520">
        <v>1</v>
      </c>
    </row>
    <row r="521" spans="1:2">
      <c r="A521" s="9">
        <v>341</v>
      </c>
      <c r="B521">
        <v>1</v>
      </c>
    </row>
    <row r="522" spans="1:2">
      <c r="A522" s="9">
        <v>468</v>
      </c>
      <c r="B522">
        <v>1</v>
      </c>
    </row>
    <row r="523" spans="1:2">
      <c r="A523" s="9">
        <v>523</v>
      </c>
      <c r="B523">
        <v>1</v>
      </c>
    </row>
    <row r="524" spans="1:2">
      <c r="A524" s="9">
        <v>540</v>
      </c>
      <c r="B524">
        <v>1</v>
      </c>
    </row>
    <row r="525" spans="1:2">
      <c r="A525" s="9">
        <v>412</v>
      </c>
      <c r="B525">
        <v>1</v>
      </c>
    </row>
    <row r="526" spans="1:2">
      <c r="A526" s="9">
        <v>614</v>
      </c>
      <c r="B526">
        <v>1</v>
      </c>
    </row>
    <row r="527" spans="1:2">
      <c r="A527" s="9">
        <v>585</v>
      </c>
      <c r="B527">
        <v>1</v>
      </c>
    </row>
    <row r="528" spans="1:2">
      <c r="A528" s="9">
        <v>494</v>
      </c>
      <c r="B528">
        <v>1</v>
      </c>
    </row>
    <row r="529" spans="1:2">
      <c r="A529" s="9">
        <v>447</v>
      </c>
      <c r="B529">
        <v>1</v>
      </c>
    </row>
    <row r="530" spans="1:2">
      <c r="A530" s="9">
        <v>369</v>
      </c>
      <c r="B530">
        <v>1</v>
      </c>
    </row>
    <row r="531" spans="1:2">
      <c r="A531" s="9">
        <v>587</v>
      </c>
      <c r="B531">
        <v>1</v>
      </c>
    </row>
    <row r="532" spans="1:2">
      <c r="A532" s="9">
        <v>545</v>
      </c>
      <c r="B532">
        <v>1</v>
      </c>
    </row>
    <row r="533" spans="1:2">
      <c r="A533" s="9">
        <v>486</v>
      </c>
      <c r="B533">
        <v>1</v>
      </c>
    </row>
    <row r="534" spans="1:2">
      <c r="A534" s="9">
        <v>438</v>
      </c>
      <c r="B534">
        <v>1</v>
      </c>
    </row>
    <row r="535" spans="1:2">
      <c r="A535" s="9">
        <v>437</v>
      </c>
      <c r="B535">
        <v>1</v>
      </c>
    </row>
    <row r="536" spans="1:2">
      <c r="A536" s="9">
        <v>453</v>
      </c>
      <c r="B536">
        <v>1</v>
      </c>
    </row>
    <row r="537" spans="1:2">
      <c r="A537" s="9">
        <v>528</v>
      </c>
      <c r="B537">
        <v>1</v>
      </c>
    </row>
    <row r="538" spans="1:2">
      <c r="A538" s="9">
        <v>550</v>
      </c>
      <c r="B538">
        <v>1</v>
      </c>
    </row>
    <row r="539" spans="1:2">
      <c r="A539" s="9">
        <v>342</v>
      </c>
      <c r="B539">
        <v>1</v>
      </c>
    </row>
    <row r="540" spans="1:2">
      <c r="A540" s="9">
        <v>628</v>
      </c>
      <c r="B540">
        <v>1</v>
      </c>
    </row>
    <row r="541" spans="1:2">
      <c r="A541" s="9">
        <v>466</v>
      </c>
      <c r="B541">
        <v>1</v>
      </c>
    </row>
    <row r="542" spans="1:2">
      <c r="A542" s="9">
        <v>630</v>
      </c>
      <c r="B542">
        <v>1</v>
      </c>
    </row>
    <row r="543" spans="1:2">
      <c r="A543" s="9">
        <v>383</v>
      </c>
      <c r="B543">
        <v>1</v>
      </c>
    </row>
    <row r="544" spans="1:2">
      <c r="A544" s="9">
        <v>503</v>
      </c>
      <c r="B544">
        <v>1</v>
      </c>
    </row>
    <row r="545" spans="1:2">
      <c r="A545" s="9">
        <v>531</v>
      </c>
      <c r="B545">
        <v>1</v>
      </c>
    </row>
    <row r="546" spans="1:2">
      <c r="A546" s="9">
        <v>505</v>
      </c>
      <c r="B546">
        <v>1</v>
      </c>
    </row>
    <row r="547" spans="1:2">
      <c r="A547" s="9">
        <v>532</v>
      </c>
      <c r="B547">
        <v>1</v>
      </c>
    </row>
    <row r="548" spans="1:2">
      <c r="A548" s="9">
        <v>375</v>
      </c>
      <c r="B548">
        <v>1</v>
      </c>
    </row>
    <row r="549" spans="1:2">
      <c r="A549" s="9">
        <v>533</v>
      </c>
      <c r="B549">
        <v>1</v>
      </c>
    </row>
    <row r="550" spans="1:2">
      <c r="A550" s="9">
        <v>322</v>
      </c>
      <c r="B550">
        <v>1</v>
      </c>
    </row>
    <row r="551" spans="1:2">
      <c r="A551" s="9">
        <v>597</v>
      </c>
      <c r="B551">
        <v>1</v>
      </c>
    </row>
    <row r="552" spans="1:2">
      <c r="A552" s="9">
        <v>640</v>
      </c>
      <c r="B552">
        <v>1</v>
      </c>
    </row>
    <row r="553" spans="1:2">
      <c r="A553" s="9">
        <v>393</v>
      </c>
      <c r="B553">
        <v>1</v>
      </c>
    </row>
    <row r="554" spans="1:2">
      <c r="A554" s="9">
        <v>329</v>
      </c>
      <c r="B554">
        <v>1</v>
      </c>
    </row>
    <row r="555" spans="1:2">
      <c r="A555" s="9">
        <v>14</v>
      </c>
      <c r="B555">
        <v>1</v>
      </c>
    </row>
    <row r="556" spans="1:2">
      <c r="A556" s="9">
        <v>279</v>
      </c>
      <c r="B556">
        <v>1</v>
      </c>
    </row>
    <row r="557" spans="1:2">
      <c r="A557" s="9">
        <v>311</v>
      </c>
      <c r="B557">
        <v>1</v>
      </c>
    </row>
    <row r="558" spans="1:2">
      <c r="A558" s="9">
        <v>53</v>
      </c>
      <c r="B558">
        <v>1</v>
      </c>
    </row>
    <row r="559" spans="1:2">
      <c r="A559" s="9">
        <v>148</v>
      </c>
      <c r="B559">
        <v>1</v>
      </c>
    </row>
    <row r="560" spans="1:2">
      <c r="A560" s="9">
        <v>82</v>
      </c>
      <c r="B560">
        <v>1</v>
      </c>
    </row>
    <row r="561" spans="1:2">
      <c r="A561" s="9">
        <v>303</v>
      </c>
      <c r="B561">
        <v>1</v>
      </c>
    </row>
    <row r="562" spans="1:2">
      <c r="A562" s="9">
        <v>120</v>
      </c>
      <c r="B562">
        <v>1</v>
      </c>
    </row>
    <row r="563" spans="1:2">
      <c r="A563" s="9">
        <v>165</v>
      </c>
      <c r="B563">
        <v>1</v>
      </c>
    </row>
    <row r="564" spans="1:2">
      <c r="A564" s="9">
        <v>9</v>
      </c>
      <c r="B564">
        <v>1</v>
      </c>
    </row>
    <row r="565" spans="1:2">
      <c r="A565" s="9">
        <v>204</v>
      </c>
      <c r="B565">
        <v>1</v>
      </c>
    </row>
    <row r="566" spans="1:2">
      <c r="A566" s="9">
        <v>171</v>
      </c>
      <c r="B566">
        <v>1</v>
      </c>
    </row>
    <row r="567" spans="1:2">
      <c r="A567" s="9">
        <v>211</v>
      </c>
      <c r="B567">
        <v>1</v>
      </c>
    </row>
    <row r="568" spans="1:2">
      <c r="A568" s="9">
        <v>238</v>
      </c>
      <c r="B568">
        <v>1</v>
      </c>
    </row>
    <row r="569" spans="1:2">
      <c r="A569" s="9">
        <v>111</v>
      </c>
      <c r="B569">
        <v>1</v>
      </c>
    </row>
    <row r="570" spans="1:2">
      <c r="A570" s="9">
        <v>55</v>
      </c>
      <c r="B570">
        <v>1</v>
      </c>
    </row>
    <row r="571" spans="1:2">
      <c r="A571" s="9">
        <v>307</v>
      </c>
      <c r="B571">
        <v>1</v>
      </c>
    </row>
    <row r="572" spans="1:2">
      <c r="A572" s="9">
        <v>240</v>
      </c>
      <c r="B572">
        <v>1</v>
      </c>
    </row>
    <row r="573" spans="1:2">
      <c r="A573" s="9">
        <v>315</v>
      </c>
      <c r="B573">
        <v>1</v>
      </c>
    </row>
    <row r="574" spans="1:2">
      <c r="A574" s="9">
        <v>173</v>
      </c>
      <c r="B574">
        <v>1</v>
      </c>
    </row>
    <row r="575" spans="1:2">
      <c r="A575" s="9">
        <v>101</v>
      </c>
      <c r="B575">
        <v>1</v>
      </c>
    </row>
    <row r="576" spans="1:2">
      <c r="A576" s="9">
        <v>35</v>
      </c>
      <c r="B576">
        <v>1</v>
      </c>
    </row>
    <row r="577" spans="1:2">
      <c r="A577" s="9">
        <v>281</v>
      </c>
      <c r="B577">
        <v>1</v>
      </c>
    </row>
    <row r="578" spans="1:2">
      <c r="A578" s="9">
        <v>86</v>
      </c>
      <c r="B578">
        <v>1</v>
      </c>
    </row>
    <row r="579" spans="1:2">
      <c r="A579" s="9">
        <v>104</v>
      </c>
      <c r="B579">
        <v>1</v>
      </c>
    </row>
    <row r="580" spans="1:2">
      <c r="A580" s="9">
        <v>10</v>
      </c>
      <c r="B580">
        <v>1</v>
      </c>
    </row>
    <row r="581" spans="1:2">
      <c r="A581" s="9">
        <v>69</v>
      </c>
      <c r="B581">
        <v>1</v>
      </c>
    </row>
    <row r="582" spans="1:2">
      <c r="A582" s="9">
        <v>245</v>
      </c>
      <c r="B582">
        <v>1</v>
      </c>
    </row>
    <row r="583" spans="1:2">
      <c r="A583" s="9">
        <v>293</v>
      </c>
      <c r="B583">
        <v>1</v>
      </c>
    </row>
    <row r="584" spans="1:2">
      <c r="A584" s="9">
        <v>177</v>
      </c>
      <c r="B584">
        <v>1</v>
      </c>
    </row>
    <row r="585" spans="1:2">
      <c r="A585" s="9">
        <v>73</v>
      </c>
      <c r="B585">
        <v>1</v>
      </c>
    </row>
    <row r="586" spans="1:2">
      <c r="A586" s="9">
        <v>247</v>
      </c>
      <c r="B586">
        <v>1</v>
      </c>
    </row>
    <row r="587" spans="1:2">
      <c r="A587" s="9">
        <v>301</v>
      </c>
      <c r="B587">
        <v>1</v>
      </c>
    </row>
    <row r="588" spans="1:2">
      <c r="A588" s="9">
        <v>178</v>
      </c>
      <c r="B588">
        <v>1</v>
      </c>
    </row>
    <row r="589" spans="1:2">
      <c r="A589" s="9">
        <v>158</v>
      </c>
      <c r="B589">
        <v>1</v>
      </c>
    </row>
    <row r="590" spans="1:2">
      <c r="A590" s="9">
        <v>24</v>
      </c>
      <c r="B590">
        <v>1</v>
      </c>
    </row>
    <row r="591" spans="1:2">
      <c r="A591" s="9">
        <v>20</v>
      </c>
      <c r="B591">
        <v>1</v>
      </c>
    </row>
    <row r="592" spans="1:2">
      <c r="A592" s="9">
        <v>180</v>
      </c>
      <c r="B592">
        <v>1</v>
      </c>
    </row>
    <row r="593" spans="1:2">
      <c r="A593" s="9">
        <v>313</v>
      </c>
      <c r="B593">
        <v>1</v>
      </c>
    </row>
    <row r="594" spans="1:2">
      <c r="A594" s="9">
        <v>181</v>
      </c>
      <c r="B594">
        <v>1</v>
      </c>
    </row>
    <row r="595" spans="1:2">
      <c r="A595" s="9">
        <v>163</v>
      </c>
      <c r="B595">
        <v>1</v>
      </c>
    </row>
    <row r="596" spans="1:2">
      <c r="A596" s="9">
        <v>252</v>
      </c>
      <c r="B596">
        <v>1</v>
      </c>
    </row>
    <row r="597" spans="1:2">
      <c r="A597" s="9">
        <v>232</v>
      </c>
      <c r="B597">
        <v>1</v>
      </c>
    </row>
    <row r="598" spans="1:2">
      <c r="A598" s="9">
        <v>59</v>
      </c>
      <c r="B598">
        <v>1</v>
      </c>
    </row>
    <row r="599" spans="1:2">
      <c r="A599" s="9">
        <v>102</v>
      </c>
      <c r="B599">
        <v>1</v>
      </c>
    </row>
    <row r="600" spans="1:2">
      <c r="A600" s="9">
        <v>128</v>
      </c>
      <c r="B600">
        <v>1</v>
      </c>
    </row>
    <row r="601" spans="1:2">
      <c r="A601" s="9">
        <v>202</v>
      </c>
      <c r="B601">
        <v>1</v>
      </c>
    </row>
    <row r="602" spans="1:2">
      <c r="A602" s="9">
        <v>255</v>
      </c>
      <c r="B602">
        <v>1</v>
      </c>
    </row>
    <row r="603" spans="1:2">
      <c r="A603" s="9">
        <v>103</v>
      </c>
      <c r="B603">
        <v>1</v>
      </c>
    </row>
    <row r="604" spans="1:2">
      <c r="A604" s="9">
        <v>129</v>
      </c>
      <c r="B604">
        <v>1</v>
      </c>
    </row>
    <row r="605" spans="1:2">
      <c r="A605" s="9">
        <v>145</v>
      </c>
      <c r="B605">
        <v>1</v>
      </c>
    </row>
    <row r="606" spans="1:2">
      <c r="A606" s="9">
        <v>25</v>
      </c>
      <c r="B606">
        <v>1</v>
      </c>
    </row>
    <row r="607" spans="1:2">
      <c r="A607" s="9">
        <v>147</v>
      </c>
      <c r="B607">
        <v>1</v>
      </c>
    </row>
    <row r="608" spans="1:2">
      <c r="A608" s="9">
        <v>39</v>
      </c>
      <c r="B608">
        <v>1</v>
      </c>
    </row>
    <row r="609" spans="1:2">
      <c r="A609" s="9">
        <v>209</v>
      </c>
      <c r="B609">
        <v>1</v>
      </c>
    </row>
    <row r="610" spans="1:2">
      <c r="A610" s="9">
        <v>92</v>
      </c>
      <c r="B610">
        <v>1</v>
      </c>
    </row>
    <row r="611" spans="1:2">
      <c r="A611" s="9">
        <v>290</v>
      </c>
      <c r="B611">
        <v>1</v>
      </c>
    </row>
    <row r="612" spans="1:2">
      <c r="A612" s="9">
        <v>188</v>
      </c>
      <c r="B612">
        <v>1</v>
      </c>
    </row>
    <row r="613" spans="1:2">
      <c r="A613" s="9">
        <v>212</v>
      </c>
      <c r="B613">
        <v>1</v>
      </c>
    </row>
    <row r="614" spans="1:2">
      <c r="A614" s="9">
        <v>26</v>
      </c>
      <c r="B614">
        <v>1</v>
      </c>
    </row>
    <row r="615" spans="1:2">
      <c r="A615" s="9">
        <v>45</v>
      </c>
      <c r="B615">
        <v>1</v>
      </c>
    </row>
    <row r="616" spans="1:2">
      <c r="A616" s="9">
        <v>27</v>
      </c>
      <c r="B616">
        <v>1</v>
      </c>
    </row>
    <row r="617" spans="1:2">
      <c r="A617" s="9">
        <v>72</v>
      </c>
      <c r="B617">
        <v>1</v>
      </c>
    </row>
    <row r="618" spans="1:2">
      <c r="A618" s="9">
        <v>263</v>
      </c>
      <c r="B618">
        <v>1</v>
      </c>
    </row>
    <row r="619" spans="1:2">
      <c r="A619" s="9">
        <v>4</v>
      </c>
      <c r="B619">
        <v>1</v>
      </c>
    </row>
    <row r="620" spans="1:2">
      <c r="A620" s="9">
        <v>191</v>
      </c>
      <c r="B620">
        <v>1</v>
      </c>
    </row>
    <row r="621" spans="1:2">
      <c r="A621" s="9">
        <v>48</v>
      </c>
      <c r="B621">
        <v>1</v>
      </c>
    </row>
    <row r="622" spans="1:2">
      <c r="A622" s="9">
        <v>95</v>
      </c>
      <c r="B622">
        <v>1</v>
      </c>
    </row>
    <row r="623" spans="1:2">
      <c r="A623" s="9">
        <v>302</v>
      </c>
      <c r="B623">
        <v>1</v>
      </c>
    </row>
    <row r="624" spans="1:2">
      <c r="A624" s="9">
        <v>266</v>
      </c>
      <c r="B624">
        <v>1</v>
      </c>
    </row>
    <row r="625" spans="1:2">
      <c r="A625" s="9">
        <v>76</v>
      </c>
      <c r="B625">
        <v>1</v>
      </c>
    </row>
    <row r="626" spans="1:2">
      <c r="A626" s="9">
        <v>193</v>
      </c>
      <c r="B626">
        <v>1</v>
      </c>
    </row>
    <row r="627" spans="1:2">
      <c r="A627" s="9">
        <v>222</v>
      </c>
      <c r="B627">
        <v>1</v>
      </c>
    </row>
    <row r="628" spans="1:2">
      <c r="A628" s="9">
        <v>42</v>
      </c>
      <c r="B628">
        <v>1</v>
      </c>
    </row>
    <row r="629" spans="1:2">
      <c r="A629" s="9">
        <v>159</v>
      </c>
      <c r="B629">
        <v>1</v>
      </c>
    </row>
    <row r="630" spans="1:2">
      <c r="A630" s="9">
        <v>43</v>
      </c>
      <c r="B630">
        <v>1</v>
      </c>
    </row>
    <row r="631" spans="1:2">
      <c r="A631" s="9">
        <v>161</v>
      </c>
      <c r="B631">
        <v>1</v>
      </c>
    </row>
    <row r="632" spans="1:2">
      <c r="A632" s="9">
        <v>270</v>
      </c>
      <c r="B632">
        <v>1</v>
      </c>
    </row>
    <row r="633" spans="1:2">
      <c r="A633" s="9">
        <v>312</v>
      </c>
      <c r="B633">
        <v>1</v>
      </c>
    </row>
    <row r="634" spans="1:2">
      <c r="A634" s="9">
        <v>271</v>
      </c>
      <c r="B634">
        <v>1</v>
      </c>
    </row>
    <row r="635" spans="1:2">
      <c r="A635" s="9">
        <v>31</v>
      </c>
      <c r="B635">
        <v>1</v>
      </c>
    </row>
    <row r="636" spans="1:2">
      <c r="A636" s="9">
        <v>66</v>
      </c>
      <c r="B636">
        <v>1</v>
      </c>
    </row>
    <row r="637" spans="1:2">
      <c r="A637" s="9">
        <v>227</v>
      </c>
      <c r="B637">
        <v>1</v>
      </c>
    </row>
    <row r="638" spans="1:2">
      <c r="A638" s="9">
        <v>44</v>
      </c>
      <c r="B638">
        <v>1</v>
      </c>
    </row>
    <row r="639" spans="1:2">
      <c r="A639" s="9">
        <v>32</v>
      </c>
      <c r="B639">
        <v>1</v>
      </c>
    </row>
    <row r="640" spans="1:2">
      <c r="A640" s="9">
        <v>140</v>
      </c>
      <c r="B640">
        <v>1</v>
      </c>
    </row>
    <row r="641" spans="1:2">
      <c r="A641" s="9">
        <v>21</v>
      </c>
      <c r="B641">
        <v>1</v>
      </c>
    </row>
    <row r="642" spans="1:2">
      <c r="A642" s="9">
        <v>68</v>
      </c>
      <c r="B642">
        <v>1</v>
      </c>
    </row>
    <row r="643" spans="1:2">
      <c r="A643" s="9">
        <v>276</v>
      </c>
      <c r="B643">
        <v>1</v>
      </c>
    </row>
    <row r="644" spans="1:2">
      <c r="A644" s="9" t="s">
        <v>391</v>
      </c>
      <c r="B644">
        <v>1576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0A1B-17D6-495D-9ED0-0513B9C5C8EF}">
  <dimension ref="A3:C252"/>
  <sheetViews>
    <sheetView topLeftCell="A131" workbookViewId="0">
      <selection activeCell="A4" sqref="A4:C251"/>
      <pivotSelection pane="bottomRight" showHeader="1" extendable="1" axis="axisRow" max="249" activeRow="3" previousRow="250" click="1" r:id="rId1">
        <pivotArea dataOnly="0" axis="axisRow" fieldPosition="0">
          <references count="1">
            <reference field="1" count="24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</reference>
          </references>
        </pivotArea>
      </pivotSelection>
    </sheetView>
  </sheetViews>
  <sheetFormatPr defaultRowHeight="14.4"/>
  <cols>
    <col min="1" max="1" width="12.5546875" bestFit="1" customWidth="1"/>
    <col min="2" max="2" width="17" bestFit="1" customWidth="1"/>
    <col min="3" max="3" width="18.88671875" bestFit="1" customWidth="1"/>
  </cols>
  <sheetData>
    <row r="3" spans="1:3">
      <c r="A3" s="8" t="s">
        <v>390</v>
      </c>
      <c r="B3" t="s">
        <v>420</v>
      </c>
      <c r="C3" t="s">
        <v>421</v>
      </c>
    </row>
    <row r="4" spans="1:3">
      <c r="A4" s="9">
        <v>1</v>
      </c>
      <c r="B4">
        <v>244.03590068362104</v>
      </c>
      <c r="C4">
        <v>4</v>
      </c>
    </row>
    <row r="5" spans="1:3">
      <c r="A5" s="9">
        <v>2</v>
      </c>
      <c r="B5">
        <v>243.58773730401037</v>
      </c>
      <c r="C5">
        <v>4</v>
      </c>
    </row>
    <row r="6" spans="1:3">
      <c r="A6" s="9">
        <v>3</v>
      </c>
      <c r="B6">
        <v>182.27828452669559</v>
      </c>
      <c r="C6">
        <v>3</v>
      </c>
    </row>
    <row r="7" spans="1:3">
      <c r="A7" s="9">
        <v>4</v>
      </c>
      <c r="B7">
        <v>181.71681181797328</v>
      </c>
      <c r="C7">
        <v>3</v>
      </c>
    </row>
    <row r="8" spans="1:3">
      <c r="A8" s="9">
        <v>5</v>
      </c>
      <c r="B8">
        <v>181.62970196330213</v>
      </c>
      <c r="C8">
        <v>3</v>
      </c>
    </row>
    <row r="9" spans="1:3">
      <c r="A9" s="9">
        <v>6</v>
      </c>
      <c r="B9">
        <v>121.25108038029387</v>
      </c>
      <c r="C9">
        <v>2</v>
      </c>
    </row>
    <row r="10" spans="1:3">
      <c r="A10" s="9">
        <v>7</v>
      </c>
      <c r="B10">
        <v>60.771704180064312</v>
      </c>
      <c r="C10">
        <v>1</v>
      </c>
    </row>
    <row r="11" spans="1:3">
      <c r="A11" s="9">
        <v>8</v>
      </c>
      <c r="B11">
        <v>182.41967121024868</v>
      </c>
      <c r="C11">
        <v>3</v>
      </c>
    </row>
    <row r="12" spans="1:3">
      <c r="A12" s="9">
        <v>9</v>
      </c>
      <c r="B12">
        <v>183.14430425412155</v>
      </c>
      <c r="C12">
        <v>3</v>
      </c>
    </row>
    <row r="13" spans="1:3">
      <c r="A13" s="9">
        <v>11</v>
      </c>
      <c r="B13">
        <v>121.88766187336141</v>
      </c>
      <c r="C13">
        <v>2</v>
      </c>
    </row>
    <row r="14" spans="1:3">
      <c r="A14" s="9">
        <v>12</v>
      </c>
      <c r="B14">
        <v>61.011419249592166</v>
      </c>
      <c r="C14">
        <v>1</v>
      </c>
    </row>
    <row r="15" spans="1:3">
      <c r="A15" s="9">
        <v>13</v>
      </c>
      <c r="B15">
        <v>122.32224040734678</v>
      </c>
      <c r="C15">
        <v>2</v>
      </c>
    </row>
    <row r="16" spans="1:3">
      <c r="A16" s="9">
        <v>15</v>
      </c>
      <c r="B16">
        <v>122.39548843845057</v>
      </c>
      <c r="C16">
        <v>2</v>
      </c>
    </row>
    <row r="17" spans="1:3">
      <c r="A17" s="9">
        <v>16</v>
      </c>
      <c r="B17">
        <v>61.348684210526315</v>
      </c>
      <c r="C17">
        <v>1</v>
      </c>
    </row>
    <row r="18" spans="1:3">
      <c r="A18" s="9">
        <v>17</v>
      </c>
      <c r="B18">
        <v>183.66315514283193</v>
      </c>
      <c r="C18">
        <v>3</v>
      </c>
    </row>
    <row r="19" spans="1:3">
      <c r="A19" s="9">
        <v>18</v>
      </c>
      <c r="B19">
        <v>61.258278145695364</v>
      </c>
      <c r="C19">
        <v>1</v>
      </c>
    </row>
    <row r="20" spans="1:3">
      <c r="A20" s="9">
        <v>19</v>
      </c>
      <c r="B20">
        <v>183.38848980398035</v>
      </c>
      <c r="C20">
        <v>3</v>
      </c>
    </row>
    <row r="21" spans="1:3">
      <c r="A21" s="9">
        <v>21</v>
      </c>
      <c r="B21">
        <v>244.44487824762828</v>
      </c>
      <c r="C21">
        <v>4</v>
      </c>
    </row>
    <row r="22" spans="1:3">
      <c r="A22" s="9">
        <v>22</v>
      </c>
      <c r="B22">
        <v>244.57557246408493</v>
      </c>
      <c r="C22">
        <v>4</v>
      </c>
    </row>
    <row r="23" spans="1:3">
      <c r="A23" s="9">
        <v>23</v>
      </c>
      <c r="B23">
        <v>61.148648648648653</v>
      </c>
      <c r="C23">
        <v>1</v>
      </c>
    </row>
    <row r="24" spans="1:3">
      <c r="A24" s="9">
        <v>24</v>
      </c>
      <c r="B24">
        <v>244.78358882682429</v>
      </c>
      <c r="C24">
        <v>4</v>
      </c>
    </row>
    <row r="25" spans="1:3">
      <c r="A25" s="9">
        <v>25</v>
      </c>
      <c r="B25">
        <v>245.77330183712962</v>
      </c>
      <c r="C25">
        <v>4</v>
      </c>
    </row>
    <row r="26" spans="1:3">
      <c r="A26" s="9">
        <v>26</v>
      </c>
      <c r="B26">
        <v>184.02039028880182</v>
      </c>
      <c r="C26">
        <v>3</v>
      </c>
    </row>
    <row r="27" spans="1:3">
      <c r="A27" s="9">
        <v>27</v>
      </c>
      <c r="B27">
        <v>122.34679292478113</v>
      </c>
      <c r="C27">
        <v>2</v>
      </c>
    </row>
    <row r="28" spans="1:3">
      <c r="A28" s="9">
        <v>28</v>
      </c>
      <c r="B28">
        <v>183.70890649476902</v>
      </c>
      <c r="C28">
        <v>3</v>
      </c>
    </row>
    <row r="29" spans="1:3">
      <c r="A29" s="9">
        <v>30</v>
      </c>
      <c r="B29">
        <v>122.36721708831993</v>
      </c>
      <c r="C29">
        <v>2</v>
      </c>
    </row>
    <row r="30" spans="1:3">
      <c r="A30" s="9">
        <v>31</v>
      </c>
      <c r="B30">
        <v>183.21685107726864</v>
      </c>
      <c r="C30">
        <v>3</v>
      </c>
    </row>
    <row r="31" spans="1:3">
      <c r="A31" s="9">
        <v>32</v>
      </c>
      <c r="B31">
        <v>61.05263157894737</v>
      </c>
      <c r="C31">
        <v>1</v>
      </c>
    </row>
    <row r="32" spans="1:3">
      <c r="A32" s="9">
        <v>33</v>
      </c>
      <c r="B32">
        <v>182.92260342414224</v>
      </c>
      <c r="C32">
        <v>3</v>
      </c>
    </row>
    <row r="33" spans="1:3">
      <c r="A33" s="9">
        <v>34</v>
      </c>
      <c r="B33">
        <v>60.954063604240282</v>
      </c>
      <c r="C33">
        <v>1</v>
      </c>
    </row>
    <row r="34" spans="1:3">
      <c r="A34" s="9">
        <v>35</v>
      </c>
      <c r="B34">
        <v>61.06194690265486</v>
      </c>
      <c r="C34">
        <v>1</v>
      </c>
    </row>
    <row r="35" spans="1:3">
      <c r="A35" s="9">
        <v>36</v>
      </c>
      <c r="B35">
        <v>244.26699957477271</v>
      </c>
      <c r="C35">
        <v>4</v>
      </c>
    </row>
    <row r="36" spans="1:3">
      <c r="A36" s="9">
        <v>37</v>
      </c>
      <c r="B36">
        <v>183.54179089644208</v>
      </c>
      <c r="C36">
        <v>3</v>
      </c>
    </row>
    <row r="37" spans="1:3">
      <c r="A37" s="9">
        <v>38</v>
      </c>
      <c r="B37">
        <v>183.09359674180206</v>
      </c>
      <c r="C37">
        <v>3</v>
      </c>
    </row>
    <row r="38" spans="1:3">
      <c r="A38" s="9">
        <v>39</v>
      </c>
      <c r="B38">
        <v>61.191335740072205</v>
      </c>
      <c r="C38">
        <v>1</v>
      </c>
    </row>
    <row r="39" spans="1:3">
      <c r="A39" s="9">
        <v>42</v>
      </c>
      <c r="B39">
        <v>61.121157323688969</v>
      </c>
      <c r="C39">
        <v>1</v>
      </c>
    </row>
    <row r="40" spans="1:3">
      <c r="A40" s="9">
        <v>44</v>
      </c>
      <c r="B40">
        <v>61.231884057971023</v>
      </c>
      <c r="C40">
        <v>1</v>
      </c>
    </row>
    <row r="41" spans="1:3">
      <c r="A41" s="9">
        <v>45</v>
      </c>
      <c r="B41">
        <v>183.272470021689</v>
      </c>
      <c r="C41">
        <v>3</v>
      </c>
    </row>
    <row r="42" spans="1:3">
      <c r="A42" s="9">
        <v>46</v>
      </c>
      <c r="B42">
        <v>182.81542980965179</v>
      </c>
      <c r="C42">
        <v>3</v>
      </c>
    </row>
    <row r="43" spans="1:3">
      <c r="A43" s="9">
        <v>48</v>
      </c>
      <c r="B43">
        <v>183.08864774558006</v>
      </c>
      <c r="C43">
        <v>3</v>
      </c>
    </row>
    <row r="44" spans="1:3">
      <c r="A44" s="9">
        <v>49</v>
      </c>
      <c r="B44">
        <v>244.40317730589265</v>
      </c>
      <c r="C44">
        <v>4</v>
      </c>
    </row>
    <row r="45" spans="1:3">
      <c r="A45" s="9">
        <v>51</v>
      </c>
      <c r="B45">
        <v>244.7349319104726</v>
      </c>
      <c r="C45">
        <v>4</v>
      </c>
    </row>
    <row r="46" spans="1:3">
      <c r="A46" s="9">
        <v>52</v>
      </c>
      <c r="B46">
        <v>184.42784792577814</v>
      </c>
      <c r="C46">
        <v>3</v>
      </c>
    </row>
    <row r="47" spans="1:3">
      <c r="A47" s="9">
        <v>53</v>
      </c>
      <c r="B47">
        <v>184.71706375090704</v>
      </c>
      <c r="C47">
        <v>3</v>
      </c>
    </row>
    <row r="48" spans="1:3">
      <c r="A48" s="9">
        <v>54</v>
      </c>
      <c r="B48">
        <v>185.0099317683877</v>
      </c>
      <c r="C48">
        <v>3</v>
      </c>
    </row>
    <row r="49" spans="1:3">
      <c r="A49" s="9">
        <v>55</v>
      </c>
      <c r="B49">
        <v>61.714285714285708</v>
      </c>
      <c r="C49">
        <v>1</v>
      </c>
    </row>
    <row r="50" spans="1:3">
      <c r="A50" s="9">
        <v>56</v>
      </c>
      <c r="B50">
        <v>61.832061068702295</v>
      </c>
      <c r="C50">
        <v>1</v>
      </c>
    </row>
    <row r="51" spans="1:3">
      <c r="A51" s="9">
        <v>57</v>
      </c>
      <c r="B51">
        <v>186.20735213218617</v>
      </c>
      <c r="C51">
        <v>3</v>
      </c>
    </row>
    <row r="52" spans="1:3">
      <c r="A52" s="9">
        <v>58</v>
      </c>
      <c r="B52">
        <v>187.09065032764454</v>
      </c>
      <c r="C52">
        <v>3</v>
      </c>
    </row>
    <row r="53" spans="1:3">
      <c r="A53" s="9">
        <v>59</v>
      </c>
      <c r="B53">
        <v>62.475822050290134</v>
      </c>
      <c r="C53">
        <v>1</v>
      </c>
    </row>
    <row r="54" spans="1:3">
      <c r="A54" s="9">
        <v>60</v>
      </c>
      <c r="B54">
        <v>62.403100775193799</v>
      </c>
      <c r="C54">
        <v>1</v>
      </c>
    </row>
    <row r="55" spans="1:3">
      <c r="A55" s="9">
        <v>61</v>
      </c>
      <c r="B55">
        <v>187.35380135369002</v>
      </c>
      <c r="C55">
        <v>3</v>
      </c>
    </row>
    <row r="56" spans="1:3">
      <c r="A56" s="9">
        <v>63</v>
      </c>
      <c r="B56">
        <v>124.53560726516633</v>
      </c>
      <c r="C56">
        <v>2</v>
      </c>
    </row>
    <row r="57" spans="1:3">
      <c r="A57" s="9">
        <v>64</v>
      </c>
      <c r="B57">
        <v>124.2393774798721</v>
      </c>
      <c r="C57">
        <v>2</v>
      </c>
    </row>
    <row r="58" spans="1:3">
      <c r="A58" s="9">
        <v>66</v>
      </c>
      <c r="B58">
        <v>248.9641039748816</v>
      </c>
      <c r="C58">
        <v>4</v>
      </c>
    </row>
    <row r="59" spans="1:3">
      <c r="A59" s="9">
        <v>68</v>
      </c>
      <c r="B59">
        <v>62.301587301587304</v>
      </c>
      <c r="C59">
        <v>1</v>
      </c>
    </row>
    <row r="60" spans="1:3">
      <c r="A60" s="9">
        <v>69</v>
      </c>
      <c r="B60">
        <v>62.226640159045722</v>
      </c>
      <c r="C60">
        <v>1</v>
      </c>
    </row>
    <row r="61" spans="1:3">
      <c r="A61" s="9">
        <v>70</v>
      </c>
      <c r="B61">
        <v>249.95069760996174</v>
      </c>
      <c r="C61">
        <v>4</v>
      </c>
    </row>
    <row r="62" spans="1:3">
      <c r="A62" s="9">
        <v>72</v>
      </c>
      <c r="B62">
        <v>62.449799196787147</v>
      </c>
      <c r="C62">
        <v>1</v>
      </c>
    </row>
    <row r="63" spans="1:3">
      <c r="A63" s="9">
        <v>73</v>
      </c>
      <c r="B63">
        <v>124.67263256961121</v>
      </c>
      <c r="C63">
        <v>2</v>
      </c>
    </row>
    <row r="64" spans="1:3">
      <c r="A64" s="9">
        <v>74</v>
      </c>
      <c r="B64">
        <v>124.77242056189425</v>
      </c>
      <c r="C64">
        <v>2</v>
      </c>
    </row>
    <row r="65" spans="1:3">
      <c r="A65" s="9">
        <v>75</v>
      </c>
      <c r="B65">
        <v>124.87301901416581</v>
      </c>
      <c r="C65">
        <v>2</v>
      </c>
    </row>
    <row r="66" spans="1:3">
      <c r="A66" s="9">
        <v>76</v>
      </c>
      <c r="B66">
        <v>124.56669021987614</v>
      </c>
      <c r="C66">
        <v>2</v>
      </c>
    </row>
    <row r="67" spans="1:3">
      <c r="A67" s="9">
        <v>77</v>
      </c>
      <c r="B67">
        <v>62.372188139059304</v>
      </c>
      <c r="C67">
        <v>1</v>
      </c>
    </row>
    <row r="68" spans="1:3">
      <c r="A68" s="9">
        <v>78</v>
      </c>
      <c r="B68">
        <v>124.92299794661191</v>
      </c>
      <c r="C68">
        <v>2</v>
      </c>
    </row>
    <row r="69" spans="1:3">
      <c r="A69" s="9">
        <v>79</v>
      </c>
      <c r="B69">
        <v>62.345679012345677</v>
      </c>
      <c r="C69">
        <v>1</v>
      </c>
    </row>
    <row r="70" spans="1:3">
      <c r="A70" s="9">
        <v>80</v>
      </c>
      <c r="B70">
        <v>124.66473545198943</v>
      </c>
      <c r="C70">
        <v>2</v>
      </c>
    </row>
    <row r="71" spans="1:3">
      <c r="A71" s="9">
        <v>81</v>
      </c>
      <c r="B71">
        <v>62.318840579710141</v>
      </c>
      <c r="C71">
        <v>1</v>
      </c>
    </row>
    <row r="72" spans="1:3">
      <c r="A72" s="9">
        <v>82</v>
      </c>
      <c r="B72">
        <v>124.40282606257711</v>
      </c>
      <c r="C72">
        <v>2</v>
      </c>
    </row>
    <row r="73" spans="1:3">
      <c r="A73" s="9">
        <v>83</v>
      </c>
      <c r="B73">
        <v>247.85705862280258</v>
      </c>
      <c r="C73">
        <v>4</v>
      </c>
    </row>
    <row r="74" spans="1:3">
      <c r="A74" s="9">
        <v>84</v>
      </c>
      <c r="B74">
        <v>185.05229193609489</v>
      </c>
      <c r="C74">
        <v>3</v>
      </c>
    </row>
    <row r="75" spans="1:3">
      <c r="A75" s="9">
        <v>85</v>
      </c>
      <c r="B75">
        <v>247.08358915166866</v>
      </c>
      <c r="C75">
        <v>4</v>
      </c>
    </row>
    <row r="76" spans="1:3">
      <c r="A76" s="9">
        <v>86</v>
      </c>
      <c r="B76">
        <v>246.63082421394898</v>
      </c>
      <c r="C76">
        <v>4</v>
      </c>
    </row>
    <row r="77" spans="1:3">
      <c r="A77" s="9">
        <v>87</v>
      </c>
      <c r="B77">
        <v>123.57387838338894</v>
      </c>
      <c r="C77">
        <v>2</v>
      </c>
    </row>
    <row r="78" spans="1:3">
      <c r="A78" s="9">
        <v>89</v>
      </c>
      <c r="B78">
        <v>185.06457607739918</v>
      </c>
      <c r="C78">
        <v>3</v>
      </c>
    </row>
    <row r="79" spans="1:3">
      <c r="A79" s="9">
        <v>90</v>
      </c>
      <c r="B79">
        <v>123.17751255091409</v>
      </c>
      <c r="C79">
        <v>2</v>
      </c>
    </row>
    <row r="80" spans="1:3">
      <c r="A80" s="9">
        <v>91</v>
      </c>
      <c r="B80">
        <v>123.71599476364749</v>
      </c>
      <c r="C80">
        <v>2</v>
      </c>
    </row>
    <row r="81" spans="1:3">
      <c r="A81" s="9">
        <v>92</v>
      </c>
      <c r="B81">
        <v>186.59400746868866</v>
      </c>
      <c r="C81">
        <v>3</v>
      </c>
    </row>
    <row r="82" spans="1:3">
      <c r="A82" s="9">
        <v>93</v>
      </c>
      <c r="B82">
        <v>124.41979722205943</v>
      </c>
      <c r="C82">
        <v>2</v>
      </c>
    </row>
    <row r="83" spans="1:3">
      <c r="A83" s="9">
        <v>94</v>
      </c>
      <c r="B83">
        <v>247.8299818323618</v>
      </c>
      <c r="C83">
        <v>4</v>
      </c>
    </row>
    <row r="84" spans="1:3">
      <c r="A84" s="9">
        <v>95</v>
      </c>
      <c r="B84">
        <v>124.07630340787111</v>
      </c>
      <c r="C84">
        <v>2</v>
      </c>
    </row>
    <row r="85" spans="1:3">
      <c r="A85" s="9">
        <v>96</v>
      </c>
      <c r="B85">
        <v>186.48610260906403</v>
      </c>
      <c r="C85">
        <v>3</v>
      </c>
    </row>
    <row r="86" spans="1:3">
      <c r="A86" s="9">
        <v>97</v>
      </c>
      <c r="B86">
        <v>186.84819848685396</v>
      </c>
      <c r="C86">
        <v>3</v>
      </c>
    </row>
    <row r="87" spans="1:3">
      <c r="A87" s="9">
        <v>98</v>
      </c>
      <c r="B87">
        <v>62.186788154897499</v>
      </c>
      <c r="C87">
        <v>1</v>
      </c>
    </row>
    <row r="88" spans="1:3">
      <c r="A88" s="9">
        <v>99</v>
      </c>
      <c r="B88">
        <v>62.328767123287676</v>
      </c>
      <c r="C88">
        <v>1</v>
      </c>
    </row>
    <row r="89" spans="1:3">
      <c r="A89" s="9">
        <v>100</v>
      </c>
      <c r="B89">
        <v>186.46749174905545</v>
      </c>
      <c r="C89">
        <v>3</v>
      </c>
    </row>
    <row r="90" spans="1:3">
      <c r="A90" s="9">
        <v>101</v>
      </c>
      <c r="B90">
        <v>62.21198156682027</v>
      </c>
      <c r="C90">
        <v>1</v>
      </c>
    </row>
    <row r="91" spans="1:3">
      <c r="A91" s="9">
        <v>102</v>
      </c>
      <c r="B91">
        <v>186.11070426990759</v>
      </c>
      <c r="C91">
        <v>3</v>
      </c>
    </row>
    <row r="92" spans="1:3">
      <c r="A92" s="9">
        <v>103</v>
      </c>
      <c r="B92">
        <v>186.01465983122145</v>
      </c>
      <c r="C92">
        <v>3</v>
      </c>
    </row>
    <row r="93" spans="1:3">
      <c r="A93" s="9">
        <v>104</v>
      </c>
      <c r="B93">
        <v>62.060889929742387</v>
      </c>
      <c r="C93">
        <v>1</v>
      </c>
    </row>
    <row r="94" spans="1:3">
      <c r="A94" s="9">
        <v>105</v>
      </c>
      <c r="B94">
        <v>247.34876441685512</v>
      </c>
      <c r="C94">
        <v>4</v>
      </c>
    </row>
    <row r="95" spans="1:3">
      <c r="A95" s="9">
        <v>106</v>
      </c>
      <c r="B95">
        <v>185.03576078921398</v>
      </c>
      <c r="C95">
        <v>3</v>
      </c>
    </row>
    <row r="96" spans="1:3">
      <c r="A96" s="9">
        <v>107</v>
      </c>
      <c r="B96">
        <v>184.68912802977522</v>
      </c>
      <c r="C96">
        <v>3</v>
      </c>
    </row>
    <row r="97" spans="1:3">
      <c r="A97" s="9">
        <v>108</v>
      </c>
      <c r="B97">
        <v>246.07965822329541</v>
      </c>
      <c r="C97">
        <v>4</v>
      </c>
    </row>
    <row r="98" spans="1:3">
      <c r="A98" s="9">
        <v>110</v>
      </c>
      <c r="B98">
        <v>184.42835924000937</v>
      </c>
      <c r="C98">
        <v>3</v>
      </c>
    </row>
    <row r="99" spans="1:3">
      <c r="A99" s="9">
        <v>111</v>
      </c>
      <c r="B99">
        <v>183.82306413731698</v>
      </c>
      <c r="C99">
        <v>3</v>
      </c>
    </row>
    <row r="100" spans="1:3">
      <c r="A100" s="9">
        <v>112</v>
      </c>
      <c r="B100">
        <v>183.21001202473832</v>
      </c>
      <c r="C100">
        <v>3</v>
      </c>
    </row>
    <row r="101" spans="1:3">
      <c r="A101" s="9">
        <v>113</v>
      </c>
      <c r="B101">
        <v>183.58160928924679</v>
      </c>
      <c r="C101">
        <v>3</v>
      </c>
    </row>
    <row r="102" spans="1:3">
      <c r="A102" s="9">
        <v>115</v>
      </c>
      <c r="B102">
        <v>61</v>
      </c>
      <c r="C102">
        <v>1</v>
      </c>
    </row>
    <row r="103" spans="1:3">
      <c r="A103" s="9">
        <v>116</v>
      </c>
      <c r="B103">
        <v>121.9575320210073</v>
      </c>
      <c r="C103">
        <v>2</v>
      </c>
    </row>
    <row r="104" spans="1:3">
      <c r="A104" s="9">
        <v>117</v>
      </c>
      <c r="B104">
        <v>182.57525837078177</v>
      </c>
      <c r="C104">
        <v>3</v>
      </c>
    </row>
    <row r="105" spans="1:3">
      <c r="A105" s="9">
        <v>119</v>
      </c>
      <c r="B105">
        <v>242.03693485427044</v>
      </c>
      <c r="C105">
        <v>4</v>
      </c>
    </row>
    <row r="106" spans="1:3">
      <c r="A106" s="9">
        <v>120</v>
      </c>
      <c r="B106">
        <v>120.41065190165446</v>
      </c>
      <c r="C106">
        <v>2</v>
      </c>
    </row>
    <row r="107" spans="1:3">
      <c r="A107" s="9">
        <v>121</v>
      </c>
      <c r="B107">
        <v>240.361891681011</v>
      </c>
      <c r="C107">
        <v>4</v>
      </c>
    </row>
    <row r="108" spans="1:3">
      <c r="A108" s="9">
        <v>122</v>
      </c>
      <c r="B108">
        <v>60.15625</v>
      </c>
      <c r="C108">
        <v>1</v>
      </c>
    </row>
    <row r="109" spans="1:3">
      <c r="A109" s="9">
        <v>124</v>
      </c>
      <c r="B109">
        <v>120.26164340491846</v>
      </c>
      <c r="C109">
        <v>2</v>
      </c>
    </row>
    <row r="110" spans="1:3">
      <c r="A110" s="9">
        <v>125</v>
      </c>
      <c r="B110">
        <v>180.26329822228686</v>
      </c>
      <c r="C110">
        <v>3</v>
      </c>
    </row>
    <row r="111" spans="1:3">
      <c r="A111" s="9">
        <v>126</v>
      </c>
      <c r="B111">
        <v>239.84028518694697</v>
      </c>
      <c r="C111">
        <v>4</v>
      </c>
    </row>
    <row r="112" spans="1:3">
      <c r="A112" s="9">
        <v>128</v>
      </c>
      <c r="B112">
        <v>119.67857091654599</v>
      </c>
      <c r="C112">
        <v>2</v>
      </c>
    </row>
    <row r="113" spans="1:3">
      <c r="A113" s="9">
        <v>129</v>
      </c>
      <c r="B113">
        <v>178.97588223820725</v>
      </c>
      <c r="C113">
        <v>3</v>
      </c>
    </row>
    <row r="114" spans="1:3">
      <c r="A114" s="9">
        <v>131</v>
      </c>
      <c r="B114">
        <v>237.82162821664633</v>
      </c>
      <c r="C114">
        <v>4</v>
      </c>
    </row>
    <row r="115" spans="1:3">
      <c r="A115" s="9">
        <v>134</v>
      </c>
      <c r="B115">
        <v>119.06743940990516</v>
      </c>
      <c r="C115">
        <v>2</v>
      </c>
    </row>
    <row r="116" spans="1:3">
      <c r="A116" s="9">
        <v>135</v>
      </c>
      <c r="B116">
        <v>59.504132231404959</v>
      </c>
      <c r="C116">
        <v>1</v>
      </c>
    </row>
    <row r="117" spans="1:3">
      <c r="A117" s="9">
        <v>136</v>
      </c>
      <c r="B117">
        <v>237.1701865765084</v>
      </c>
      <c r="C117">
        <v>4</v>
      </c>
    </row>
    <row r="118" spans="1:3">
      <c r="A118" s="9">
        <v>137</v>
      </c>
      <c r="B118">
        <v>238.99253292428639</v>
      </c>
      <c r="C118">
        <v>4</v>
      </c>
    </row>
    <row r="119" spans="1:3">
      <c r="A119" s="9">
        <v>139</v>
      </c>
      <c r="B119">
        <v>241.13556799433303</v>
      </c>
      <c r="C119">
        <v>4</v>
      </c>
    </row>
    <row r="120" spans="1:3">
      <c r="A120" s="9">
        <v>140</v>
      </c>
      <c r="B120">
        <v>60.285714285714285</v>
      </c>
      <c r="C120">
        <v>1</v>
      </c>
    </row>
    <row r="121" spans="1:3">
      <c r="A121" s="9">
        <v>142</v>
      </c>
      <c r="B121">
        <v>181.89755305662197</v>
      </c>
      <c r="C121">
        <v>3</v>
      </c>
    </row>
    <row r="122" spans="1:3">
      <c r="A122" s="9">
        <v>143</v>
      </c>
      <c r="B122">
        <v>121.27335176342464</v>
      </c>
      <c r="C122">
        <v>2</v>
      </c>
    </row>
    <row r="123" spans="1:3">
      <c r="A123" s="9">
        <v>144</v>
      </c>
      <c r="B123">
        <v>60.465116279069761</v>
      </c>
      <c r="C123">
        <v>1</v>
      </c>
    </row>
    <row r="124" spans="1:3">
      <c r="A124" s="9">
        <v>146</v>
      </c>
      <c r="B124">
        <v>240.99519205590497</v>
      </c>
      <c r="C124">
        <v>4</v>
      </c>
    </row>
    <row r="125" spans="1:3">
      <c r="A125" s="9">
        <v>148</v>
      </c>
      <c r="B125">
        <v>60.176991150442483</v>
      </c>
      <c r="C125">
        <v>1</v>
      </c>
    </row>
    <row r="126" spans="1:3">
      <c r="A126" s="9">
        <v>149</v>
      </c>
      <c r="B126">
        <v>180.11887203567184</v>
      </c>
      <c r="C126">
        <v>3</v>
      </c>
    </row>
    <row r="127" spans="1:3">
      <c r="A127" s="9">
        <v>150</v>
      </c>
      <c r="B127">
        <v>241.98037871421369</v>
      </c>
      <c r="C127">
        <v>4</v>
      </c>
    </row>
    <row r="128" spans="1:3">
      <c r="A128" s="9">
        <v>151</v>
      </c>
      <c r="B128">
        <v>244.00887916668202</v>
      </c>
      <c r="C128">
        <v>4</v>
      </c>
    </row>
    <row r="129" spans="1:3">
      <c r="A129" s="9">
        <v>152</v>
      </c>
      <c r="B129">
        <v>122.5117727622371</v>
      </c>
      <c r="C129">
        <v>2</v>
      </c>
    </row>
    <row r="130" spans="1:3">
      <c r="A130" s="9">
        <v>153</v>
      </c>
      <c r="B130">
        <v>184.260429437932</v>
      </c>
      <c r="C130">
        <v>3</v>
      </c>
    </row>
    <row r="131" spans="1:3">
      <c r="A131" s="9">
        <v>154</v>
      </c>
      <c r="B131">
        <v>246.17938563413404</v>
      </c>
      <c r="C131">
        <v>4</v>
      </c>
    </row>
    <row r="132" spans="1:3">
      <c r="A132" s="9">
        <v>155</v>
      </c>
      <c r="B132">
        <v>61.635220125786162</v>
      </c>
      <c r="C132">
        <v>1</v>
      </c>
    </row>
    <row r="133" spans="1:3">
      <c r="A133" s="9">
        <v>156</v>
      </c>
      <c r="B133">
        <v>61.514195583596212</v>
      </c>
      <c r="C133">
        <v>1</v>
      </c>
    </row>
    <row r="134" spans="1:3">
      <c r="A134" s="9">
        <v>158</v>
      </c>
      <c r="B134">
        <v>123.61362266425557</v>
      </c>
      <c r="C134">
        <v>2</v>
      </c>
    </row>
    <row r="135" spans="1:3">
      <c r="A135" s="9">
        <v>160</v>
      </c>
      <c r="B135">
        <v>62.101910828025474</v>
      </c>
      <c r="C135">
        <v>1</v>
      </c>
    </row>
    <row r="136" spans="1:3">
      <c r="A136" s="9">
        <v>161</v>
      </c>
      <c r="B136">
        <v>186.53973907227865</v>
      </c>
      <c r="C136">
        <v>3</v>
      </c>
    </row>
    <row r="137" spans="1:3">
      <c r="A137" s="9">
        <v>162</v>
      </c>
      <c r="B137">
        <v>250.89260385606426</v>
      </c>
      <c r="C137">
        <v>4</v>
      </c>
    </row>
    <row r="138" spans="1:3">
      <c r="A138" s="9">
        <v>163</v>
      </c>
      <c r="B138">
        <v>62.745098039215684</v>
      </c>
      <c r="C138">
        <v>1</v>
      </c>
    </row>
    <row r="139" spans="1:3">
      <c r="A139" s="9">
        <v>164</v>
      </c>
      <c r="B139">
        <v>126.10871440897326</v>
      </c>
      <c r="C139">
        <v>2</v>
      </c>
    </row>
    <row r="140" spans="1:3">
      <c r="A140" s="9">
        <v>165</v>
      </c>
      <c r="B140">
        <v>251.40757525621655</v>
      </c>
      <c r="C140">
        <v>4</v>
      </c>
    </row>
    <row r="141" spans="1:3">
      <c r="A141" s="9">
        <v>166</v>
      </c>
      <c r="B141">
        <v>62.541806020066893</v>
      </c>
      <c r="C141">
        <v>1</v>
      </c>
    </row>
    <row r="142" spans="1:3">
      <c r="A142" s="9">
        <v>167</v>
      </c>
      <c r="B142">
        <v>62.416107382550337</v>
      </c>
      <c r="C142">
        <v>1</v>
      </c>
    </row>
    <row r="143" spans="1:3">
      <c r="A143" s="9">
        <v>168</v>
      </c>
      <c r="B143">
        <v>62.289562289562298</v>
      </c>
      <c r="C143">
        <v>1</v>
      </c>
    </row>
    <row r="144" spans="1:3">
      <c r="A144" s="9">
        <v>169</v>
      </c>
      <c r="B144">
        <v>251.27696621542117</v>
      </c>
      <c r="C144">
        <v>4</v>
      </c>
    </row>
    <row r="145" spans="1:3">
      <c r="A145" s="9">
        <v>170</v>
      </c>
      <c r="B145">
        <v>189.68985320925188</v>
      </c>
      <c r="C145">
        <v>3</v>
      </c>
    </row>
    <row r="146" spans="1:3">
      <c r="A146" s="9">
        <v>171</v>
      </c>
      <c r="B146">
        <v>188.54077080377823</v>
      </c>
      <c r="C146">
        <v>3</v>
      </c>
    </row>
    <row r="147" spans="1:3">
      <c r="A147" s="9">
        <v>172</v>
      </c>
      <c r="B147">
        <v>249.91166621156907</v>
      </c>
      <c r="C147">
        <v>4</v>
      </c>
    </row>
    <row r="148" spans="1:3">
      <c r="A148" s="9">
        <v>173</v>
      </c>
      <c r="B148">
        <v>252.05200428049622</v>
      </c>
      <c r="C148">
        <v>4</v>
      </c>
    </row>
    <row r="149" spans="1:3">
      <c r="A149" s="9">
        <v>174</v>
      </c>
      <c r="B149">
        <v>125.76552476430408</v>
      </c>
      <c r="C149">
        <v>2</v>
      </c>
    </row>
    <row r="150" spans="1:3">
      <c r="A150" s="9">
        <v>175</v>
      </c>
      <c r="B150">
        <v>125.22661396574441</v>
      </c>
      <c r="C150">
        <v>2</v>
      </c>
    </row>
    <row r="151" spans="1:3">
      <c r="A151" s="9">
        <v>176</v>
      </c>
      <c r="B151">
        <v>251.00935963019649</v>
      </c>
      <c r="C151">
        <v>4</v>
      </c>
    </row>
    <row r="152" spans="1:3">
      <c r="A152" s="9">
        <v>177</v>
      </c>
      <c r="B152">
        <v>126.1599889852678</v>
      </c>
      <c r="C152">
        <v>2</v>
      </c>
    </row>
    <row r="153" spans="1:3">
      <c r="A153" s="9">
        <v>178</v>
      </c>
      <c r="B153">
        <v>125.98104980714405</v>
      </c>
      <c r="C153">
        <v>2</v>
      </c>
    </row>
    <row r="154" spans="1:3">
      <c r="A154" s="9">
        <v>179</v>
      </c>
      <c r="B154">
        <v>62.781954887218049</v>
      </c>
      <c r="C154">
        <v>1</v>
      </c>
    </row>
    <row r="155" spans="1:3">
      <c r="A155" s="9">
        <v>180</v>
      </c>
      <c r="B155">
        <v>251.23503913494267</v>
      </c>
      <c r="C155">
        <v>4</v>
      </c>
    </row>
    <row r="156" spans="1:3">
      <c r="A156" s="9">
        <v>182</v>
      </c>
      <c r="B156">
        <v>126.29531388152077</v>
      </c>
      <c r="C156">
        <v>2</v>
      </c>
    </row>
    <row r="157" spans="1:3">
      <c r="A157" s="9">
        <v>183</v>
      </c>
      <c r="B157">
        <v>188.3709750056687</v>
      </c>
      <c r="C157">
        <v>3</v>
      </c>
    </row>
    <row r="158" spans="1:3">
      <c r="A158" s="9">
        <v>184</v>
      </c>
      <c r="B158">
        <v>249.11300155429885</v>
      </c>
      <c r="C158">
        <v>4</v>
      </c>
    </row>
    <row r="159" spans="1:3">
      <c r="A159" s="9">
        <v>185</v>
      </c>
      <c r="B159">
        <v>248.30037128213098</v>
      </c>
      <c r="C159">
        <v>4</v>
      </c>
    </row>
    <row r="160" spans="1:3">
      <c r="A160" s="9">
        <v>186</v>
      </c>
      <c r="B160">
        <v>61.693548387096776</v>
      </c>
      <c r="C160">
        <v>1</v>
      </c>
    </row>
    <row r="161" spans="1:3">
      <c r="A161" s="9">
        <v>187</v>
      </c>
      <c r="B161">
        <v>246.84497838750423</v>
      </c>
      <c r="C161">
        <v>4</v>
      </c>
    </row>
    <row r="162" spans="1:3">
      <c r="A162" s="9">
        <v>188</v>
      </c>
      <c r="B162">
        <v>185.94911491093225</v>
      </c>
      <c r="C162">
        <v>3</v>
      </c>
    </row>
    <row r="163" spans="1:3">
      <c r="A163" s="9">
        <v>189</v>
      </c>
      <c r="B163">
        <v>248.21820993107798</v>
      </c>
      <c r="C163">
        <v>4</v>
      </c>
    </row>
    <row r="164" spans="1:3">
      <c r="A164" s="9">
        <v>190</v>
      </c>
      <c r="B164">
        <v>246.90757108499318</v>
      </c>
      <c r="C164">
        <v>4</v>
      </c>
    </row>
    <row r="165" spans="1:3">
      <c r="A165" s="9">
        <v>191</v>
      </c>
      <c r="B165">
        <v>123.97372742200329</v>
      </c>
      <c r="C165">
        <v>2</v>
      </c>
    </row>
    <row r="166" spans="1:3">
      <c r="A166" s="9">
        <v>192</v>
      </c>
      <c r="B166">
        <v>246.82729691025992</v>
      </c>
      <c r="C166">
        <v>4</v>
      </c>
    </row>
    <row r="167" spans="1:3">
      <c r="A167" s="9">
        <v>193</v>
      </c>
      <c r="B167">
        <v>246.76680086826323</v>
      </c>
      <c r="C167">
        <v>4</v>
      </c>
    </row>
    <row r="168" spans="1:3">
      <c r="A168" s="9">
        <v>194</v>
      </c>
      <c r="B168">
        <v>244.89808508744852</v>
      </c>
      <c r="C168">
        <v>4</v>
      </c>
    </row>
    <row r="169" spans="1:3">
      <c r="A169" s="9">
        <v>196</v>
      </c>
      <c r="B169">
        <v>183.41060800368288</v>
      </c>
      <c r="C169">
        <v>3</v>
      </c>
    </row>
    <row r="170" spans="1:3">
      <c r="A170" s="9">
        <v>198</v>
      </c>
      <c r="B170">
        <v>244.02710628270643</v>
      </c>
      <c r="C170">
        <v>4</v>
      </c>
    </row>
    <row r="171" spans="1:3">
      <c r="A171" s="9">
        <v>199</v>
      </c>
      <c r="B171">
        <v>61.137440758293835</v>
      </c>
      <c r="C171">
        <v>1</v>
      </c>
    </row>
    <row r="172" spans="1:3">
      <c r="A172" s="9">
        <v>200</v>
      </c>
      <c r="B172">
        <v>245.08293987985064</v>
      </c>
      <c r="C172">
        <v>4</v>
      </c>
    </row>
    <row r="173" spans="1:3">
      <c r="A173" s="9">
        <v>201</v>
      </c>
      <c r="B173">
        <v>245.96476455476406</v>
      </c>
      <c r="C173">
        <v>4</v>
      </c>
    </row>
    <row r="174" spans="1:3">
      <c r="A174" s="9">
        <v>202</v>
      </c>
      <c r="B174">
        <v>123.57273040736908</v>
      </c>
      <c r="C174">
        <v>2</v>
      </c>
    </row>
    <row r="175" spans="1:3">
      <c r="A175" s="9">
        <v>203</v>
      </c>
      <c r="B175">
        <v>184.42269427947818</v>
      </c>
      <c r="C175">
        <v>3</v>
      </c>
    </row>
    <row r="176" spans="1:3">
      <c r="A176" s="9">
        <v>204</v>
      </c>
      <c r="B176">
        <v>184.69447521296686</v>
      </c>
      <c r="C176">
        <v>3</v>
      </c>
    </row>
    <row r="177" spans="1:3">
      <c r="A177" s="9">
        <v>205</v>
      </c>
      <c r="B177">
        <v>122.480102558624</v>
      </c>
      <c r="C177">
        <v>2</v>
      </c>
    </row>
    <row r="178" spans="1:3">
      <c r="A178" s="9">
        <v>206</v>
      </c>
      <c r="B178">
        <v>123.23843804537522</v>
      </c>
      <c r="C178">
        <v>2</v>
      </c>
    </row>
    <row r="179" spans="1:3">
      <c r="A179" s="9">
        <v>207</v>
      </c>
      <c r="B179">
        <v>124.01002506265664</v>
      </c>
      <c r="C179">
        <v>2</v>
      </c>
    </row>
    <row r="180" spans="1:3">
      <c r="A180" s="9">
        <v>208</v>
      </c>
      <c r="B180">
        <v>246.64903247365197</v>
      </c>
      <c r="C180">
        <v>4</v>
      </c>
    </row>
    <row r="181" spans="1:3">
      <c r="A181" s="9">
        <v>209</v>
      </c>
      <c r="B181">
        <v>184.70013889650383</v>
      </c>
      <c r="C181">
        <v>3</v>
      </c>
    </row>
    <row r="182" spans="1:3">
      <c r="A182" s="9">
        <v>210</v>
      </c>
      <c r="B182">
        <v>244.00509001391401</v>
      </c>
      <c r="C182">
        <v>4</v>
      </c>
    </row>
    <row r="183" spans="1:3">
      <c r="A183" s="9">
        <v>211</v>
      </c>
      <c r="B183">
        <v>244.44298288892094</v>
      </c>
      <c r="C183">
        <v>4</v>
      </c>
    </row>
    <row r="184" spans="1:3">
      <c r="A184" s="9">
        <v>212</v>
      </c>
      <c r="B184">
        <v>183.1369013787774</v>
      </c>
      <c r="C184">
        <v>3</v>
      </c>
    </row>
    <row r="185" spans="1:3">
      <c r="A185" s="9">
        <v>214</v>
      </c>
      <c r="B185">
        <v>183.43273995988926</v>
      </c>
      <c r="C185">
        <v>3</v>
      </c>
    </row>
    <row r="186" spans="1:3">
      <c r="A186" s="9">
        <v>215</v>
      </c>
      <c r="B186">
        <v>61.077844311377248</v>
      </c>
      <c r="C186">
        <v>1</v>
      </c>
    </row>
    <row r="187" spans="1:3">
      <c r="A187" s="9">
        <v>216</v>
      </c>
      <c r="B187">
        <v>182.42504385613407</v>
      </c>
      <c r="C187">
        <v>3</v>
      </c>
    </row>
    <row r="188" spans="1:3">
      <c r="A188" s="9">
        <v>217</v>
      </c>
      <c r="B188">
        <v>182.71687264752083</v>
      </c>
      <c r="C188">
        <v>3</v>
      </c>
    </row>
    <row r="189" spans="1:3">
      <c r="A189" s="9">
        <v>218</v>
      </c>
      <c r="B189">
        <v>121.00235849056602</v>
      </c>
      <c r="C189">
        <v>2</v>
      </c>
    </row>
    <row r="190" spans="1:3">
      <c r="A190" s="9">
        <v>219</v>
      </c>
      <c r="B190">
        <v>183.44445202463424</v>
      </c>
      <c r="C190">
        <v>3</v>
      </c>
    </row>
    <row r="191" spans="1:3">
      <c r="A191" s="9">
        <v>223</v>
      </c>
      <c r="B191">
        <v>61.935483870967744</v>
      </c>
      <c r="C191">
        <v>1</v>
      </c>
    </row>
    <row r="192" spans="1:3">
      <c r="A192" s="9">
        <v>224</v>
      </c>
      <c r="B192">
        <v>61.688311688311693</v>
      </c>
      <c r="C192">
        <v>1</v>
      </c>
    </row>
    <row r="193" spans="1:3">
      <c r="A193" s="9">
        <v>226</v>
      </c>
      <c r="B193">
        <v>61.437908496732028</v>
      </c>
      <c r="C193">
        <v>1</v>
      </c>
    </row>
    <row r="194" spans="1:3">
      <c r="A194" s="9">
        <v>229</v>
      </c>
      <c r="B194">
        <v>61.184210526315788</v>
      </c>
      <c r="C194">
        <v>1</v>
      </c>
    </row>
    <row r="195" spans="1:3">
      <c r="A195" s="9">
        <v>230</v>
      </c>
      <c r="B195">
        <v>244.80737362100976</v>
      </c>
      <c r="C195">
        <v>4</v>
      </c>
    </row>
    <row r="196" spans="1:3">
      <c r="A196" s="9">
        <v>231</v>
      </c>
      <c r="B196">
        <v>246.74284648515368</v>
      </c>
      <c r="C196">
        <v>4</v>
      </c>
    </row>
    <row r="197" spans="1:3">
      <c r="A197" s="9">
        <v>232</v>
      </c>
      <c r="B197">
        <v>185.9117208832522</v>
      </c>
      <c r="C197">
        <v>3</v>
      </c>
    </row>
    <row r="198" spans="1:3">
      <c r="A198" s="9">
        <v>234</v>
      </c>
      <c r="B198">
        <v>245.48772207695148</v>
      </c>
      <c r="C198">
        <v>4</v>
      </c>
    </row>
    <row r="199" spans="1:3">
      <c r="A199" s="9">
        <v>235</v>
      </c>
      <c r="B199">
        <v>247.58136195038369</v>
      </c>
      <c r="C199">
        <v>4</v>
      </c>
    </row>
    <row r="200" spans="1:3">
      <c r="A200" s="9">
        <v>236</v>
      </c>
      <c r="B200">
        <v>185.50338974003097</v>
      </c>
      <c r="C200">
        <v>3</v>
      </c>
    </row>
    <row r="201" spans="1:3">
      <c r="A201" s="9">
        <v>237</v>
      </c>
      <c r="B201">
        <v>123.73425387596899</v>
      </c>
      <c r="C201">
        <v>2</v>
      </c>
    </row>
    <row r="202" spans="1:3">
      <c r="A202" s="9">
        <v>238</v>
      </c>
      <c r="B202">
        <v>243.81230491349874</v>
      </c>
      <c r="C202">
        <v>4</v>
      </c>
    </row>
    <row r="203" spans="1:3">
      <c r="A203" s="9">
        <v>239</v>
      </c>
      <c r="B203">
        <v>181.96192597341229</v>
      </c>
      <c r="C203">
        <v>3</v>
      </c>
    </row>
    <row r="204" spans="1:3">
      <c r="A204" s="9">
        <v>240</v>
      </c>
      <c r="B204">
        <v>181.50702653942932</v>
      </c>
      <c r="C204">
        <v>3</v>
      </c>
    </row>
    <row r="205" spans="1:3">
      <c r="A205" s="9">
        <v>241</v>
      </c>
      <c r="B205">
        <v>183.62978767026743</v>
      </c>
      <c r="C205">
        <v>3</v>
      </c>
    </row>
    <row r="206" spans="1:3">
      <c r="A206" s="9">
        <v>242</v>
      </c>
      <c r="B206">
        <v>123.35041142679708</v>
      </c>
      <c r="C206">
        <v>2</v>
      </c>
    </row>
    <row r="207" spans="1:3">
      <c r="A207" s="9">
        <v>243</v>
      </c>
      <c r="B207">
        <v>62.5</v>
      </c>
      <c r="C207">
        <v>1</v>
      </c>
    </row>
    <row r="208" spans="1:3">
      <c r="A208" s="9">
        <v>245</v>
      </c>
      <c r="B208">
        <v>125.7903357903358</v>
      </c>
      <c r="C208">
        <v>2</v>
      </c>
    </row>
    <row r="209" spans="1:3">
      <c r="A209" s="9">
        <v>246</v>
      </c>
      <c r="B209">
        <v>254.89398644785214</v>
      </c>
      <c r="C209">
        <v>4</v>
      </c>
    </row>
    <row r="210" spans="1:3">
      <c r="A210" s="9">
        <v>249</v>
      </c>
      <c r="B210">
        <v>64.761904761904759</v>
      </c>
      <c r="C210">
        <v>1</v>
      </c>
    </row>
    <row r="211" spans="1:3">
      <c r="A211" s="9">
        <v>250</v>
      </c>
      <c r="B211">
        <v>195.13904142687693</v>
      </c>
      <c r="C211">
        <v>3</v>
      </c>
    </row>
    <row r="212" spans="1:3">
      <c r="A212" s="9">
        <v>253</v>
      </c>
      <c r="B212">
        <v>64.356435643564353</v>
      </c>
      <c r="C212">
        <v>1</v>
      </c>
    </row>
    <row r="213" spans="1:3">
      <c r="A213" s="9">
        <v>254</v>
      </c>
      <c r="B213">
        <v>191.9220779220779</v>
      </c>
      <c r="C213">
        <v>3</v>
      </c>
    </row>
    <row r="214" spans="1:3">
      <c r="A214" s="9">
        <v>255</v>
      </c>
      <c r="B214">
        <v>191.66971875565201</v>
      </c>
      <c r="C214">
        <v>3</v>
      </c>
    </row>
    <row r="215" spans="1:3">
      <c r="A215" s="9">
        <v>256</v>
      </c>
      <c r="B215">
        <v>128.34591626630061</v>
      </c>
      <c r="C215">
        <v>2</v>
      </c>
    </row>
    <row r="216" spans="1:3">
      <c r="A216" s="9">
        <v>257</v>
      </c>
      <c r="B216">
        <v>65.217391304347828</v>
      </c>
      <c r="C216">
        <v>1</v>
      </c>
    </row>
    <row r="217" spans="1:3">
      <c r="A217" s="9">
        <v>258</v>
      </c>
      <c r="B217">
        <v>193.32455309983399</v>
      </c>
      <c r="C217">
        <v>3</v>
      </c>
    </row>
    <row r="218" spans="1:3">
      <c r="A218" s="9">
        <v>259</v>
      </c>
      <c r="B218">
        <v>253.17486388008581</v>
      </c>
      <c r="C218">
        <v>4</v>
      </c>
    </row>
    <row r="219" spans="1:3">
      <c r="A219" s="9">
        <v>260</v>
      </c>
      <c r="B219">
        <v>195.19961378615511</v>
      </c>
      <c r="C219">
        <v>3</v>
      </c>
    </row>
    <row r="220" spans="1:3">
      <c r="A220" s="9">
        <v>263</v>
      </c>
      <c r="B220">
        <v>130.4320987654321</v>
      </c>
      <c r="C220">
        <v>2</v>
      </c>
    </row>
    <row r="221" spans="1:3">
      <c r="A221" s="9">
        <v>265</v>
      </c>
      <c r="B221">
        <v>264.51269139477</v>
      </c>
      <c r="C221">
        <v>4</v>
      </c>
    </row>
    <row r="222" spans="1:3">
      <c r="A222" s="9">
        <v>267</v>
      </c>
      <c r="B222">
        <v>130.19819819819821</v>
      </c>
      <c r="C222">
        <v>2</v>
      </c>
    </row>
    <row r="223" spans="1:3">
      <c r="A223" s="9">
        <v>269</v>
      </c>
      <c r="B223">
        <v>128.27245053272452</v>
      </c>
      <c r="C223">
        <v>2</v>
      </c>
    </row>
    <row r="224" spans="1:3">
      <c r="A224" s="9">
        <v>271</v>
      </c>
      <c r="B224">
        <v>130.50301810865193</v>
      </c>
      <c r="C224">
        <v>2</v>
      </c>
    </row>
    <row r="225" spans="1:3">
      <c r="A225" s="9">
        <v>272</v>
      </c>
      <c r="B225">
        <v>259.25389328641609</v>
      </c>
      <c r="C225">
        <v>4</v>
      </c>
    </row>
    <row r="226" spans="1:3">
      <c r="A226" s="9">
        <v>273</v>
      </c>
      <c r="B226">
        <v>66.153846153846146</v>
      </c>
      <c r="C226">
        <v>1</v>
      </c>
    </row>
    <row r="227" spans="1:3">
      <c r="A227" s="9">
        <v>274</v>
      </c>
      <c r="B227">
        <v>65.625</v>
      </c>
      <c r="C227">
        <v>1</v>
      </c>
    </row>
    <row r="228" spans="1:3">
      <c r="A228" s="9">
        <v>275</v>
      </c>
      <c r="B228">
        <v>66.666666666666657</v>
      </c>
      <c r="C228">
        <v>1</v>
      </c>
    </row>
    <row r="229" spans="1:3">
      <c r="A229" s="9">
        <v>276</v>
      </c>
      <c r="B229">
        <v>67.741935483870961</v>
      </c>
      <c r="C229">
        <v>1</v>
      </c>
    </row>
    <row r="230" spans="1:3">
      <c r="A230" s="9">
        <v>277</v>
      </c>
      <c r="B230">
        <v>68.852459016393439</v>
      </c>
      <c r="C230">
        <v>1</v>
      </c>
    </row>
    <row r="231" spans="1:3">
      <c r="A231" s="9">
        <v>278</v>
      </c>
      <c r="B231">
        <v>141.18644067796612</v>
      </c>
      <c r="C231">
        <v>2</v>
      </c>
    </row>
    <row r="232" spans="1:3">
      <c r="A232" s="9">
        <v>279</v>
      </c>
      <c r="B232">
        <v>292.10335792459205</v>
      </c>
      <c r="C232">
        <v>4</v>
      </c>
    </row>
    <row r="233" spans="1:3">
      <c r="A233" s="9">
        <v>280</v>
      </c>
      <c r="B233">
        <v>74.074074074074076</v>
      </c>
      <c r="C233">
        <v>1</v>
      </c>
    </row>
    <row r="234" spans="1:3">
      <c r="A234" s="9">
        <v>283</v>
      </c>
      <c r="B234">
        <v>219.21084834514357</v>
      </c>
      <c r="C234">
        <v>3</v>
      </c>
    </row>
    <row r="235" spans="1:3">
      <c r="A235" s="9">
        <v>284</v>
      </c>
      <c r="B235">
        <v>143.42857142857144</v>
      </c>
      <c r="C235">
        <v>2</v>
      </c>
    </row>
    <row r="236" spans="1:3">
      <c r="A236" s="9">
        <v>285</v>
      </c>
      <c r="B236">
        <v>210.61131668208449</v>
      </c>
      <c r="C236">
        <v>3</v>
      </c>
    </row>
    <row r="237" spans="1:3">
      <c r="A237" s="9">
        <v>286</v>
      </c>
      <c r="B237">
        <v>215.93140709419777</v>
      </c>
      <c r="C237">
        <v>3</v>
      </c>
    </row>
    <row r="238" spans="1:3">
      <c r="A238" s="9">
        <v>287</v>
      </c>
      <c r="B238">
        <v>144.5993031358885</v>
      </c>
      <c r="C238">
        <v>2</v>
      </c>
    </row>
    <row r="239" spans="1:3">
      <c r="A239" s="9">
        <v>288</v>
      </c>
      <c r="B239">
        <v>217.97908232118758</v>
      </c>
      <c r="C239">
        <v>3</v>
      </c>
    </row>
    <row r="240" spans="1:3">
      <c r="A240" s="9">
        <v>289</v>
      </c>
      <c r="B240">
        <v>222.25868725868725</v>
      </c>
      <c r="C240">
        <v>3</v>
      </c>
    </row>
    <row r="241" spans="1:3">
      <c r="A241" s="9">
        <v>290</v>
      </c>
      <c r="B241">
        <v>289.0994264274625</v>
      </c>
      <c r="C241">
        <v>4</v>
      </c>
    </row>
    <row r="242" spans="1:3">
      <c r="A242" s="9">
        <v>291</v>
      </c>
      <c r="B242">
        <v>138.9655172413793</v>
      </c>
      <c r="C242">
        <v>2</v>
      </c>
    </row>
    <row r="243" spans="1:3">
      <c r="A243" s="9">
        <v>292</v>
      </c>
      <c r="B243">
        <v>286.87586487586486</v>
      </c>
      <c r="C243">
        <v>4</v>
      </c>
    </row>
    <row r="244" spans="1:3">
      <c r="A244" s="9">
        <v>293</v>
      </c>
      <c r="B244">
        <v>221.64031620553362</v>
      </c>
      <c r="C244">
        <v>3</v>
      </c>
    </row>
    <row r="245" spans="1:3">
      <c r="A245" s="9">
        <v>294</v>
      </c>
      <c r="B245">
        <v>224.87468671679198</v>
      </c>
      <c r="C245">
        <v>3</v>
      </c>
    </row>
    <row r="246" spans="1:3">
      <c r="A246" s="9">
        <v>295</v>
      </c>
      <c r="B246">
        <v>321.38071895424838</v>
      </c>
      <c r="C246">
        <v>4</v>
      </c>
    </row>
    <row r="247" spans="1:3">
      <c r="A247" s="9">
        <v>296</v>
      </c>
      <c r="B247">
        <v>303.22177822177827</v>
      </c>
      <c r="C247">
        <v>4</v>
      </c>
    </row>
    <row r="248" spans="1:3">
      <c r="A248" s="9">
        <v>297</v>
      </c>
      <c r="B248">
        <v>232.77777777777777</v>
      </c>
      <c r="C248">
        <v>3</v>
      </c>
    </row>
    <row r="249" spans="1:3">
      <c r="A249" s="9">
        <v>298</v>
      </c>
      <c r="B249">
        <v>309.76190476190476</v>
      </c>
      <c r="C249">
        <v>4</v>
      </c>
    </row>
    <row r="250" spans="1:3">
      <c r="A250" s="9">
        <v>299</v>
      </c>
      <c r="B250">
        <v>66.666666666666657</v>
      </c>
      <c r="C250">
        <v>1</v>
      </c>
    </row>
    <row r="251" spans="1:3">
      <c r="A251" s="9">
        <v>300</v>
      </c>
      <c r="B251">
        <v>50</v>
      </c>
      <c r="C251">
        <v>1</v>
      </c>
    </row>
    <row r="252" spans="1:3">
      <c r="A252" s="9" t="s">
        <v>391</v>
      </c>
      <c r="B252">
        <v>40208.514872880573</v>
      </c>
      <c r="C252">
        <v>640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68ED-5B87-4930-B6F8-87246F7BB4B0}">
  <dimension ref="A1:C248"/>
  <sheetViews>
    <sheetView workbookViewId="0">
      <selection activeCell="H18" sqref="H18"/>
    </sheetView>
  </sheetViews>
  <sheetFormatPr defaultRowHeight="14.4"/>
  <sheetData>
    <row r="1" spans="1:3">
      <c r="A1" s="9">
        <v>1</v>
      </c>
      <c r="B1">
        <v>244.03590068362104</v>
      </c>
      <c r="C1">
        <v>4</v>
      </c>
    </row>
    <row r="2" spans="1:3">
      <c r="A2" s="9">
        <v>2</v>
      </c>
      <c r="B2">
        <v>243.58773730401037</v>
      </c>
      <c r="C2">
        <v>4</v>
      </c>
    </row>
    <row r="3" spans="1:3">
      <c r="A3" s="9">
        <v>3</v>
      </c>
      <c r="B3">
        <v>182.27828452669559</v>
      </c>
      <c r="C3">
        <v>3</v>
      </c>
    </row>
    <row r="4" spans="1:3">
      <c r="A4" s="9">
        <v>4</v>
      </c>
      <c r="B4">
        <v>181.71681181797328</v>
      </c>
      <c r="C4">
        <v>3</v>
      </c>
    </row>
    <row r="5" spans="1:3">
      <c r="A5" s="9">
        <v>5</v>
      </c>
      <c r="B5">
        <v>181.62970196330213</v>
      </c>
      <c r="C5">
        <v>3</v>
      </c>
    </row>
    <row r="6" spans="1:3">
      <c r="A6" s="9">
        <v>6</v>
      </c>
      <c r="B6">
        <v>121.25108038029387</v>
      </c>
      <c r="C6">
        <v>2</v>
      </c>
    </row>
    <row r="7" spans="1:3">
      <c r="A7" s="9">
        <v>7</v>
      </c>
      <c r="B7">
        <v>60.771704180064312</v>
      </c>
      <c r="C7">
        <v>1</v>
      </c>
    </row>
    <row r="8" spans="1:3">
      <c r="A8" s="9">
        <v>8</v>
      </c>
      <c r="B8">
        <v>182.41967121024868</v>
      </c>
      <c r="C8">
        <v>3</v>
      </c>
    </row>
    <row r="9" spans="1:3">
      <c r="A9" s="9">
        <v>9</v>
      </c>
      <c r="B9">
        <v>183.14430425412155</v>
      </c>
      <c r="C9">
        <v>3</v>
      </c>
    </row>
    <row r="10" spans="1:3">
      <c r="A10" s="9">
        <v>11</v>
      </c>
      <c r="B10">
        <v>121.88766187336141</v>
      </c>
      <c r="C10">
        <v>2</v>
      </c>
    </row>
    <row r="11" spans="1:3">
      <c r="A11" s="9">
        <v>12</v>
      </c>
      <c r="B11">
        <v>61.011419249592166</v>
      </c>
      <c r="C11">
        <v>1</v>
      </c>
    </row>
    <row r="12" spans="1:3">
      <c r="A12" s="9">
        <v>13</v>
      </c>
      <c r="B12">
        <v>122.32224040734678</v>
      </c>
      <c r="C12">
        <v>2</v>
      </c>
    </row>
    <row r="13" spans="1:3">
      <c r="A13" s="9">
        <v>15</v>
      </c>
      <c r="B13">
        <v>122.39548843845057</v>
      </c>
      <c r="C13">
        <v>2</v>
      </c>
    </row>
    <row r="14" spans="1:3">
      <c r="A14" s="9">
        <v>16</v>
      </c>
      <c r="B14">
        <v>61.348684210526315</v>
      </c>
      <c r="C14">
        <v>1</v>
      </c>
    </row>
    <row r="15" spans="1:3">
      <c r="A15" s="9">
        <v>17</v>
      </c>
      <c r="B15">
        <v>183.66315514283193</v>
      </c>
      <c r="C15">
        <v>3</v>
      </c>
    </row>
    <row r="16" spans="1:3">
      <c r="A16" s="9">
        <v>18</v>
      </c>
      <c r="B16">
        <v>61.258278145695364</v>
      </c>
      <c r="C16">
        <v>1</v>
      </c>
    </row>
    <row r="17" spans="1:3">
      <c r="A17" s="9">
        <v>19</v>
      </c>
      <c r="B17">
        <v>183.38848980398035</v>
      </c>
      <c r="C17">
        <v>3</v>
      </c>
    </row>
    <row r="18" spans="1:3">
      <c r="A18" s="9">
        <v>21</v>
      </c>
      <c r="B18">
        <v>244.44487824762828</v>
      </c>
      <c r="C18">
        <v>4</v>
      </c>
    </row>
    <row r="19" spans="1:3">
      <c r="A19" s="9">
        <v>22</v>
      </c>
      <c r="B19">
        <v>244.57557246408493</v>
      </c>
      <c r="C19">
        <v>4</v>
      </c>
    </row>
    <row r="20" spans="1:3">
      <c r="A20" s="9">
        <v>23</v>
      </c>
      <c r="B20">
        <v>61.148648648648653</v>
      </c>
      <c r="C20">
        <v>1</v>
      </c>
    </row>
    <row r="21" spans="1:3">
      <c r="A21" s="9">
        <v>24</v>
      </c>
      <c r="B21">
        <v>244.78358882682429</v>
      </c>
      <c r="C21">
        <v>4</v>
      </c>
    </row>
    <row r="22" spans="1:3">
      <c r="A22" s="9">
        <v>25</v>
      </c>
      <c r="B22">
        <v>245.77330183712962</v>
      </c>
      <c r="C22">
        <v>4</v>
      </c>
    </row>
    <row r="23" spans="1:3">
      <c r="A23" s="9">
        <v>26</v>
      </c>
      <c r="B23">
        <v>184.02039028880182</v>
      </c>
      <c r="C23">
        <v>3</v>
      </c>
    </row>
    <row r="24" spans="1:3">
      <c r="A24" s="9">
        <v>27</v>
      </c>
      <c r="B24">
        <v>122.34679292478113</v>
      </c>
      <c r="C24">
        <v>2</v>
      </c>
    </row>
    <row r="25" spans="1:3">
      <c r="A25" s="9">
        <v>28</v>
      </c>
      <c r="B25">
        <v>183.70890649476902</v>
      </c>
      <c r="C25">
        <v>3</v>
      </c>
    </row>
    <row r="26" spans="1:3">
      <c r="A26" s="9">
        <v>30</v>
      </c>
      <c r="B26">
        <v>122.36721708831993</v>
      </c>
      <c r="C26">
        <v>2</v>
      </c>
    </row>
    <row r="27" spans="1:3">
      <c r="A27" s="9">
        <v>31</v>
      </c>
      <c r="B27">
        <v>183.21685107726864</v>
      </c>
      <c r="C27">
        <v>3</v>
      </c>
    </row>
    <row r="28" spans="1:3">
      <c r="A28" s="9">
        <v>32</v>
      </c>
      <c r="B28">
        <v>61.05263157894737</v>
      </c>
      <c r="C28">
        <v>1</v>
      </c>
    </row>
    <row r="29" spans="1:3">
      <c r="A29" s="9">
        <v>33</v>
      </c>
      <c r="B29">
        <v>182.92260342414224</v>
      </c>
      <c r="C29">
        <v>3</v>
      </c>
    </row>
    <row r="30" spans="1:3">
      <c r="A30" s="9">
        <v>34</v>
      </c>
      <c r="B30">
        <v>60.954063604240282</v>
      </c>
      <c r="C30">
        <v>1</v>
      </c>
    </row>
    <row r="31" spans="1:3">
      <c r="A31" s="9">
        <v>35</v>
      </c>
      <c r="B31">
        <v>61.06194690265486</v>
      </c>
      <c r="C31">
        <v>1</v>
      </c>
    </row>
    <row r="32" spans="1:3">
      <c r="A32" s="9">
        <v>36</v>
      </c>
      <c r="B32">
        <v>244.26699957477271</v>
      </c>
      <c r="C32">
        <v>4</v>
      </c>
    </row>
    <row r="33" spans="1:3">
      <c r="A33" s="9">
        <v>37</v>
      </c>
      <c r="B33">
        <v>183.54179089644208</v>
      </c>
      <c r="C33">
        <v>3</v>
      </c>
    </row>
    <row r="34" spans="1:3">
      <c r="A34" s="9">
        <v>38</v>
      </c>
      <c r="B34">
        <v>183.09359674180206</v>
      </c>
      <c r="C34">
        <v>3</v>
      </c>
    </row>
    <row r="35" spans="1:3">
      <c r="A35" s="9">
        <v>39</v>
      </c>
      <c r="B35">
        <v>61.191335740072205</v>
      </c>
      <c r="C35">
        <v>1</v>
      </c>
    </row>
    <row r="36" spans="1:3">
      <c r="A36" s="9">
        <v>42</v>
      </c>
      <c r="B36">
        <v>61.121157323688969</v>
      </c>
      <c r="C36">
        <v>1</v>
      </c>
    </row>
    <row r="37" spans="1:3">
      <c r="A37" s="9">
        <v>44</v>
      </c>
      <c r="B37">
        <v>61.231884057971023</v>
      </c>
      <c r="C37">
        <v>1</v>
      </c>
    </row>
    <row r="38" spans="1:3">
      <c r="A38" s="9">
        <v>45</v>
      </c>
      <c r="B38">
        <v>183.272470021689</v>
      </c>
      <c r="C38">
        <v>3</v>
      </c>
    </row>
    <row r="39" spans="1:3">
      <c r="A39" s="9">
        <v>46</v>
      </c>
      <c r="B39">
        <v>182.81542980965179</v>
      </c>
      <c r="C39">
        <v>3</v>
      </c>
    </row>
    <row r="40" spans="1:3">
      <c r="A40" s="9">
        <v>48</v>
      </c>
      <c r="B40">
        <v>183.08864774558006</v>
      </c>
      <c r="C40">
        <v>3</v>
      </c>
    </row>
    <row r="41" spans="1:3">
      <c r="A41" s="9">
        <v>49</v>
      </c>
      <c r="B41">
        <v>244.40317730589265</v>
      </c>
      <c r="C41">
        <v>4</v>
      </c>
    </row>
    <row r="42" spans="1:3">
      <c r="A42" s="9">
        <v>51</v>
      </c>
      <c r="B42">
        <v>244.7349319104726</v>
      </c>
      <c r="C42">
        <v>4</v>
      </c>
    </row>
    <row r="43" spans="1:3">
      <c r="A43" s="9">
        <v>52</v>
      </c>
      <c r="B43">
        <v>184.42784792577814</v>
      </c>
      <c r="C43">
        <v>3</v>
      </c>
    </row>
    <row r="44" spans="1:3">
      <c r="A44" s="9">
        <v>53</v>
      </c>
      <c r="B44">
        <v>184.71706375090704</v>
      </c>
      <c r="C44">
        <v>3</v>
      </c>
    </row>
    <row r="45" spans="1:3">
      <c r="A45" s="9">
        <v>54</v>
      </c>
      <c r="B45">
        <v>185.0099317683877</v>
      </c>
      <c r="C45">
        <v>3</v>
      </c>
    </row>
    <row r="46" spans="1:3">
      <c r="A46" s="9">
        <v>55</v>
      </c>
      <c r="B46">
        <v>61.714285714285708</v>
      </c>
      <c r="C46">
        <v>1</v>
      </c>
    </row>
    <row r="47" spans="1:3">
      <c r="A47" s="9">
        <v>56</v>
      </c>
      <c r="B47">
        <v>61.832061068702295</v>
      </c>
      <c r="C47">
        <v>1</v>
      </c>
    </row>
    <row r="48" spans="1:3">
      <c r="A48" s="9">
        <v>57</v>
      </c>
      <c r="B48">
        <v>186.20735213218617</v>
      </c>
      <c r="C48">
        <v>3</v>
      </c>
    </row>
    <row r="49" spans="1:3">
      <c r="A49" s="9">
        <v>58</v>
      </c>
      <c r="B49">
        <v>187.09065032764454</v>
      </c>
      <c r="C49">
        <v>3</v>
      </c>
    </row>
    <row r="50" spans="1:3">
      <c r="A50" s="9">
        <v>59</v>
      </c>
      <c r="B50">
        <v>62.475822050290134</v>
      </c>
      <c r="C50">
        <v>1</v>
      </c>
    </row>
    <row r="51" spans="1:3">
      <c r="A51" s="9">
        <v>60</v>
      </c>
      <c r="B51">
        <v>62.403100775193799</v>
      </c>
      <c r="C51">
        <v>1</v>
      </c>
    </row>
    <row r="52" spans="1:3">
      <c r="A52" s="9">
        <v>61</v>
      </c>
      <c r="B52">
        <v>187.35380135369002</v>
      </c>
      <c r="C52">
        <v>3</v>
      </c>
    </row>
    <row r="53" spans="1:3">
      <c r="A53" s="9">
        <v>63</v>
      </c>
      <c r="B53">
        <v>124.53560726516633</v>
      </c>
      <c r="C53">
        <v>2</v>
      </c>
    </row>
    <row r="54" spans="1:3">
      <c r="A54" s="9">
        <v>64</v>
      </c>
      <c r="B54">
        <v>124.2393774798721</v>
      </c>
      <c r="C54">
        <v>2</v>
      </c>
    </row>
    <row r="55" spans="1:3">
      <c r="A55" s="9">
        <v>66</v>
      </c>
      <c r="B55">
        <v>248.9641039748816</v>
      </c>
      <c r="C55">
        <v>4</v>
      </c>
    </row>
    <row r="56" spans="1:3">
      <c r="A56" s="9">
        <v>68</v>
      </c>
      <c r="B56">
        <v>62.301587301587304</v>
      </c>
      <c r="C56">
        <v>1</v>
      </c>
    </row>
    <row r="57" spans="1:3">
      <c r="A57" s="9">
        <v>69</v>
      </c>
      <c r="B57">
        <v>62.226640159045722</v>
      </c>
      <c r="C57">
        <v>1</v>
      </c>
    </row>
    <row r="58" spans="1:3">
      <c r="A58" s="9">
        <v>70</v>
      </c>
      <c r="B58">
        <v>249.95069760996174</v>
      </c>
      <c r="C58">
        <v>4</v>
      </c>
    </row>
    <row r="59" spans="1:3">
      <c r="A59" s="9">
        <v>72</v>
      </c>
      <c r="B59">
        <v>62.449799196787147</v>
      </c>
      <c r="C59">
        <v>1</v>
      </c>
    </row>
    <row r="60" spans="1:3">
      <c r="A60" s="9">
        <v>73</v>
      </c>
      <c r="B60">
        <v>124.67263256961121</v>
      </c>
      <c r="C60">
        <v>2</v>
      </c>
    </row>
    <row r="61" spans="1:3">
      <c r="A61" s="9">
        <v>74</v>
      </c>
      <c r="B61">
        <v>124.77242056189425</v>
      </c>
      <c r="C61">
        <v>2</v>
      </c>
    </row>
    <row r="62" spans="1:3">
      <c r="A62" s="9">
        <v>75</v>
      </c>
      <c r="B62">
        <v>124.87301901416581</v>
      </c>
      <c r="C62">
        <v>2</v>
      </c>
    </row>
    <row r="63" spans="1:3">
      <c r="A63" s="9">
        <v>76</v>
      </c>
      <c r="B63">
        <v>124.56669021987614</v>
      </c>
      <c r="C63">
        <v>2</v>
      </c>
    </row>
    <row r="64" spans="1:3">
      <c r="A64" s="9">
        <v>77</v>
      </c>
      <c r="B64">
        <v>62.372188139059304</v>
      </c>
      <c r="C64">
        <v>1</v>
      </c>
    </row>
    <row r="65" spans="1:3">
      <c r="A65" s="9">
        <v>78</v>
      </c>
      <c r="B65">
        <v>124.92299794661191</v>
      </c>
      <c r="C65">
        <v>2</v>
      </c>
    </row>
    <row r="66" spans="1:3">
      <c r="A66" s="9">
        <v>79</v>
      </c>
      <c r="B66">
        <v>62.345679012345677</v>
      </c>
      <c r="C66">
        <v>1</v>
      </c>
    </row>
    <row r="67" spans="1:3">
      <c r="A67" s="9">
        <v>80</v>
      </c>
      <c r="B67">
        <v>124.66473545198943</v>
      </c>
      <c r="C67">
        <v>2</v>
      </c>
    </row>
    <row r="68" spans="1:3">
      <c r="A68" s="9">
        <v>81</v>
      </c>
      <c r="B68">
        <v>62.318840579710141</v>
      </c>
      <c r="C68">
        <v>1</v>
      </c>
    </row>
    <row r="69" spans="1:3">
      <c r="A69" s="9">
        <v>82</v>
      </c>
      <c r="B69">
        <v>124.40282606257711</v>
      </c>
      <c r="C69">
        <v>2</v>
      </c>
    </row>
    <row r="70" spans="1:3">
      <c r="A70" s="9">
        <v>83</v>
      </c>
      <c r="B70">
        <v>247.85705862280258</v>
      </c>
      <c r="C70">
        <v>4</v>
      </c>
    </row>
    <row r="71" spans="1:3">
      <c r="A71" s="9">
        <v>84</v>
      </c>
      <c r="B71">
        <v>185.05229193609489</v>
      </c>
      <c r="C71">
        <v>3</v>
      </c>
    </row>
    <row r="72" spans="1:3">
      <c r="A72" s="9">
        <v>85</v>
      </c>
      <c r="B72">
        <v>247.08358915166866</v>
      </c>
      <c r="C72">
        <v>4</v>
      </c>
    </row>
    <row r="73" spans="1:3">
      <c r="A73" s="9">
        <v>86</v>
      </c>
      <c r="B73">
        <v>246.63082421394898</v>
      </c>
      <c r="C73">
        <v>4</v>
      </c>
    </row>
    <row r="74" spans="1:3">
      <c r="A74" s="9">
        <v>87</v>
      </c>
      <c r="B74">
        <v>123.57387838338894</v>
      </c>
      <c r="C74">
        <v>2</v>
      </c>
    </row>
    <row r="75" spans="1:3">
      <c r="A75" s="9">
        <v>89</v>
      </c>
      <c r="B75">
        <v>185.06457607739918</v>
      </c>
      <c r="C75">
        <v>3</v>
      </c>
    </row>
    <row r="76" spans="1:3">
      <c r="A76" s="9">
        <v>90</v>
      </c>
      <c r="B76">
        <v>123.17751255091409</v>
      </c>
      <c r="C76">
        <v>2</v>
      </c>
    </row>
    <row r="77" spans="1:3">
      <c r="A77" s="9">
        <v>91</v>
      </c>
      <c r="B77">
        <v>123.71599476364749</v>
      </c>
      <c r="C77">
        <v>2</v>
      </c>
    </row>
    <row r="78" spans="1:3">
      <c r="A78" s="9">
        <v>92</v>
      </c>
      <c r="B78">
        <v>186.59400746868866</v>
      </c>
      <c r="C78">
        <v>3</v>
      </c>
    </row>
    <row r="79" spans="1:3">
      <c r="A79" s="9">
        <v>93</v>
      </c>
      <c r="B79">
        <v>124.41979722205943</v>
      </c>
      <c r="C79">
        <v>2</v>
      </c>
    </row>
    <row r="80" spans="1:3">
      <c r="A80" s="9">
        <v>94</v>
      </c>
      <c r="B80">
        <v>247.8299818323618</v>
      </c>
      <c r="C80">
        <v>4</v>
      </c>
    </row>
    <row r="81" spans="1:3">
      <c r="A81" s="9">
        <v>95</v>
      </c>
      <c r="B81">
        <v>124.07630340787111</v>
      </c>
      <c r="C81">
        <v>2</v>
      </c>
    </row>
    <row r="82" spans="1:3">
      <c r="A82" s="9">
        <v>96</v>
      </c>
      <c r="B82">
        <v>186.48610260906403</v>
      </c>
      <c r="C82">
        <v>3</v>
      </c>
    </row>
    <row r="83" spans="1:3">
      <c r="A83" s="9">
        <v>97</v>
      </c>
      <c r="B83">
        <v>186.84819848685396</v>
      </c>
      <c r="C83">
        <v>3</v>
      </c>
    </row>
    <row r="84" spans="1:3">
      <c r="A84" s="9">
        <v>98</v>
      </c>
      <c r="B84">
        <v>62.186788154897499</v>
      </c>
      <c r="C84">
        <v>1</v>
      </c>
    </row>
    <row r="85" spans="1:3">
      <c r="A85" s="9">
        <v>99</v>
      </c>
      <c r="B85">
        <v>62.328767123287676</v>
      </c>
      <c r="C85">
        <v>1</v>
      </c>
    </row>
    <row r="86" spans="1:3">
      <c r="A86" s="9">
        <v>100</v>
      </c>
      <c r="B86">
        <v>186.46749174905545</v>
      </c>
      <c r="C86">
        <v>3</v>
      </c>
    </row>
    <row r="87" spans="1:3">
      <c r="A87" s="9">
        <v>101</v>
      </c>
      <c r="B87">
        <v>62.21198156682027</v>
      </c>
      <c r="C87">
        <v>1</v>
      </c>
    </row>
    <row r="88" spans="1:3">
      <c r="A88" s="9">
        <v>102</v>
      </c>
      <c r="B88">
        <v>186.11070426990759</v>
      </c>
      <c r="C88">
        <v>3</v>
      </c>
    </row>
    <row r="89" spans="1:3">
      <c r="A89" s="9">
        <v>103</v>
      </c>
      <c r="B89">
        <v>186.01465983122145</v>
      </c>
      <c r="C89">
        <v>3</v>
      </c>
    </row>
    <row r="90" spans="1:3">
      <c r="A90" s="9">
        <v>104</v>
      </c>
      <c r="B90">
        <v>62.060889929742387</v>
      </c>
      <c r="C90">
        <v>1</v>
      </c>
    </row>
    <row r="91" spans="1:3">
      <c r="A91" s="9">
        <v>105</v>
      </c>
      <c r="B91">
        <v>247.34876441685512</v>
      </c>
      <c r="C91">
        <v>4</v>
      </c>
    </row>
    <row r="92" spans="1:3">
      <c r="A92" s="9">
        <v>106</v>
      </c>
      <c r="B92">
        <v>185.03576078921398</v>
      </c>
      <c r="C92">
        <v>3</v>
      </c>
    </row>
    <row r="93" spans="1:3">
      <c r="A93" s="9">
        <v>107</v>
      </c>
      <c r="B93">
        <v>184.68912802977522</v>
      </c>
      <c r="C93">
        <v>3</v>
      </c>
    </row>
    <row r="94" spans="1:3">
      <c r="A94" s="9">
        <v>108</v>
      </c>
      <c r="B94">
        <v>246.07965822329541</v>
      </c>
      <c r="C94">
        <v>4</v>
      </c>
    </row>
    <row r="95" spans="1:3">
      <c r="A95" s="9">
        <v>110</v>
      </c>
      <c r="B95">
        <v>184.42835924000937</v>
      </c>
      <c r="C95">
        <v>3</v>
      </c>
    </row>
    <row r="96" spans="1:3">
      <c r="A96" s="9">
        <v>111</v>
      </c>
      <c r="B96">
        <v>183.82306413731698</v>
      </c>
      <c r="C96">
        <v>3</v>
      </c>
    </row>
    <row r="97" spans="1:3">
      <c r="A97" s="9">
        <v>112</v>
      </c>
      <c r="B97">
        <v>183.21001202473832</v>
      </c>
      <c r="C97">
        <v>3</v>
      </c>
    </row>
    <row r="98" spans="1:3">
      <c r="A98" s="9">
        <v>113</v>
      </c>
      <c r="B98">
        <v>183.58160928924679</v>
      </c>
      <c r="C98">
        <v>3</v>
      </c>
    </row>
    <row r="99" spans="1:3">
      <c r="A99" s="9">
        <v>115</v>
      </c>
      <c r="B99">
        <v>61</v>
      </c>
      <c r="C99">
        <v>1</v>
      </c>
    </row>
    <row r="100" spans="1:3">
      <c r="A100" s="9">
        <v>116</v>
      </c>
      <c r="B100">
        <v>121.9575320210073</v>
      </c>
      <c r="C100">
        <v>2</v>
      </c>
    </row>
    <row r="101" spans="1:3">
      <c r="A101" s="9">
        <v>117</v>
      </c>
      <c r="B101">
        <v>182.57525837078177</v>
      </c>
      <c r="C101">
        <v>3</v>
      </c>
    </row>
    <row r="102" spans="1:3">
      <c r="A102" s="9">
        <v>119</v>
      </c>
      <c r="B102">
        <v>242.03693485427044</v>
      </c>
      <c r="C102">
        <v>4</v>
      </c>
    </row>
    <row r="103" spans="1:3">
      <c r="A103" s="9">
        <v>120</v>
      </c>
      <c r="B103">
        <v>120.41065190165446</v>
      </c>
      <c r="C103">
        <v>2</v>
      </c>
    </row>
    <row r="104" spans="1:3">
      <c r="A104" s="9">
        <v>121</v>
      </c>
      <c r="B104">
        <v>240.361891681011</v>
      </c>
      <c r="C104">
        <v>4</v>
      </c>
    </row>
    <row r="105" spans="1:3">
      <c r="A105" s="9">
        <v>122</v>
      </c>
      <c r="B105">
        <v>60.15625</v>
      </c>
      <c r="C105">
        <v>1</v>
      </c>
    </row>
    <row r="106" spans="1:3">
      <c r="A106" s="9">
        <v>124</v>
      </c>
      <c r="B106">
        <v>120.26164340491846</v>
      </c>
      <c r="C106">
        <v>2</v>
      </c>
    </row>
    <row r="107" spans="1:3">
      <c r="A107" s="9">
        <v>125</v>
      </c>
      <c r="B107">
        <v>180.26329822228686</v>
      </c>
      <c r="C107">
        <v>3</v>
      </c>
    </row>
    <row r="108" spans="1:3">
      <c r="A108" s="9">
        <v>126</v>
      </c>
      <c r="B108">
        <v>239.84028518694697</v>
      </c>
      <c r="C108">
        <v>4</v>
      </c>
    </row>
    <row r="109" spans="1:3">
      <c r="A109" s="9">
        <v>128</v>
      </c>
      <c r="B109">
        <v>119.67857091654599</v>
      </c>
      <c r="C109">
        <v>2</v>
      </c>
    </row>
    <row r="110" spans="1:3">
      <c r="A110" s="9">
        <v>129</v>
      </c>
      <c r="B110">
        <v>178.97588223820725</v>
      </c>
      <c r="C110">
        <v>3</v>
      </c>
    </row>
    <row r="111" spans="1:3">
      <c r="A111" s="9">
        <v>131</v>
      </c>
      <c r="B111">
        <v>237.82162821664633</v>
      </c>
      <c r="C111">
        <v>4</v>
      </c>
    </row>
    <row r="112" spans="1:3">
      <c r="A112" s="9">
        <v>134</v>
      </c>
      <c r="B112">
        <v>119.06743940990516</v>
      </c>
      <c r="C112">
        <v>2</v>
      </c>
    </row>
    <row r="113" spans="1:3">
      <c r="A113" s="9">
        <v>135</v>
      </c>
      <c r="B113">
        <v>59.504132231404959</v>
      </c>
      <c r="C113">
        <v>1</v>
      </c>
    </row>
    <row r="114" spans="1:3">
      <c r="A114" s="9">
        <v>136</v>
      </c>
      <c r="B114">
        <v>237.1701865765084</v>
      </c>
      <c r="C114">
        <v>4</v>
      </c>
    </row>
    <row r="115" spans="1:3">
      <c r="A115" s="9">
        <v>137</v>
      </c>
      <c r="B115">
        <v>238.99253292428639</v>
      </c>
      <c r="C115">
        <v>4</v>
      </c>
    </row>
    <row r="116" spans="1:3">
      <c r="A116" s="9">
        <v>139</v>
      </c>
      <c r="B116">
        <v>241.13556799433303</v>
      </c>
      <c r="C116">
        <v>4</v>
      </c>
    </row>
    <row r="117" spans="1:3">
      <c r="A117" s="9">
        <v>140</v>
      </c>
      <c r="B117">
        <v>60.285714285714285</v>
      </c>
      <c r="C117">
        <v>1</v>
      </c>
    </row>
    <row r="118" spans="1:3">
      <c r="A118" s="9">
        <v>142</v>
      </c>
      <c r="B118">
        <v>181.89755305662197</v>
      </c>
      <c r="C118">
        <v>3</v>
      </c>
    </row>
    <row r="119" spans="1:3">
      <c r="A119" s="9">
        <v>143</v>
      </c>
      <c r="B119">
        <v>121.27335176342464</v>
      </c>
      <c r="C119">
        <v>2</v>
      </c>
    </row>
    <row r="120" spans="1:3">
      <c r="A120" s="9">
        <v>144</v>
      </c>
      <c r="B120">
        <v>60.465116279069761</v>
      </c>
      <c r="C120">
        <v>1</v>
      </c>
    </row>
    <row r="121" spans="1:3">
      <c r="A121" s="9">
        <v>146</v>
      </c>
      <c r="B121">
        <v>240.99519205590497</v>
      </c>
      <c r="C121">
        <v>4</v>
      </c>
    </row>
    <row r="122" spans="1:3">
      <c r="A122" s="9">
        <v>148</v>
      </c>
      <c r="B122">
        <v>60.176991150442483</v>
      </c>
      <c r="C122">
        <v>1</v>
      </c>
    </row>
    <row r="123" spans="1:3">
      <c r="A123" s="9">
        <v>149</v>
      </c>
      <c r="B123">
        <v>180.11887203567184</v>
      </c>
      <c r="C123">
        <v>3</v>
      </c>
    </row>
    <row r="124" spans="1:3">
      <c r="A124" s="9">
        <v>150</v>
      </c>
      <c r="B124">
        <v>241.98037871421369</v>
      </c>
      <c r="C124">
        <v>4</v>
      </c>
    </row>
    <row r="125" spans="1:3">
      <c r="A125" s="9">
        <v>151</v>
      </c>
      <c r="B125">
        <v>244.00887916668202</v>
      </c>
      <c r="C125">
        <v>4</v>
      </c>
    </row>
    <row r="126" spans="1:3">
      <c r="A126" s="9">
        <v>152</v>
      </c>
      <c r="B126">
        <v>122.5117727622371</v>
      </c>
      <c r="C126">
        <v>2</v>
      </c>
    </row>
    <row r="127" spans="1:3">
      <c r="A127" s="9">
        <v>153</v>
      </c>
      <c r="B127">
        <v>184.260429437932</v>
      </c>
      <c r="C127">
        <v>3</v>
      </c>
    </row>
    <row r="128" spans="1:3">
      <c r="A128" s="9">
        <v>154</v>
      </c>
      <c r="B128">
        <v>246.17938563413404</v>
      </c>
      <c r="C128">
        <v>4</v>
      </c>
    </row>
    <row r="129" spans="1:3">
      <c r="A129" s="9">
        <v>155</v>
      </c>
      <c r="B129">
        <v>61.635220125786162</v>
      </c>
      <c r="C129">
        <v>1</v>
      </c>
    </row>
    <row r="130" spans="1:3">
      <c r="A130" s="9">
        <v>156</v>
      </c>
      <c r="B130">
        <v>61.514195583596212</v>
      </c>
      <c r="C130">
        <v>1</v>
      </c>
    </row>
    <row r="131" spans="1:3">
      <c r="A131" s="9">
        <v>158</v>
      </c>
      <c r="B131">
        <v>123.61362266425557</v>
      </c>
      <c r="C131">
        <v>2</v>
      </c>
    </row>
    <row r="132" spans="1:3">
      <c r="A132" s="9">
        <v>160</v>
      </c>
      <c r="B132">
        <v>62.101910828025474</v>
      </c>
      <c r="C132">
        <v>1</v>
      </c>
    </row>
    <row r="133" spans="1:3">
      <c r="A133" s="9">
        <v>161</v>
      </c>
      <c r="B133">
        <v>186.53973907227865</v>
      </c>
      <c r="C133">
        <v>3</v>
      </c>
    </row>
    <row r="134" spans="1:3">
      <c r="A134" s="9">
        <v>162</v>
      </c>
      <c r="B134">
        <v>250.89260385606426</v>
      </c>
      <c r="C134">
        <v>4</v>
      </c>
    </row>
    <row r="135" spans="1:3">
      <c r="A135" s="9">
        <v>163</v>
      </c>
      <c r="B135">
        <v>62.745098039215684</v>
      </c>
      <c r="C135">
        <v>1</v>
      </c>
    </row>
    <row r="136" spans="1:3">
      <c r="A136" s="9">
        <v>164</v>
      </c>
      <c r="B136">
        <v>126.10871440897326</v>
      </c>
      <c r="C136">
        <v>2</v>
      </c>
    </row>
    <row r="137" spans="1:3">
      <c r="A137" s="9">
        <v>165</v>
      </c>
      <c r="B137">
        <v>251.40757525621655</v>
      </c>
      <c r="C137">
        <v>4</v>
      </c>
    </row>
    <row r="138" spans="1:3">
      <c r="A138" s="9">
        <v>166</v>
      </c>
      <c r="B138">
        <v>62.541806020066893</v>
      </c>
      <c r="C138">
        <v>1</v>
      </c>
    </row>
    <row r="139" spans="1:3">
      <c r="A139" s="9">
        <v>167</v>
      </c>
      <c r="B139">
        <v>62.416107382550337</v>
      </c>
      <c r="C139">
        <v>1</v>
      </c>
    </row>
    <row r="140" spans="1:3">
      <c r="A140" s="9">
        <v>168</v>
      </c>
      <c r="B140">
        <v>62.289562289562298</v>
      </c>
      <c r="C140">
        <v>1</v>
      </c>
    </row>
    <row r="141" spans="1:3">
      <c r="A141" s="9">
        <v>169</v>
      </c>
      <c r="B141">
        <v>251.27696621542117</v>
      </c>
      <c r="C141">
        <v>4</v>
      </c>
    </row>
    <row r="142" spans="1:3">
      <c r="A142" s="9">
        <v>170</v>
      </c>
      <c r="B142">
        <v>189.68985320925188</v>
      </c>
      <c r="C142">
        <v>3</v>
      </c>
    </row>
    <row r="143" spans="1:3">
      <c r="A143" s="9">
        <v>171</v>
      </c>
      <c r="B143">
        <v>188.54077080377823</v>
      </c>
      <c r="C143">
        <v>3</v>
      </c>
    </row>
    <row r="144" spans="1:3">
      <c r="A144" s="9">
        <v>172</v>
      </c>
      <c r="B144">
        <v>249.91166621156907</v>
      </c>
      <c r="C144">
        <v>4</v>
      </c>
    </row>
    <row r="145" spans="1:3">
      <c r="A145" s="9">
        <v>173</v>
      </c>
      <c r="B145">
        <v>252.05200428049622</v>
      </c>
      <c r="C145">
        <v>4</v>
      </c>
    </row>
    <row r="146" spans="1:3">
      <c r="A146" s="9">
        <v>174</v>
      </c>
      <c r="B146">
        <v>125.76552476430408</v>
      </c>
      <c r="C146">
        <v>2</v>
      </c>
    </row>
    <row r="147" spans="1:3">
      <c r="A147" s="9">
        <v>175</v>
      </c>
      <c r="B147">
        <v>125.22661396574441</v>
      </c>
      <c r="C147">
        <v>2</v>
      </c>
    </row>
    <row r="148" spans="1:3">
      <c r="A148" s="9">
        <v>176</v>
      </c>
      <c r="B148">
        <v>251.00935963019649</v>
      </c>
      <c r="C148">
        <v>4</v>
      </c>
    </row>
    <row r="149" spans="1:3">
      <c r="A149" s="9">
        <v>177</v>
      </c>
      <c r="B149">
        <v>126.1599889852678</v>
      </c>
      <c r="C149">
        <v>2</v>
      </c>
    </row>
    <row r="150" spans="1:3">
      <c r="A150" s="9">
        <v>178</v>
      </c>
      <c r="B150">
        <v>125.98104980714405</v>
      </c>
      <c r="C150">
        <v>2</v>
      </c>
    </row>
    <row r="151" spans="1:3">
      <c r="A151" s="9">
        <v>179</v>
      </c>
      <c r="B151">
        <v>62.781954887218049</v>
      </c>
      <c r="C151">
        <v>1</v>
      </c>
    </row>
    <row r="152" spans="1:3">
      <c r="A152" s="9">
        <v>180</v>
      </c>
      <c r="B152">
        <v>251.23503913494267</v>
      </c>
      <c r="C152">
        <v>4</v>
      </c>
    </row>
    <row r="153" spans="1:3">
      <c r="A153" s="9">
        <v>182</v>
      </c>
      <c r="B153">
        <v>126.29531388152077</v>
      </c>
      <c r="C153">
        <v>2</v>
      </c>
    </row>
    <row r="154" spans="1:3">
      <c r="A154" s="9">
        <v>183</v>
      </c>
      <c r="B154">
        <v>188.3709750056687</v>
      </c>
      <c r="C154">
        <v>3</v>
      </c>
    </row>
    <row r="155" spans="1:3">
      <c r="A155" s="9">
        <v>184</v>
      </c>
      <c r="B155">
        <v>249.11300155429885</v>
      </c>
      <c r="C155">
        <v>4</v>
      </c>
    </row>
    <row r="156" spans="1:3">
      <c r="A156" s="9">
        <v>185</v>
      </c>
      <c r="B156">
        <v>248.30037128213098</v>
      </c>
      <c r="C156">
        <v>4</v>
      </c>
    </row>
    <row r="157" spans="1:3">
      <c r="A157" s="9">
        <v>186</v>
      </c>
      <c r="B157">
        <v>61.693548387096776</v>
      </c>
      <c r="C157">
        <v>1</v>
      </c>
    </row>
    <row r="158" spans="1:3">
      <c r="A158" s="9">
        <v>187</v>
      </c>
      <c r="B158">
        <v>246.84497838750423</v>
      </c>
      <c r="C158">
        <v>4</v>
      </c>
    </row>
    <row r="159" spans="1:3">
      <c r="A159" s="9">
        <v>188</v>
      </c>
      <c r="B159">
        <v>185.94911491093225</v>
      </c>
      <c r="C159">
        <v>3</v>
      </c>
    </row>
    <row r="160" spans="1:3">
      <c r="A160" s="9">
        <v>189</v>
      </c>
      <c r="B160">
        <v>248.21820993107798</v>
      </c>
      <c r="C160">
        <v>4</v>
      </c>
    </row>
    <row r="161" spans="1:3">
      <c r="A161" s="9">
        <v>190</v>
      </c>
      <c r="B161">
        <v>246.90757108499318</v>
      </c>
      <c r="C161">
        <v>4</v>
      </c>
    </row>
    <row r="162" spans="1:3">
      <c r="A162" s="9">
        <v>191</v>
      </c>
      <c r="B162">
        <v>123.97372742200329</v>
      </c>
      <c r="C162">
        <v>2</v>
      </c>
    </row>
    <row r="163" spans="1:3">
      <c r="A163" s="9">
        <v>192</v>
      </c>
      <c r="B163">
        <v>246.82729691025992</v>
      </c>
      <c r="C163">
        <v>4</v>
      </c>
    </row>
    <row r="164" spans="1:3">
      <c r="A164" s="9">
        <v>193</v>
      </c>
      <c r="B164">
        <v>246.76680086826323</v>
      </c>
      <c r="C164">
        <v>4</v>
      </c>
    </row>
    <row r="165" spans="1:3">
      <c r="A165" s="9">
        <v>194</v>
      </c>
      <c r="B165">
        <v>244.89808508744852</v>
      </c>
      <c r="C165">
        <v>4</v>
      </c>
    </row>
    <row r="166" spans="1:3">
      <c r="A166" s="9">
        <v>196</v>
      </c>
      <c r="B166">
        <v>183.41060800368288</v>
      </c>
      <c r="C166">
        <v>3</v>
      </c>
    </row>
    <row r="167" spans="1:3">
      <c r="A167" s="9">
        <v>198</v>
      </c>
      <c r="B167">
        <v>244.02710628270643</v>
      </c>
      <c r="C167">
        <v>4</v>
      </c>
    </row>
    <row r="168" spans="1:3">
      <c r="A168" s="9">
        <v>199</v>
      </c>
      <c r="B168">
        <v>61.137440758293835</v>
      </c>
      <c r="C168">
        <v>1</v>
      </c>
    </row>
    <row r="169" spans="1:3">
      <c r="A169" s="9">
        <v>200</v>
      </c>
      <c r="B169">
        <v>245.08293987985064</v>
      </c>
      <c r="C169">
        <v>4</v>
      </c>
    </row>
    <row r="170" spans="1:3">
      <c r="A170" s="9">
        <v>201</v>
      </c>
      <c r="B170">
        <v>245.96476455476406</v>
      </c>
      <c r="C170">
        <v>4</v>
      </c>
    </row>
    <row r="171" spans="1:3">
      <c r="A171" s="9">
        <v>202</v>
      </c>
      <c r="B171">
        <v>123.57273040736908</v>
      </c>
      <c r="C171">
        <v>2</v>
      </c>
    </row>
    <row r="172" spans="1:3">
      <c r="A172" s="9">
        <v>203</v>
      </c>
      <c r="B172">
        <v>184.42269427947818</v>
      </c>
      <c r="C172">
        <v>3</v>
      </c>
    </row>
    <row r="173" spans="1:3">
      <c r="A173" s="9">
        <v>204</v>
      </c>
      <c r="B173">
        <v>184.69447521296686</v>
      </c>
      <c r="C173">
        <v>3</v>
      </c>
    </row>
    <row r="174" spans="1:3">
      <c r="A174" s="9">
        <v>205</v>
      </c>
      <c r="B174">
        <v>122.480102558624</v>
      </c>
      <c r="C174">
        <v>2</v>
      </c>
    </row>
    <row r="175" spans="1:3">
      <c r="A175" s="9">
        <v>206</v>
      </c>
      <c r="B175">
        <v>123.23843804537522</v>
      </c>
      <c r="C175">
        <v>2</v>
      </c>
    </row>
    <row r="176" spans="1:3">
      <c r="A176" s="9">
        <v>207</v>
      </c>
      <c r="B176">
        <v>124.01002506265664</v>
      </c>
      <c r="C176">
        <v>2</v>
      </c>
    </row>
    <row r="177" spans="1:3">
      <c r="A177" s="9">
        <v>208</v>
      </c>
      <c r="B177">
        <v>246.64903247365197</v>
      </c>
      <c r="C177">
        <v>4</v>
      </c>
    </row>
    <row r="178" spans="1:3">
      <c r="A178" s="9">
        <v>209</v>
      </c>
      <c r="B178">
        <v>184.70013889650383</v>
      </c>
      <c r="C178">
        <v>3</v>
      </c>
    </row>
    <row r="179" spans="1:3">
      <c r="A179" s="9">
        <v>210</v>
      </c>
      <c r="B179">
        <v>244.00509001391401</v>
      </c>
      <c r="C179">
        <v>4</v>
      </c>
    </row>
    <row r="180" spans="1:3">
      <c r="A180" s="9">
        <v>211</v>
      </c>
      <c r="B180">
        <v>244.44298288892094</v>
      </c>
      <c r="C180">
        <v>4</v>
      </c>
    </row>
    <row r="181" spans="1:3">
      <c r="A181" s="9">
        <v>212</v>
      </c>
      <c r="B181">
        <v>183.1369013787774</v>
      </c>
      <c r="C181">
        <v>3</v>
      </c>
    </row>
    <row r="182" spans="1:3">
      <c r="A182" s="9">
        <v>214</v>
      </c>
      <c r="B182">
        <v>183.43273995988926</v>
      </c>
      <c r="C182">
        <v>3</v>
      </c>
    </row>
    <row r="183" spans="1:3">
      <c r="A183" s="9">
        <v>215</v>
      </c>
      <c r="B183">
        <v>61.077844311377248</v>
      </c>
      <c r="C183">
        <v>1</v>
      </c>
    </row>
    <row r="184" spans="1:3">
      <c r="A184" s="9">
        <v>216</v>
      </c>
      <c r="B184">
        <v>182.42504385613407</v>
      </c>
      <c r="C184">
        <v>3</v>
      </c>
    </row>
    <row r="185" spans="1:3">
      <c r="A185" s="9">
        <v>217</v>
      </c>
      <c r="B185">
        <v>182.71687264752083</v>
      </c>
      <c r="C185">
        <v>3</v>
      </c>
    </row>
    <row r="186" spans="1:3">
      <c r="A186" s="9">
        <v>218</v>
      </c>
      <c r="B186">
        <v>121.00235849056602</v>
      </c>
      <c r="C186">
        <v>2</v>
      </c>
    </row>
    <row r="187" spans="1:3">
      <c r="A187" s="9">
        <v>219</v>
      </c>
      <c r="B187">
        <v>183.44445202463424</v>
      </c>
      <c r="C187">
        <v>3</v>
      </c>
    </row>
    <row r="188" spans="1:3">
      <c r="A188" s="9">
        <v>223</v>
      </c>
      <c r="B188">
        <v>61.935483870967744</v>
      </c>
      <c r="C188">
        <v>1</v>
      </c>
    </row>
    <row r="189" spans="1:3">
      <c r="A189" s="9">
        <v>224</v>
      </c>
      <c r="B189">
        <v>61.688311688311693</v>
      </c>
      <c r="C189">
        <v>1</v>
      </c>
    </row>
    <row r="190" spans="1:3">
      <c r="A190" s="9">
        <v>226</v>
      </c>
      <c r="B190">
        <v>61.437908496732028</v>
      </c>
      <c r="C190">
        <v>1</v>
      </c>
    </row>
    <row r="191" spans="1:3">
      <c r="A191" s="9">
        <v>229</v>
      </c>
      <c r="B191">
        <v>61.184210526315788</v>
      </c>
      <c r="C191">
        <v>1</v>
      </c>
    </row>
    <row r="192" spans="1:3">
      <c r="A192" s="9">
        <v>230</v>
      </c>
      <c r="B192">
        <v>244.80737362100976</v>
      </c>
      <c r="C192">
        <v>4</v>
      </c>
    </row>
    <row r="193" spans="1:3">
      <c r="A193" s="9">
        <v>231</v>
      </c>
      <c r="B193">
        <v>246.74284648515368</v>
      </c>
      <c r="C193">
        <v>4</v>
      </c>
    </row>
    <row r="194" spans="1:3">
      <c r="A194" s="9">
        <v>232</v>
      </c>
      <c r="B194">
        <v>185.9117208832522</v>
      </c>
      <c r="C194">
        <v>3</v>
      </c>
    </row>
    <row r="195" spans="1:3">
      <c r="A195" s="9">
        <v>234</v>
      </c>
      <c r="B195">
        <v>245.48772207695148</v>
      </c>
      <c r="C195">
        <v>4</v>
      </c>
    </row>
    <row r="196" spans="1:3">
      <c r="A196" s="9">
        <v>235</v>
      </c>
      <c r="B196">
        <v>247.58136195038369</v>
      </c>
      <c r="C196">
        <v>4</v>
      </c>
    </row>
    <row r="197" spans="1:3">
      <c r="A197" s="9">
        <v>236</v>
      </c>
      <c r="B197">
        <v>185.50338974003097</v>
      </c>
      <c r="C197">
        <v>3</v>
      </c>
    </row>
    <row r="198" spans="1:3">
      <c r="A198" s="9">
        <v>237</v>
      </c>
      <c r="B198">
        <v>123.73425387596899</v>
      </c>
      <c r="C198">
        <v>2</v>
      </c>
    </row>
    <row r="199" spans="1:3">
      <c r="A199" s="9">
        <v>238</v>
      </c>
      <c r="B199">
        <v>243.81230491349874</v>
      </c>
      <c r="C199">
        <v>4</v>
      </c>
    </row>
    <row r="200" spans="1:3">
      <c r="A200" s="9">
        <v>239</v>
      </c>
      <c r="B200">
        <v>181.96192597341229</v>
      </c>
      <c r="C200">
        <v>3</v>
      </c>
    </row>
    <row r="201" spans="1:3">
      <c r="A201" s="9">
        <v>240</v>
      </c>
      <c r="B201">
        <v>181.50702653942932</v>
      </c>
      <c r="C201">
        <v>3</v>
      </c>
    </row>
    <row r="202" spans="1:3">
      <c r="A202" s="9">
        <v>241</v>
      </c>
      <c r="B202">
        <v>183.62978767026743</v>
      </c>
      <c r="C202">
        <v>3</v>
      </c>
    </row>
    <row r="203" spans="1:3">
      <c r="A203" s="9">
        <v>242</v>
      </c>
      <c r="B203">
        <v>123.35041142679708</v>
      </c>
      <c r="C203">
        <v>2</v>
      </c>
    </row>
    <row r="204" spans="1:3">
      <c r="A204" s="9">
        <v>243</v>
      </c>
      <c r="B204">
        <v>62.5</v>
      </c>
      <c r="C204">
        <v>1</v>
      </c>
    </row>
    <row r="205" spans="1:3">
      <c r="A205" s="9">
        <v>245</v>
      </c>
      <c r="B205">
        <v>125.7903357903358</v>
      </c>
      <c r="C205">
        <v>2</v>
      </c>
    </row>
    <row r="206" spans="1:3">
      <c r="A206" s="9">
        <v>246</v>
      </c>
      <c r="B206">
        <v>254.89398644785214</v>
      </c>
      <c r="C206">
        <v>4</v>
      </c>
    </row>
    <row r="207" spans="1:3">
      <c r="A207" s="9">
        <v>249</v>
      </c>
      <c r="B207">
        <v>64.761904761904759</v>
      </c>
      <c r="C207">
        <v>1</v>
      </c>
    </row>
    <row r="208" spans="1:3">
      <c r="A208" s="9">
        <v>250</v>
      </c>
      <c r="B208">
        <v>195.13904142687693</v>
      </c>
      <c r="C208">
        <v>3</v>
      </c>
    </row>
    <row r="209" spans="1:3">
      <c r="A209" s="9">
        <v>253</v>
      </c>
      <c r="B209">
        <v>64.356435643564353</v>
      </c>
      <c r="C209">
        <v>1</v>
      </c>
    </row>
    <row r="210" spans="1:3">
      <c r="A210" s="9">
        <v>254</v>
      </c>
      <c r="B210">
        <v>191.9220779220779</v>
      </c>
      <c r="C210">
        <v>3</v>
      </c>
    </row>
    <row r="211" spans="1:3">
      <c r="A211" s="9">
        <v>255</v>
      </c>
      <c r="B211">
        <v>191.66971875565201</v>
      </c>
      <c r="C211">
        <v>3</v>
      </c>
    </row>
    <row r="212" spans="1:3">
      <c r="A212" s="9">
        <v>256</v>
      </c>
      <c r="B212">
        <v>128.34591626630061</v>
      </c>
      <c r="C212">
        <v>2</v>
      </c>
    </row>
    <row r="213" spans="1:3">
      <c r="A213" s="9">
        <v>257</v>
      </c>
      <c r="B213">
        <v>65.217391304347828</v>
      </c>
      <c r="C213">
        <v>1</v>
      </c>
    </row>
    <row r="214" spans="1:3">
      <c r="A214" s="9">
        <v>258</v>
      </c>
      <c r="B214">
        <v>193.32455309983399</v>
      </c>
      <c r="C214">
        <v>3</v>
      </c>
    </row>
    <row r="215" spans="1:3">
      <c r="A215" s="9">
        <v>259</v>
      </c>
      <c r="B215">
        <v>253.17486388008581</v>
      </c>
      <c r="C215">
        <v>4</v>
      </c>
    </row>
    <row r="216" spans="1:3">
      <c r="A216" s="9">
        <v>260</v>
      </c>
      <c r="B216">
        <v>195.19961378615511</v>
      </c>
      <c r="C216">
        <v>3</v>
      </c>
    </row>
    <row r="217" spans="1:3">
      <c r="A217" s="9">
        <v>263</v>
      </c>
      <c r="B217">
        <v>130.4320987654321</v>
      </c>
      <c r="C217">
        <v>2</v>
      </c>
    </row>
    <row r="218" spans="1:3">
      <c r="A218" s="9">
        <v>265</v>
      </c>
      <c r="B218">
        <v>264.51269139477</v>
      </c>
      <c r="C218">
        <v>4</v>
      </c>
    </row>
    <row r="219" spans="1:3">
      <c r="A219" s="9">
        <v>267</v>
      </c>
      <c r="B219">
        <v>130.19819819819821</v>
      </c>
      <c r="C219">
        <v>2</v>
      </c>
    </row>
    <row r="220" spans="1:3">
      <c r="A220" s="9">
        <v>269</v>
      </c>
      <c r="B220">
        <v>128.27245053272452</v>
      </c>
      <c r="C220">
        <v>2</v>
      </c>
    </row>
    <row r="221" spans="1:3">
      <c r="A221" s="9">
        <v>271</v>
      </c>
      <c r="B221">
        <v>130.50301810865193</v>
      </c>
      <c r="C221">
        <v>2</v>
      </c>
    </row>
    <row r="222" spans="1:3">
      <c r="A222" s="9">
        <v>272</v>
      </c>
      <c r="B222">
        <v>259.25389328641609</v>
      </c>
      <c r="C222">
        <v>4</v>
      </c>
    </row>
    <row r="223" spans="1:3">
      <c r="A223" s="9">
        <v>273</v>
      </c>
      <c r="B223">
        <v>66.153846153846146</v>
      </c>
      <c r="C223">
        <v>1</v>
      </c>
    </row>
    <row r="224" spans="1:3">
      <c r="A224" s="9">
        <v>274</v>
      </c>
      <c r="B224">
        <v>65.625</v>
      </c>
      <c r="C224">
        <v>1</v>
      </c>
    </row>
    <row r="225" spans="1:3">
      <c r="A225" s="9">
        <v>275</v>
      </c>
      <c r="B225">
        <v>66.666666666666657</v>
      </c>
      <c r="C225">
        <v>1</v>
      </c>
    </row>
    <row r="226" spans="1:3">
      <c r="A226" s="9">
        <v>276</v>
      </c>
      <c r="B226">
        <v>67.741935483870961</v>
      </c>
      <c r="C226">
        <v>1</v>
      </c>
    </row>
    <row r="227" spans="1:3">
      <c r="A227" s="9">
        <v>277</v>
      </c>
      <c r="B227">
        <v>68.852459016393439</v>
      </c>
      <c r="C227">
        <v>1</v>
      </c>
    </row>
    <row r="228" spans="1:3">
      <c r="A228" s="9">
        <v>278</v>
      </c>
      <c r="B228">
        <v>141.18644067796612</v>
      </c>
      <c r="C228">
        <v>2</v>
      </c>
    </row>
    <row r="229" spans="1:3">
      <c r="A229" s="9">
        <v>279</v>
      </c>
      <c r="B229">
        <v>292.10335792459205</v>
      </c>
      <c r="C229">
        <v>4</v>
      </c>
    </row>
    <row r="230" spans="1:3">
      <c r="A230" s="9">
        <v>280</v>
      </c>
      <c r="B230">
        <v>74.074074074074076</v>
      </c>
      <c r="C230">
        <v>1</v>
      </c>
    </row>
    <row r="231" spans="1:3">
      <c r="A231" s="9">
        <v>283</v>
      </c>
      <c r="B231">
        <v>219.21084834514357</v>
      </c>
      <c r="C231">
        <v>3</v>
      </c>
    </row>
    <row r="232" spans="1:3">
      <c r="A232" s="9">
        <v>284</v>
      </c>
      <c r="B232">
        <v>143.42857142857144</v>
      </c>
      <c r="C232">
        <v>2</v>
      </c>
    </row>
    <row r="233" spans="1:3">
      <c r="A233" s="9">
        <v>285</v>
      </c>
      <c r="B233">
        <v>210.61131668208449</v>
      </c>
      <c r="C233">
        <v>3</v>
      </c>
    </row>
    <row r="234" spans="1:3">
      <c r="A234" s="9">
        <v>286</v>
      </c>
      <c r="B234">
        <v>215.93140709419777</v>
      </c>
      <c r="C234">
        <v>3</v>
      </c>
    </row>
    <row r="235" spans="1:3">
      <c r="A235" s="9">
        <v>287</v>
      </c>
      <c r="B235">
        <v>144.5993031358885</v>
      </c>
      <c r="C235">
        <v>2</v>
      </c>
    </row>
    <row r="236" spans="1:3">
      <c r="A236" s="9">
        <v>288</v>
      </c>
      <c r="B236">
        <v>217.97908232118758</v>
      </c>
      <c r="C236">
        <v>3</v>
      </c>
    </row>
    <row r="237" spans="1:3">
      <c r="A237" s="9">
        <v>289</v>
      </c>
      <c r="B237">
        <v>222.25868725868725</v>
      </c>
      <c r="C237">
        <v>3</v>
      </c>
    </row>
    <row r="238" spans="1:3">
      <c r="A238" s="9">
        <v>290</v>
      </c>
      <c r="B238">
        <v>289.0994264274625</v>
      </c>
      <c r="C238">
        <v>4</v>
      </c>
    </row>
    <row r="239" spans="1:3">
      <c r="A239" s="9">
        <v>291</v>
      </c>
      <c r="B239">
        <v>138.9655172413793</v>
      </c>
      <c r="C239">
        <v>2</v>
      </c>
    </row>
    <row r="240" spans="1:3">
      <c r="A240" s="9">
        <v>292</v>
      </c>
      <c r="B240">
        <v>286.87586487586486</v>
      </c>
      <c r="C240">
        <v>4</v>
      </c>
    </row>
    <row r="241" spans="1:3">
      <c r="A241" s="9">
        <v>293</v>
      </c>
      <c r="B241">
        <v>221.64031620553362</v>
      </c>
      <c r="C241">
        <v>3</v>
      </c>
    </row>
    <row r="242" spans="1:3">
      <c r="A242" s="9">
        <v>294</v>
      </c>
      <c r="B242">
        <v>224.87468671679198</v>
      </c>
      <c r="C242">
        <v>3</v>
      </c>
    </row>
    <row r="243" spans="1:3">
      <c r="A243" s="9">
        <v>295</v>
      </c>
      <c r="B243">
        <v>321.38071895424838</v>
      </c>
      <c r="C243">
        <v>4</v>
      </c>
    </row>
    <row r="244" spans="1:3">
      <c r="A244" s="9">
        <v>296</v>
      </c>
      <c r="B244">
        <v>303.22177822177827</v>
      </c>
      <c r="C244">
        <v>4</v>
      </c>
    </row>
    <row r="245" spans="1:3">
      <c r="A245" s="9">
        <v>297</v>
      </c>
      <c r="B245">
        <v>232.77777777777777</v>
      </c>
      <c r="C245">
        <v>3</v>
      </c>
    </row>
    <row r="246" spans="1:3">
      <c r="A246" s="9">
        <v>298</v>
      </c>
      <c r="B246">
        <v>309.76190476190476</v>
      </c>
      <c r="C246">
        <v>4</v>
      </c>
    </row>
    <row r="247" spans="1:3">
      <c r="A247" s="9">
        <v>299</v>
      </c>
      <c r="B247">
        <v>66.666666666666657</v>
      </c>
      <c r="C247">
        <v>1</v>
      </c>
    </row>
    <row r="248" spans="1:3">
      <c r="A248" s="9">
        <v>300</v>
      </c>
      <c r="B248">
        <v>50</v>
      </c>
      <c r="C248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1"/>
  <sheetViews>
    <sheetView zoomScale="26" workbookViewId="0">
      <pane ySplit="1" topLeftCell="A2" activePane="bottomLeft" state="frozen"/>
      <selection activeCell="C19" sqref="C19"/>
      <selection pane="bottomLeft" activeCell="A2" sqref="A2:Q301"/>
    </sheetView>
  </sheetViews>
  <sheetFormatPr defaultRowHeight="14.4"/>
  <cols>
    <col min="1" max="1" width="14" customWidth="1"/>
    <col min="2" max="2" width="17.21875" customWidth="1"/>
    <col min="3" max="3" width="9" customWidth="1"/>
    <col min="4" max="4" width="6.109375" customWidth="1"/>
    <col min="5" max="5" width="18" customWidth="1"/>
    <col min="6" max="6" width="30" customWidth="1"/>
    <col min="7" max="7" width="8" customWidth="1"/>
    <col min="8" max="8" width="21" customWidth="1"/>
    <col min="9" max="9" width="18" customWidth="1"/>
    <col min="10" max="10" width="20" customWidth="1"/>
    <col min="11" max="11" width="19.44140625" customWidth="1"/>
    <col min="12" max="12" width="23.109375" customWidth="1"/>
    <col min="13" max="13" width="15" customWidth="1"/>
    <col min="14" max="14" width="12.77734375" style="3" customWidth="1"/>
    <col min="15" max="15" width="19.88671875" style="3" customWidth="1"/>
    <col min="16" max="16" width="21" style="3" customWidth="1"/>
    <col min="17" max="17" width="10.109375" style="4" customWidth="1"/>
    <col min="20" max="20" width="14.44140625" bestFit="1" customWidth="1"/>
  </cols>
  <sheetData>
    <row r="1" spans="1:2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7" t="s">
        <v>23</v>
      </c>
      <c r="O1" s="7" t="s">
        <v>24</v>
      </c>
      <c r="P1" s="7" t="s">
        <v>25</v>
      </c>
      <c r="Q1" s="6" t="s">
        <v>26</v>
      </c>
    </row>
    <row r="2" spans="1:21">
      <c r="A2">
        <v>1</v>
      </c>
      <c r="B2" t="s">
        <v>27</v>
      </c>
      <c r="C2" t="s">
        <v>28</v>
      </c>
      <c r="D2">
        <v>38</v>
      </c>
      <c r="E2" t="s">
        <v>29</v>
      </c>
      <c r="F2" t="s">
        <v>30</v>
      </c>
      <c r="G2">
        <v>48000</v>
      </c>
      <c r="H2" s="1">
        <v>44469</v>
      </c>
      <c r="I2">
        <v>5</v>
      </c>
      <c r="J2" t="s">
        <v>31</v>
      </c>
      <c r="K2">
        <v>84.1</v>
      </c>
      <c r="L2">
        <v>97.6</v>
      </c>
      <c r="M2">
        <v>13</v>
      </c>
      <c r="N2" s="3">
        <v>1</v>
      </c>
      <c r="O2" s="3" t="s">
        <v>32</v>
      </c>
      <c r="P2" s="5"/>
      <c r="Q2" s="4" t="s">
        <v>33</v>
      </c>
    </row>
    <row r="3" spans="1:21">
      <c r="A3">
        <v>2</v>
      </c>
      <c r="B3" t="s">
        <v>34</v>
      </c>
      <c r="C3" t="s">
        <v>28</v>
      </c>
      <c r="D3">
        <v>53</v>
      </c>
      <c r="E3" t="s">
        <v>35</v>
      </c>
      <c r="F3" t="s">
        <v>36</v>
      </c>
      <c r="G3">
        <v>74000</v>
      </c>
      <c r="H3" s="1">
        <v>45931</v>
      </c>
      <c r="I3">
        <v>1</v>
      </c>
      <c r="J3" t="s">
        <v>37</v>
      </c>
      <c r="K3">
        <v>56.1</v>
      </c>
      <c r="L3">
        <v>85.5</v>
      </c>
      <c r="M3">
        <v>14</v>
      </c>
      <c r="N3" s="3">
        <v>18</v>
      </c>
      <c r="O3" s="3" t="s">
        <v>38</v>
      </c>
      <c r="P3" s="5">
        <v>45872</v>
      </c>
      <c r="Q3" s="4" t="s">
        <v>39</v>
      </c>
    </row>
    <row r="4" spans="1:21">
      <c r="A4">
        <v>3</v>
      </c>
      <c r="B4" t="s">
        <v>40</v>
      </c>
      <c r="C4" t="s">
        <v>28</v>
      </c>
      <c r="D4">
        <v>48</v>
      </c>
      <c r="E4" t="s">
        <v>41</v>
      </c>
      <c r="F4" t="s">
        <v>42</v>
      </c>
      <c r="G4">
        <v>35000</v>
      </c>
      <c r="H4" s="1">
        <v>44859</v>
      </c>
      <c r="I4">
        <v>4</v>
      </c>
      <c r="J4" t="s">
        <v>43</v>
      </c>
      <c r="K4">
        <v>87.8</v>
      </c>
      <c r="L4">
        <v>83.8</v>
      </c>
      <c r="M4">
        <v>11</v>
      </c>
      <c r="N4" s="3">
        <v>11</v>
      </c>
      <c r="O4" s="3" t="s">
        <v>32</v>
      </c>
      <c r="P4" s="5"/>
      <c r="Q4" s="4" t="s">
        <v>44</v>
      </c>
    </row>
    <row r="5" spans="1:21">
      <c r="A5">
        <v>4</v>
      </c>
      <c r="B5" t="s">
        <v>45</v>
      </c>
      <c r="C5" t="s">
        <v>46</v>
      </c>
      <c r="D5">
        <v>55</v>
      </c>
      <c r="E5" t="s">
        <v>47</v>
      </c>
      <c r="F5" t="s">
        <v>48</v>
      </c>
      <c r="G5">
        <v>51000</v>
      </c>
      <c r="H5" s="1">
        <v>43977</v>
      </c>
      <c r="I5">
        <v>6.4</v>
      </c>
      <c r="J5" t="s">
        <v>49</v>
      </c>
      <c r="K5">
        <v>96.8</v>
      </c>
      <c r="L5">
        <v>88.6</v>
      </c>
      <c r="M5">
        <v>19</v>
      </c>
      <c r="N5" s="3">
        <v>11</v>
      </c>
      <c r="O5" s="3" t="s">
        <v>38</v>
      </c>
      <c r="P5" s="5">
        <v>46001</v>
      </c>
      <c r="Q5" s="4" t="s">
        <v>44</v>
      </c>
    </row>
    <row r="6" spans="1:21">
      <c r="A6">
        <v>5</v>
      </c>
      <c r="B6" t="s">
        <v>50</v>
      </c>
      <c r="C6" t="s">
        <v>28</v>
      </c>
      <c r="D6">
        <v>23</v>
      </c>
      <c r="E6" t="s">
        <v>51</v>
      </c>
      <c r="F6" t="s">
        <v>52</v>
      </c>
      <c r="G6">
        <v>43000</v>
      </c>
      <c r="H6" s="1">
        <v>46174</v>
      </c>
      <c r="I6">
        <v>0.4</v>
      </c>
      <c r="J6" t="s">
        <v>53</v>
      </c>
      <c r="K6">
        <v>58.4</v>
      </c>
      <c r="L6">
        <v>86.1</v>
      </c>
      <c r="M6">
        <v>8</v>
      </c>
      <c r="N6" s="3">
        <v>14</v>
      </c>
      <c r="O6" s="3" t="s">
        <v>32</v>
      </c>
      <c r="P6" s="5"/>
      <c r="Q6" s="4" t="s">
        <v>39</v>
      </c>
    </row>
    <row r="7" spans="1:21">
      <c r="A7">
        <v>6</v>
      </c>
      <c r="B7" t="s">
        <v>54</v>
      </c>
      <c r="C7" t="s">
        <v>46</v>
      </c>
      <c r="D7">
        <v>34</v>
      </c>
      <c r="E7" t="s">
        <v>51</v>
      </c>
      <c r="F7" t="s">
        <v>55</v>
      </c>
      <c r="G7">
        <v>49000</v>
      </c>
      <c r="H7" s="1">
        <v>46211</v>
      </c>
      <c r="I7">
        <v>0.2</v>
      </c>
      <c r="J7" t="s">
        <v>31</v>
      </c>
      <c r="K7">
        <v>66.5</v>
      </c>
      <c r="L7">
        <v>98.4</v>
      </c>
      <c r="M7">
        <v>20</v>
      </c>
      <c r="N7" s="3">
        <v>5</v>
      </c>
      <c r="O7" s="3" t="s">
        <v>32</v>
      </c>
      <c r="P7" s="5"/>
      <c r="Q7" s="4" t="s">
        <v>44</v>
      </c>
    </row>
    <row r="8" spans="1:21">
      <c r="A8">
        <v>7</v>
      </c>
      <c r="B8" t="s">
        <v>56</v>
      </c>
      <c r="C8" t="s">
        <v>28</v>
      </c>
      <c r="D8">
        <v>50</v>
      </c>
      <c r="E8" t="s">
        <v>29</v>
      </c>
      <c r="F8" t="s">
        <v>30</v>
      </c>
      <c r="G8">
        <v>43000</v>
      </c>
      <c r="H8" s="1">
        <v>45020</v>
      </c>
      <c r="I8">
        <v>3.5</v>
      </c>
      <c r="J8" t="s">
        <v>43</v>
      </c>
      <c r="K8">
        <v>84.6</v>
      </c>
      <c r="L8">
        <v>85.8</v>
      </c>
      <c r="M8">
        <v>7</v>
      </c>
      <c r="N8" s="3">
        <v>1</v>
      </c>
      <c r="O8" s="3" t="s">
        <v>32</v>
      </c>
      <c r="P8" s="5"/>
      <c r="Q8" s="4" t="s">
        <v>39</v>
      </c>
    </row>
    <row r="9" spans="1:21">
      <c r="A9">
        <v>8</v>
      </c>
      <c r="B9" t="s">
        <v>57</v>
      </c>
      <c r="C9" t="s">
        <v>28</v>
      </c>
      <c r="D9">
        <v>34</v>
      </c>
      <c r="E9" t="s">
        <v>58</v>
      </c>
      <c r="F9" t="s">
        <v>59</v>
      </c>
      <c r="G9">
        <v>77000</v>
      </c>
      <c r="H9" s="1">
        <v>45789</v>
      </c>
      <c r="I9">
        <v>1.4</v>
      </c>
      <c r="J9" t="s">
        <v>53</v>
      </c>
      <c r="K9">
        <v>92.7</v>
      </c>
      <c r="L9">
        <v>87.5</v>
      </c>
      <c r="M9">
        <v>20</v>
      </c>
      <c r="N9" s="3">
        <v>14</v>
      </c>
      <c r="O9" s="3" t="s">
        <v>32</v>
      </c>
      <c r="P9" s="5"/>
      <c r="Q9" s="4" t="s">
        <v>60</v>
      </c>
    </row>
    <row r="10" spans="1:21">
      <c r="A10">
        <v>9</v>
      </c>
      <c r="B10" t="s">
        <v>61</v>
      </c>
      <c r="C10" t="s">
        <v>28</v>
      </c>
      <c r="D10">
        <v>56</v>
      </c>
      <c r="E10" t="s">
        <v>47</v>
      </c>
      <c r="F10" t="s">
        <v>48</v>
      </c>
      <c r="G10">
        <v>43000</v>
      </c>
      <c r="H10" s="1">
        <v>45673</v>
      </c>
      <c r="I10">
        <v>1.7</v>
      </c>
      <c r="J10" t="s">
        <v>37</v>
      </c>
      <c r="K10">
        <v>93.6</v>
      </c>
      <c r="L10">
        <v>89</v>
      </c>
      <c r="M10">
        <v>16</v>
      </c>
      <c r="N10" s="3">
        <v>15</v>
      </c>
      <c r="O10" s="3" t="s">
        <v>32</v>
      </c>
      <c r="P10" s="5"/>
      <c r="Q10" s="4" t="s">
        <v>33</v>
      </c>
    </row>
    <row r="11" spans="1:21">
      <c r="A11">
        <v>10</v>
      </c>
      <c r="B11" t="s">
        <v>62</v>
      </c>
      <c r="C11" t="s">
        <v>28</v>
      </c>
      <c r="D11">
        <v>30</v>
      </c>
      <c r="E11" t="s">
        <v>41</v>
      </c>
      <c r="F11" t="s">
        <v>42</v>
      </c>
      <c r="G11">
        <v>46000</v>
      </c>
      <c r="H11" s="1">
        <v>46036</v>
      </c>
      <c r="I11">
        <v>0.7</v>
      </c>
      <c r="J11" t="s">
        <v>53</v>
      </c>
      <c r="K11">
        <v>61.9</v>
      </c>
      <c r="L11">
        <v>93.9</v>
      </c>
      <c r="M11">
        <v>12</v>
      </c>
      <c r="N11" s="3">
        <v>14</v>
      </c>
      <c r="O11" s="3" t="s">
        <v>38</v>
      </c>
      <c r="P11" s="5">
        <v>46236</v>
      </c>
      <c r="Q11" s="4" t="s">
        <v>44</v>
      </c>
    </row>
    <row r="12" spans="1:21">
      <c r="A12">
        <v>11</v>
      </c>
      <c r="B12" t="s">
        <v>63</v>
      </c>
      <c r="C12" t="s">
        <v>28</v>
      </c>
      <c r="D12">
        <v>28</v>
      </c>
      <c r="E12" t="s">
        <v>47</v>
      </c>
      <c r="F12" t="s">
        <v>64</v>
      </c>
      <c r="G12">
        <v>57000</v>
      </c>
      <c r="H12" s="1">
        <v>46258</v>
      </c>
      <c r="I12">
        <v>0.1</v>
      </c>
      <c r="J12" t="s">
        <v>53</v>
      </c>
      <c r="K12">
        <v>88</v>
      </c>
      <c r="L12">
        <v>88</v>
      </c>
      <c r="M12">
        <v>5</v>
      </c>
      <c r="N12" s="3">
        <v>14</v>
      </c>
      <c r="O12" s="3" t="s">
        <v>32</v>
      </c>
      <c r="P12" s="5"/>
      <c r="Q12" s="4" t="s">
        <v>33</v>
      </c>
      <c r="T12" s="10" t="s">
        <v>393</v>
      </c>
      <c r="U12" s="10">
        <f>AVERAGE(G2:G301)</f>
        <v>45356.666666666664</v>
      </c>
    </row>
    <row r="13" spans="1:21">
      <c r="A13">
        <v>12</v>
      </c>
      <c r="B13" t="s">
        <v>65</v>
      </c>
      <c r="C13" t="s">
        <v>46</v>
      </c>
      <c r="D13">
        <v>53</v>
      </c>
      <c r="E13" t="s">
        <v>29</v>
      </c>
      <c r="F13" t="s">
        <v>66</v>
      </c>
      <c r="G13">
        <v>34000</v>
      </c>
      <c r="H13" s="1">
        <v>44197</v>
      </c>
      <c r="I13">
        <v>5.8</v>
      </c>
      <c r="J13" t="s">
        <v>49</v>
      </c>
      <c r="K13">
        <v>76.8</v>
      </c>
      <c r="L13">
        <v>83.9</v>
      </c>
      <c r="M13">
        <v>16</v>
      </c>
      <c r="N13" s="3">
        <v>6</v>
      </c>
      <c r="O13" s="3" t="s">
        <v>32</v>
      </c>
      <c r="P13" s="5"/>
      <c r="Q13" s="4" t="s">
        <v>60</v>
      </c>
      <c r="T13" s="10" t="s">
        <v>394</v>
      </c>
      <c r="U13" s="10">
        <f>MEDIAN(G2:G301)</f>
        <v>44000</v>
      </c>
    </row>
    <row r="14" spans="1:21">
      <c r="A14">
        <v>13</v>
      </c>
      <c r="B14" t="s">
        <v>67</v>
      </c>
      <c r="C14" t="s">
        <v>28</v>
      </c>
      <c r="D14">
        <v>41</v>
      </c>
      <c r="E14" t="s">
        <v>47</v>
      </c>
      <c r="F14" t="s">
        <v>48</v>
      </c>
      <c r="G14">
        <v>67000</v>
      </c>
      <c r="H14" s="1">
        <v>45467</v>
      </c>
      <c r="I14">
        <v>2.2999999999999998</v>
      </c>
      <c r="J14" t="s">
        <v>37</v>
      </c>
      <c r="K14">
        <v>92.8</v>
      </c>
      <c r="L14">
        <v>96.6</v>
      </c>
      <c r="M14">
        <v>1</v>
      </c>
      <c r="N14" s="3">
        <v>7</v>
      </c>
      <c r="O14" s="3" t="s">
        <v>32</v>
      </c>
      <c r="P14" s="5"/>
      <c r="Q14" s="4" t="s">
        <v>44</v>
      </c>
      <c r="T14" s="10" t="s">
        <v>395</v>
      </c>
      <c r="U14" s="10">
        <f>MAX(G2:G301)</f>
        <v>77000</v>
      </c>
    </row>
    <row r="15" spans="1:21">
      <c r="A15">
        <v>14</v>
      </c>
      <c r="B15" t="s">
        <v>68</v>
      </c>
      <c r="C15" t="s">
        <v>46</v>
      </c>
      <c r="D15">
        <v>25</v>
      </c>
      <c r="E15" t="s">
        <v>35</v>
      </c>
      <c r="F15" t="s">
        <v>69</v>
      </c>
      <c r="G15">
        <v>58000</v>
      </c>
      <c r="H15" s="1">
        <v>45647</v>
      </c>
      <c r="I15">
        <v>1.8</v>
      </c>
      <c r="J15" t="s">
        <v>31</v>
      </c>
      <c r="K15">
        <v>87.9</v>
      </c>
      <c r="L15">
        <v>84.2</v>
      </c>
      <c r="M15">
        <v>5</v>
      </c>
      <c r="N15" s="3">
        <v>8</v>
      </c>
      <c r="O15" s="3" t="s">
        <v>32</v>
      </c>
      <c r="P15" s="5"/>
      <c r="Q15" s="4" t="s">
        <v>44</v>
      </c>
      <c r="T15" s="10" t="s">
        <v>396</v>
      </c>
      <c r="U15" s="10">
        <f>MIN(G2:G301)</f>
        <v>18000</v>
      </c>
    </row>
    <row r="16" spans="1:21">
      <c r="A16">
        <v>15</v>
      </c>
      <c r="B16" t="s">
        <v>70</v>
      </c>
      <c r="C16" t="s">
        <v>46</v>
      </c>
      <c r="D16">
        <v>34</v>
      </c>
      <c r="E16" t="s">
        <v>41</v>
      </c>
      <c r="F16" t="s">
        <v>71</v>
      </c>
      <c r="G16">
        <v>36000</v>
      </c>
      <c r="H16" s="1">
        <v>45674</v>
      </c>
      <c r="I16">
        <v>1.7</v>
      </c>
      <c r="J16" t="s">
        <v>53</v>
      </c>
      <c r="K16">
        <v>85.7</v>
      </c>
      <c r="L16">
        <v>89</v>
      </c>
      <c r="M16">
        <v>16</v>
      </c>
      <c r="N16" s="3">
        <v>14</v>
      </c>
      <c r="O16" s="3" t="s">
        <v>32</v>
      </c>
      <c r="P16" s="5"/>
      <c r="Q16" s="4" t="s">
        <v>33</v>
      </c>
    </row>
    <row r="17" spans="1:17">
      <c r="A17">
        <v>16</v>
      </c>
      <c r="B17" t="s">
        <v>72</v>
      </c>
      <c r="C17" t="s">
        <v>28</v>
      </c>
      <c r="D17">
        <v>42</v>
      </c>
      <c r="E17" t="s">
        <v>51</v>
      </c>
      <c r="F17" t="s">
        <v>73</v>
      </c>
      <c r="G17">
        <v>27000</v>
      </c>
      <c r="H17" s="1">
        <v>43552</v>
      </c>
      <c r="I17">
        <v>7.5</v>
      </c>
      <c r="J17" t="s">
        <v>43</v>
      </c>
      <c r="K17">
        <v>80.3</v>
      </c>
      <c r="L17">
        <v>86</v>
      </c>
      <c r="M17">
        <v>2</v>
      </c>
      <c r="N17" s="3">
        <v>1</v>
      </c>
      <c r="O17" s="3" t="s">
        <v>32</v>
      </c>
      <c r="P17" s="5"/>
      <c r="Q17" s="4" t="s">
        <v>60</v>
      </c>
    </row>
    <row r="18" spans="1:17">
      <c r="A18">
        <v>17</v>
      </c>
      <c r="B18" t="s">
        <v>74</v>
      </c>
      <c r="C18" t="s">
        <v>46</v>
      </c>
      <c r="D18">
        <v>25</v>
      </c>
      <c r="E18" t="s">
        <v>35</v>
      </c>
      <c r="F18" t="s">
        <v>69</v>
      </c>
      <c r="G18">
        <v>56000</v>
      </c>
      <c r="H18" s="1">
        <v>45571</v>
      </c>
      <c r="I18">
        <v>2</v>
      </c>
      <c r="J18" t="s">
        <v>53</v>
      </c>
      <c r="K18">
        <v>64.2</v>
      </c>
      <c r="L18">
        <v>84.3</v>
      </c>
      <c r="M18">
        <v>7</v>
      </c>
      <c r="N18" s="3">
        <v>15</v>
      </c>
      <c r="O18" s="3" t="s">
        <v>38</v>
      </c>
      <c r="P18" s="5">
        <v>45711</v>
      </c>
      <c r="Q18" s="4" t="s">
        <v>75</v>
      </c>
    </row>
    <row r="19" spans="1:17">
      <c r="A19">
        <v>18</v>
      </c>
      <c r="B19" t="s">
        <v>76</v>
      </c>
      <c r="C19" t="s">
        <v>28</v>
      </c>
      <c r="D19">
        <v>48</v>
      </c>
      <c r="E19" t="s">
        <v>51</v>
      </c>
      <c r="F19" t="s">
        <v>73</v>
      </c>
      <c r="G19">
        <v>55000</v>
      </c>
      <c r="H19" s="1">
        <v>44917</v>
      </c>
      <c r="I19">
        <v>3.8</v>
      </c>
      <c r="J19" t="s">
        <v>49</v>
      </c>
      <c r="K19">
        <v>73.2</v>
      </c>
      <c r="L19">
        <v>90.2</v>
      </c>
      <c r="M19">
        <v>20</v>
      </c>
      <c r="N19" s="3">
        <v>3</v>
      </c>
      <c r="O19" s="3" t="s">
        <v>32</v>
      </c>
      <c r="P19" s="5"/>
      <c r="Q19" s="4" t="s">
        <v>33</v>
      </c>
    </row>
    <row r="20" spans="1:17">
      <c r="A20">
        <v>19</v>
      </c>
      <c r="B20" t="s">
        <v>77</v>
      </c>
      <c r="C20" t="s">
        <v>46</v>
      </c>
      <c r="D20">
        <v>27</v>
      </c>
      <c r="E20" t="s">
        <v>58</v>
      </c>
      <c r="F20" t="s">
        <v>78</v>
      </c>
      <c r="G20">
        <v>57000</v>
      </c>
      <c r="H20" s="1">
        <v>44484</v>
      </c>
      <c r="I20">
        <v>5</v>
      </c>
      <c r="J20" t="s">
        <v>37</v>
      </c>
      <c r="K20">
        <v>61</v>
      </c>
      <c r="L20">
        <v>85.2</v>
      </c>
      <c r="M20">
        <v>2</v>
      </c>
      <c r="N20" s="3">
        <v>14</v>
      </c>
      <c r="O20" s="3" t="s">
        <v>32</v>
      </c>
      <c r="P20" s="5"/>
      <c r="Q20" s="4" t="s">
        <v>44</v>
      </c>
    </row>
    <row r="21" spans="1:17">
      <c r="A21">
        <v>20</v>
      </c>
      <c r="B21" t="s">
        <v>79</v>
      </c>
      <c r="C21" t="s">
        <v>28</v>
      </c>
      <c r="D21">
        <v>26</v>
      </c>
      <c r="E21" t="s">
        <v>35</v>
      </c>
      <c r="F21" t="s">
        <v>69</v>
      </c>
      <c r="G21">
        <v>69000</v>
      </c>
      <c r="H21" s="1">
        <v>44434</v>
      </c>
      <c r="I21">
        <v>5.0999999999999996</v>
      </c>
      <c r="J21" t="s">
        <v>53</v>
      </c>
      <c r="K21">
        <v>62.2</v>
      </c>
      <c r="L21">
        <v>90.5</v>
      </c>
      <c r="M21">
        <v>1</v>
      </c>
      <c r="N21" s="3">
        <v>5</v>
      </c>
      <c r="O21" s="3" t="s">
        <v>32</v>
      </c>
      <c r="P21" s="5"/>
      <c r="Q21" s="4" t="s">
        <v>75</v>
      </c>
    </row>
    <row r="22" spans="1:17">
      <c r="A22">
        <v>21</v>
      </c>
      <c r="B22" t="s">
        <v>80</v>
      </c>
      <c r="C22" t="s">
        <v>46</v>
      </c>
      <c r="D22">
        <v>50</v>
      </c>
      <c r="E22" t="s">
        <v>35</v>
      </c>
      <c r="F22" t="s">
        <v>81</v>
      </c>
      <c r="G22">
        <v>28000</v>
      </c>
      <c r="H22" s="1">
        <v>44634</v>
      </c>
      <c r="I22">
        <v>4.5999999999999996</v>
      </c>
      <c r="J22" t="s">
        <v>37</v>
      </c>
      <c r="K22">
        <v>97.8</v>
      </c>
      <c r="L22">
        <v>91.7</v>
      </c>
      <c r="M22">
        <v>6</v>
      </c>
      <c r="N22" s="3">
        <v>9</v>
      </c>
      <c r="O22" s="3" t="s">
        <v>32</v>
      </c>
      <c r="P22" s="5"/>
      <c r="Q22" s="4" t="s">
        <v>60</v>
      </c>
    </row>
    <row r="23" spans="1:17">
      <c r="A23">
        <v>22</v>
      </c>
      <c r="B23" t="s">
        <v>82</v>
      </c>
      <c r="C23" t="s">
        <v>46</v>
      </c>
      <c r="D23">
        <v>24</v>
      </c>
      <c r="E23" t="s">
        <v>35</v>
      </c>
      <c r="F23" t="s">
        <v>69</v>
      </c>
      <c r="G23">
        <v>69000</v>
      </c>
      <c r="H23" s="1">
        <v>43671</v>
      </c>
      <c r="I23">
        <v>7.2</v>
      </c>
      <c r="J23" t="s">
        <v>43</v>
      </c>
      <c r="K23">
        <v>80.099999999999994</v>
      </c>
      <c r="L23">
        <v>90.8</v>
      </c>
      <c r="M23">
        <v>16</v>
      </c>
      <c r="N23" s="3">
        <v>2</v>
      </c>
      <c r="O23" s="3" t="s">
        <v>38</v>
      </c>
      <c r="P23" s="5">
        <v>46140</v>
      </c>
      <c r="Q23" s="4" t="s">
        <v>60</v>
      </c>
    </row>
    <row r="24" spans="1:17">
      <c r="A24">
        <v>23</v>
      </c>
      <c r="B24" t="s">
        <v>83</v>
      </c>
      <c r="C24" t="s">
        <v>28</v>
      </c>
      <c r="D24">
        <v>46</v>
      </c>
      <c r="E24" t="s">
        <v>35</v>
      </c>
      <c r="F24" t="s">
        <v>69</v>
      </c>
      <c r="G24">
        <v>69000</v>
      </c>
      <c r="H24" s="1">
        <v>43957</v>
      </c>
      <c r="I24">
        <v>6.4</v>
      </c>
      <c r="J24" t="s">
        <v>53</v>
      </c>
      <c r="K24">
        <v>79.900000000000006</v>
      </c>
      <c r="L24">
        <v>82.7</v>
      </c>
      <c r="M24">
        <v>21</v>
      </c>
      <c r="N24" s="3">
        <v>18</v>
      </c>
      <c r="O24" s="3" t="s">
        <v>32</v>
      </c>
      <c r="P24" s="5"/>
      <c r="Q24" s="4" t="s">
        <v>44</v>
      </c>
    </row>
    <row r="25" spans="1:17">
      <c r="A25">
        <v>24</v>
      </c>
      <c r="B25" t="s">
        <v>84</v>
      </c>
      <c r="C25" t="s">
        <v>46</v>
      </c>
      <c r="D25">
        <v>34</v>
      </c>
      <c r="E25" t="s">
        <v>85</v>
      </c>
      <c r="F25" t="s">
        <v>86</v>
      </c>
      <c r="G25">
        <v>38000</v>
      </c>
      <c r="H25" s="1">
        <v>46209</v>
      </c>
      <c r="I25">
        <v>0.3</v>
      </c>
      <c r="J25" t="s">
        <v>37</v>
      </c>
      <c r="K25">
        <v>85.8</v>
      </c>
      <c r="L25">
        <v>86.2</v>
      </c>
      <c r="M25">
        <v>21</v>
      </c>
      <c r="N25" s="3">
        <v>9</v>
      </c>
      <c r="O25" s="3" t="s">
        <v>32</v>
      </c>
      <c r="P25" s="5"/>
      <c r="Q25" s="4" t="s">
        <v>75</v>
      </c>
    </row>
    <row r="26" spans="1:17">
      <c r="A26">
        <v>25</v>
      </c>
      <c r="B26" t="s">
        <v>87</v>
      </c>
      <c r="C26" t="s">
        <v>28</v>
      </c>
      <c r="D26">
        <v>50</v>
      </c>
      <c r="E26" t="s">
        <v>47</v>
      </c>
      <c r="F26" t="s">
        <v>48</v>
      </c>
      <c r="G26">
        <v>77000</v>
      </c>
      <c r="H26" s="1">
        <v>46010</v>
      </c>
      <c r="I26">
        <v>0.8</v>
      </c>
      <c r="J26" t="s">
        <v>37</v>
      </c>
      <c r="K26">
        <v>58.2</v>
      </c>
      <c r="L26">
        <v>85.7</v>
      </c>
      <c r="M26">
        <v>11</v>
      </c>
      <c r="N26" s="3">
        <v>2</v>
      </c>
      <c r="O26" s="3" t="s">
        <v>32</v>
      </c>
      <c r="P26" s="5"/>
      <c r="Q26" s="4" t="s">
        <v>60</v>
      </c>
    </row>
    <row r="27" spans="1:17">
      <c r="A27">
        <v>26</v>
      </c>
      <c r="B27" t="s">
        <v>88</v>
      </c>
      <c r="C27" t="s">
        <v>28</v>
      </c>
      <c r="D27">
        <v>49</v>
      </c>
      <c r="E27" t="s">
        <v>47</v>
      </c>
      <c r="F27" t="s">
        <v>89</v>
      </c>
      <c r="G27">
        <v>44000</v>
      </c>
      <c r="H27" s="1">
        <v>45691</v>
      </c>
      <c r="I27">
        <v>1.7</v>
      </c>
      <c r="J27" t="s">
        <v>49</v>
      </c>
      <c r="K27">
        <v>85.3</v>
      </c>
      <c r="L27">
        <v>92.7</v>
      </c>
      <c r="M27">
        <v>17</v>
      </c>
      <c r="N27" s="3">
        <v>9</v>
      </c>
      <c r="O27" s="3" t="s">
        <v>38</v>
      </c>
      <c r="P27" s="5">
        <v>46293</v>
      </c>
      <c r="Q27" s="4" t="s">
        <v>33</v>
      </c>
    </row>
    <row r="28" spans="1:17">
      <c r="A28">
        <v>27</v>
      </c>
      <c r="B28" t="s">
        <v>90</v>
      </c>
      <c r="C28" t="s">
        <v>28</v>
      </c>
      <c r="D28">
        <v>27</v>
      </c>
      <c r="E28" t="s">
        <v>51</v>
      </c>
      <c r="F28" t="s">
        <v>55</v>
      </c>
      <c r="G28">
        <v>46000</v>
      </c>
      <c r="H28" s="1">
        <v>45732</v>
      </c>
      <c r="I28">
        <v>1.6</v>
      </c>
      <c r="J28" t="s">
        <v>31</v>
      </c>
      <c r="K28">
        <v>64.099999999999994</v>
      </c>
      <c r="L28">
        <v>88</v>
      </c>
      <c r="M28">
        <v>15</v>
      </c>
      <c r="N28" s="3">
        <v>8</v>
      </c>
      <c r="O28" s="3" t="s">
        <v>32</v>
      </c>
      <c r="P28" s="5"/>
      <c r="Q28" s="4" t="s">
        <v>33</v>
      </c>
    </row>
    <row r="29" spans="1:17">
      <c r="A29">
        <v>28</v>
      </c>
      <c r="B29" t="s">
        <v>91</v>
      </c>
      <c r="C29" t="s">
        <v>46</v>
      </c>
      <c r="D29">
        <v>23</v>
      </c>
      <c r="E29" t="s">
        <v>35</v>
      </c>
      <c r="F29" t="s">
        <v>81</v>
      </c>
      <c r="G29">
        <v>63000</v>
      </c>
      <c r="H29" s="1">
        <v>43480</v>
      </c>
      <c r="I29">
        <v>7.7</v>
      </c>
      <c r="J29" t="s">
        <v>37</v>
      </c>
      <c r="K29">
        <v>69.3</v>
      </c>
      <c r="L29">
        <v>84.3</v>
      </c>
      <c r="M29">
        <v>23</v>
      </c>
      <c r="N29" s="3">
        <v>14</v>
      </c>
      <c r="O29" s="3" t="s">
        <v>32</v>
      </c>
      <c r="P29" s="5"/>
      <c r="Q29" s="4" t="s">
        <v>44</v>
      </c>
    </row>
    <row r="30" spans="1:17">
      <c r="A30">
        <v>29</v>
      </c>
      <c r="B30" t="s">
        <v>92</v>
      </c>
      <c r="C30" t="s">
        <v>28</v>
      </c>
      <c r="D30">
        <v>28</v>
      </c>
      <c r="E30" t="s">
        <v>29</v>
      </c>
      <c r="F30" t="s">
        <v>93</v>
      </c>
      <c r="G30">
        <v>60000</v>
      </c>
      <c r="H30" s="1">
        <v>43774</v>
      </c>
      <c r="I30">
        <v>6.9</v>
      </c>
      <c r="J30" t="s">
        <v>31</v>
      </c>
      <c r="K30">
        <v>61.4</v>
      </c>
      <c r="L30">
        <v>82.6</v>
      </c>
      <c r="M30">
        <v>17</v>
      </c>
      <c r="N30" s="3">
        <v>4</v>
      </c>
      <c r="O30" s="3" t="s">
        <v>32</v>
      </c>
      <c r="P30" s="5"/>
      <c r="Q30" s="4" t="s">
        <v>75</v>
      </c>
    </row>
    <row r="31" spans="1:17">
      <c r="A31">
        <v>30</v>
      </c>
      <c r="B31" t="s">
        <v>94</v>
      </c>
      <c r="C31" t="s">
        <v>46</v>
      </c>
      <c r="D31">
        <v>44</v>
      </c>
      <c r="E31" t="s">
        <v>51</v>
      </c>
      <c r="F31" t="s">
        <v>73</v>
      </c>
      <c r="G31">
        <v>37000</v>
      </c>
      <c r="H31" s="1">
        <v>43629</v>
      </c>
      <c r="I31">
        <v>7.3</v>
      </c>
      <c r="J31" t="s">
        <v>49</v>
      </c>
      <c r="K31">
        <v>93.7</v>
      </c>
      <c r="L31">
        <v>85.7</v>
      </c>
      <c r="M31">
        <v>3</v>
      </c>
      <c r="N31" s="3">
        <v>11</v>
      </c>
      <c r="O31" s="3" t="s">
        <v>32</v>
      </c>
      <c r="P31" s="5"/>
      <c r="Q31" s="4" t="s">
        <v>44</v>
      </c>
    </row>
    <row r="32" spans="1:17">
      <c r="A32">
        <v>31</v>
      </c>
      <c r="B32" t="s">
        <v>95</v>
      </c>
      <c r="C32" t="s">
        <v>28</v>
      </c>
      <c r="D32">
        <v>36</v>
      </c>
      <c r="E32" t="s">
        <v>41</v>
      </c>
      <c r="F32" t="s">
        <v>96</v>
      </c>
      <c r="G32">
        <v>50000</v>
      </c>
      <c r="H32" s="1">
        <v>44131</v>
      </c>
      <c r="I32">
        <v>5.9</v>
      </c>
      <c r="J32" t="s">
        <v>53</v>
      </c>
      <c r="K32">
        <v>92.9</v>
      </c>
      <c r="L32">
        <v>82.4</v>
      </c>
      <c r="M32">
        <v>21</v>
      </c>
      <c r="N32" s="3">
        <v>7</v>
      </c>
      <c r="O32" s="3" t="s">
        <v>32</v>
      </c>
      <c r="P32" s="5"/>
      <c r="Q32" s="4" t="s">
        <v>39</v>
      </c>
    </row>
    <row r="33" spans="1:17">
      <c r="A33">
        <v>32</v>
      </c>
      <c r="B33" t="s">
        <v>97</v>
      </c>
      <c r="C33" t="s">
        <v>28</v>
      </c>
      <c r="D33">
        <v>45</v>
      </c>
      <c r="E33" t="s">
        <v>51</v>
      </c>
      <c r="F33" t="s">
        <v>52</v>
      </c>
      <c r="G33">
        <v>39000</v>
      </c>
      <c r="H33" s="1">
        <v>43624</v>
      </c>
      <c r="I33">
        <v>7.3</v>
      </c>
      <c r="J33" t="s">
        <v>98</v>
      </c>
      <c r="K33">
        <v>91.9</v>
      </c>
      <c r="L33">
        <v>85.9</v>
      </c>
      <c r="M33">
        <v>9</v>
      </c>
      <c r="N33" s="3">
        <v>7</v>
      </c>
      <c r="O33" s="3" t="s">
        <v>32</v>
      </c>
      <c r="P33" s="5"/>
      <c r="Q33" s="4" t="s">
        <v>60</v>
      </c>
    </row>
    <row r="34" spans="1:17">
      <c r="A34">
        <v>33</v>
      </c>
      <c r="B34" t="s">
        <v>99</v>
      </c>
      <c r="C34" t="s">
        <v>46</v>
      </c>
      <c r="D34">
        <v>42</v>
      </c>
      <c r="E34" t="s">
        <v>35</v>
      </c>
      <c r="F34" t="s">
        <v>36</v>
      </c>
      <c r="G34">
        <v>75000</v>
      </c>
      <c r="H34" s="1">
        <v>44607</v>
      </c>
      <c r="I34">
        <v>4.5999999999999996</v>
      </c>
      <c r="J34" t="s">
        <v>49</v>
      </c>
      <c r="K34">
        <v>67</v>
      </c>
      <c r="L34">
        <v>93.2</v>
      </c>
      <c r="M34">
        <v>17</v>
      </c>
      <c r="N34" s="3">
        <v>10</v>
      </c>
      <c r="O34" s="3" t="s">
        <v>32</v>
      </c>
      <c r="P34" s="5"/>
      <c r="Q34" s="4" t="s">
        <v>33</v>
      </c>
    </row>
    <row r="35" spans="1:17">
      <c r="A35">
        <v>34</v>
      </c>
      <c r="B35" t="s">
        <v>100</v>
      </c>
      <c r="C35" t="s">
        <v>28</v>
      </c>
      <c r="D35">
        <v>58</v>
      </c>
      <c r="E35" t="s">
        <v>35</v>
      </c>
      <c r="F35" t="s">
        <v>101</v>
      </c>
      <c r="G35">
        <v>31000</v>
      </c>
      <c r="H35" s="1">
        <v>44553</v>
      </c>
      <c r="I35">
        <v>4.8</v>
      </c>
      <c r="J35" t="s">
        <v>49</v>
      </c>
      <c r="K35">
        <v>56.6</v>
      </c>
      <c r="L35">
        <v>92.4</v>
      </c>
      <c r="M35">
        <v>10</v>
      </c>
      <c r="N35" s="3">
        <v>13</v>
      </c>
      <c r="O35" s="3" t="s">
        <v>32</v>
      </c>
      <c r="P35" s="5"/>
      <c r="Q35" s="4" t="s">
        <v>44</v>
      </c>
    </row>
    <row r="36" spans="1:17">
      <c r="A36">
        <v>35</v>
      </c>
      <c r="B36" t="s">
        <v>102</v>
      </c>
      <c r="C36" t="s">
        <v>46</v>
      </c>
      <c r="D36">
        <v>57</v>
      </c>
      <c r="E36" t="s">
        <v>85</v>
      </c>
      <c r="F36" t="s">
        <v>103</v>
      </c>
      <c r="G36">
        <v>42000</v>
      </c>
      <c r="H36" s="1">
        <v>44244</v>
      </c>
      <c r="I36">
        <v>5.6</v>
      </c>
      <c r="J36" t="s">
        <v>37</v>
      </c>
      <c r="K36">
        <v>55.1</v>
      </c>
      <c r="L36">
        <v>98.2</v>
      </c>
      <c r="M36">
        <v>11</v>
      </c>
      <c r="N36" s="3">
        <v>13</v>
      </c>
      <c r="O36" s="3" t="s">
        <v>38</v>
      </c>
      <c r="P36" s="5">
        <v>45615</v>
      </c>
      <c r="Q36" s="4" t="s">
        <v>33</v>
      </c>
    </row>
    <row r="37" spans="1:17">
      <c r="A37">
        <v>36</v>
      </c>
      <c r="B37" t="s">
        <v>104</v>
      </c>
      <c r="C37" t="s">
        <v>46</v>
      </c>
      <c r="D37">
        <v>28</v>
      </c>
      <c r="E37" t="s">
        <v>29</v>
      </c>
      <c r="F37" t="s">
        <v>93</v>
      </c>
      <c r="G37">
        <v>61000</v>
      </c>
      <c r="H37" s="1">
        <v>44696</v>
      </c>
      <c r="I37">
        <v>4.4000000000000004</v>
      </c>
      <c r="J37" t="s">
        <v>53</v>
      </c>
      <c r="K37">
        <v>76.8</v>
      </c>
      <c r="L37">
        <v>93.7</v>
      </c>
      <c r="M37">
        <v>22</v>
      </c>
      <c r="N37" s="3">
        <v>9</v>
      </c>
      <c r="O37" s="3" t="s">
        <v>32</v>
      </c>
      <c r="P37" s="5"/>
      <c r="Q37" s="4" t="s">
        <v>44</v>
      </c>
    </row>
    <row r="38" spans="1:17">
      <c r="A38">
        <v>37</v>
      </c>
      <c r="B38" t="s">
        <v>105</v>
      </c>
      <c r="C38" t="s">
        <v>46</v>
      </c>
      <c r="D38">
        <v>45</v>
      </c>
      <c r="E38" t="s">
        <v>51</v>
      </c>
      <c r="F38" t="s">
        <v>73</v>
      </c>
      <c r="G38">
        <v>41000</v>
      </c>
      <c r="H38" s="1">
        <v>46240</v>
      </c>
      <c r="I38">
        <v>0.2</v>
      </c>
      <c r="J38" t="s">
        <v>98</v>
      </c>
      <c r="K38">
        <v>79.5</v>
      </c>
      <c r="L38">
        <v>89.1</v>
      </c>
      <c r="M38">
        <v>9</v>
      </c>
      <c r="N38" s="3">
        <v>6</v>
      </c>
      <c r="O38" s="3" t="s">
        <v>32</v>
      </c>
      <c r="P38" s="5"/>
      <c r="Q38" s="4" t="s">
        <v>75</v>
      </c>
    </row>
    <row r="39" spans="1:17">
      <c r="A39">
        <v>38</v>
      </c>
      <c r="B39" t="s">
        <v>106</v>
      </c>
      <c r="C39" t="s">
        <v>46</v>
      </c>
      <c r="D39">
        <v>50</v>
      </c>
      <c r="E39" t="s">
        <v>41</v>
      </c>
      <c r="F39" t="s">
        <v>71</v>
      </c>
      <c r="G39">
        <v>31000</v>
      </c>
      <c r="H39" s="1">
        <v>45275</v>
      </c>
      <c r="I39">
        <v>2.8</v>
      </c>
      <c r="J39" t="s">
        <v>49</v>
      </c>
      <c r="K39">
        <v>74</v>
      </c>
      <c r="L39">
        <v>85.7</v>
      </c>
      <c r="M39">
        <v>5</v>
      </c>
      <c r="N39" s="3">
        <v>2</v>
      </c>
      <c r="O39" s="3" t="s">
        <v>32</v>
      </c>
      <c r="P39" s="5"/>
      <c r="Q39" s="4" t="s">
        <v>39</v>
      </c>
    </row>
    <row r="40" spans="1:17">
      <c r="A40">
        <v>39</v>
      </c>
      <c r="B40" t="s">
        <v>107</v>
      </c>
      <c r="C40" t="s">
        <v>46</v>
      </c>
      <c r="D40">
        <v>26</v>
      </c>
      <c r="E40" t="s">
        <v>85</v>
      </c>
      <c r="F40" t="s">
        <v>108</v>
      </c>
      <c r="G40">
        <v>39000</v>
      </c>
      <c r="H40" s="1">
        <v>44428</v>
      </c>
      <c r="I40">
        <v>5.0999999999999996</v>
      </c>
      <c r="J40" t="s">
        <v>53</v>
      </c>
      <c r="K40">
        <v>63.6</v>
      </c>
      <c r="L40">
        <v>82.4</v>
      </c>
      <c r="M40">
        <v>19</v>
      </c>
      <c r="N40" s="3">
        <v>2</v>
      </c>
      <c r="O40" s="3" t="s">
        <v>32</v>
      </c>
      <c r="P40" s="5"/>
      <c r="Q40" s="4" t="s">
        <v>75</v>
      </c>
    </row>
    <row r="41" spans="1:17">
      <c r="A41">
        <v>40</v>
      </c>
      <c r="B41" t="s">
        <v>109</v>
      </c>
      <c r="C41" t="s">
        <v>28</v>
      </c>
      <c r="D41">
        <v>45</v>
      </c>
      <c r="E41" t="s">
        <v>58</v>
      </c>
      <c r="F41" t="s">
        <v>78</v>
      </c>
      <c r="G41">
        <v>44000</v>
      </c>
      <c r="H41" s="1">
        <v>45490</v>
      </c>
      <c r="I41">
        <v>2.2000000000000002</v>
      </c>
      <c r="J41" t="s">
        <v>43</v>
      </c>
      <c r="K41">
        <v>72.2</v>
      </c>
      <c r="L41">
        <v>84.6</v>
      </c>
      <c r="M41">
        <v>24</v>
      </c>
      <c r="N41" s="3">
        <v>13</v>
      </c>
      <c r="O41" s="3" t="s">
        <v>32</v>
      </c>
      <c r="P41" s="5"/>
      <c r="Q41" s="4" t="s">
        <v>60</v>
      </c>
    </row>
    <row r="42" spans="1:17">
      <c r="A42">
        <v>41</v>
      </c>
      <c r="B42" t="s">
        <v>110</v>
      </c>
      <c r="C42" t="s">
        <v>46</v>
      </c>
      <c r="D42">
        <v>24</v>
      </c>
      <c r="E42" t="s">
        <v>51</v>
      </c>
      <c r="F42" t="s">
        <v>52</v>
      </c>
      <c r="G42">
        <v>42000</v>
      </c>
      <c r="H42" s="1">
        <v>45749</v>
      </c>
      <c r="I42">
        <v>1.5</v>
      </c>
      <c r="J42" t="s">
        <v>31</v>
      </c>
      <c r="K42">
        <v>74.599999999999994</v>
      </c>
      <c r="L42">
        <v>96</v>
      </c>
      <c r="M42">
        <v>10</v>
      </c>
      <c r="N42" s="3">
        <v>14</v>
      </c>
      <c r="O42" s="3" t="s">
        <v>38</v>
      </c>
      <c r="P42" s="5">
        <v>45729</v>
      </c>
      <c r="Q42" s="4" t="s">
        <v>44</v>
      </c>
    </row>
    <row r="43" spans="1:17">
      <c r="A43">
        <v>42</v>
      </c>
      <c r="B43" t="s">
        <v>111</v>
      </c>
      <c r="C43" t="s">
        <v>46</v>
      </c>
      <c r="D43">
        <v>56</v>
      </c>
      <c r="E43" t="s">
        <v>41</v>
      </c>
      <c r="F43" t="s">
        <v>71</v>
      </c>
      <c r="G43">
        <v>51000</v>
      </c>
      <c r="H43" s="1">
        <v>45292</v>
      </c>
      <c r="I43">
        <v>2.8</v>
      </c>
      <c r="J43" t="s">
        <v>53</v>
      </c>
      <c r="K43">
        <v>93.6</v>
      </c>
      <c r="L43">
        <v>95</v>
      </c>
      <c r="M43">
        <v>8</v>
      </c>
      <c r="N43" s="3">
        <v>7</v>
      </c>
      <c r="O43" s="3" t="s">
        <v>32</v>
      </c>
      <c r="P43" s="5"/>
      <c r="Q43" s="4" t="s">
        <v>39</v>
      </c>
    </row>
    <row r="44" spans="1:17">
      <c r="A44">
        <v>43</v>
      </c>
      <c r="B44" t="s">
        <v>112</v>
      </c>
      <c r="C44" t="s">
        <v>46</v>
      </c>
      <c r="D44">
        <v>36</v>
      </c>
      <c r="E44" t="s">
        <v>41</v>
      </c>
      <c r="F44" t="s">
        <v>71</v>
      </c>
      <c r="G44">
        <v>24000</v>
      </c>
      <c r="H44" s="1">
        <v>44590</v>
      </c>
      <c r="I44">
        <v>4.7</v>
      </c>
      <c r="J44" t="s">
        <v>37</v>
      </c>
      <c r="K44">
        <v>65.099999999999994</v>
      </c>
      <c r="L44">
        <v>87.9</v>
      </c>
      <c r="M44">
        <v>4</v>
      </c>
      <c r="N44" s="3">
        <v>7</v>
      </c>
      <c r="O44" s="3" t="s">
        <v>38</v>
      </c>
      <c r="P44" s="5">
        <v>46219</v>
      </c>
      <c r="Q44" s="4" t="s">
        <v>75</v>
      </c>
    </row>
    <row r="45" spans="1:17">
      <c r="A45">
        <v>44</v>
      </c>
      <c r="B45" t="s">
        <v>113</v>
      </c>
      <c r="C45" t="s">
        <v>28</v>
      </c>
      <c r="D45">
        <v>25</v>
      </c>
      <c r="E45" t="s">
        <v>29</v>
      </c>
      <c r="F45" t="s">
        <v>30</v>
      </c>
      <c r="G45">
        <v>51000</v>
      </c>
      <c r="H45" s="1">
        <v>45165</v>
      </c>
      <c r="I45">
        <v>3.1</v>
      </c>
      <c r="J45" t="s">
        <v>43</v>
      </c>
      <c r="K45">
        <v>72.5</v>
      </c>
      <c r="L45">
        <v>91.5</v>
      </c>
      <c r="M45">
        <v>6</v>
      </c>
      <c r="N45" s="3">
        <v>13</v>
      </c>
      <c r="O45" s="3" t="s">
        <v>32</v>
      </c>
      <c r="P45" s="5"/>
      <c r="Q45" s="4" t="s">
        <v>75</v>
      </c>
    </row>
    <row r="46" spans="1:17">
      <c r="A46">
        <v>45</v>
      </c>
      <c r="B46" t="s">
        <v>114</v>
      </c>
      <c r="C46" t="s">
        <v>28</v>
      </c>
      <c r="D46">
        <v>57</v>
      </c>
      <c r="E46" t="s">
        <v>41</v>
      </c>
      <c r="F46" t="s">
        <v>71</v>
      </c>
      <c r="G46">
        <v>18000</v>
      </c>
      <c r="H46" s="1">
        <v>45024</v>
      </c>
      <c r="I46">
        <v>3.5</v>
      </c>
      <c r="J46" t="s">
        <v>31</v>
      </c>
      <c r="K46">
        <v>67.8</v>
      </c>
      <c r="L46">
        <v>88.8</v>
      </c>
      <c r="M46">
        <v>23</v>
      </c>
      <c r="N46" s="3">
        <v>17</v>
      </c>
      <c r="O46" s="3" t="s">
        <v>32</v>
      </c>
      <c r="P46" s="5"/>
      <c r="Q46" s="4" t="s">
        <v>44</v>
      </c>
    </row>
    <row r="47" spans="1:17">
      <c r="A47">
        <v>46</v>
      </c>
      <c r="B47" t="s">
        <v>115</v>
      </c>
      <c r="C47" t="s">
        <v>28</v>
      </c>
      <c r="D47">
        <v>38</v>
      </c>
      <c r="E47" t="s">
        <v>51</v>
      </c>
      <c r="F47" t="s">
        <v>55</v>
      </c>
      <c r="G47">
        <v>45000</v>
      </c>
      <c r="H47" s="1">
        <v>45251</v>
      </c>
      <c r="I47">
        <v>2.9</v>
      </c>
      <c r="J47" t="s">
        <v>49</v>
      </c>
      <c r="K47">
        <v>75.900000000000006</v>
      </c>
      <c r="L47">
        <v>88.8</v>
      </c>
      <c r="M47">
        <v>5</v>
      </c>
      <c r="N47" s="3">
        <v>14</v>
      </c>
      <c r="O47" s="3" t="s">
        <v>32</v>
      </c>
      <c r="P47" s="5"/>
      <c r="Q47" s="4" t="s">
        <v>60</v>
      </c>
    </row>
    <row r="48" spans="1:17">
      <c r="A48">
        <v>47</v>
      </c>
      <c r="B48" t="s">
        <v>116</v>
      </c>
      <c r="C48" t="s">
        <v>28</v>
      </c>
      <c r="D48">
        <v>46</v>
      </c>
      <c r="E48" t="s">
        <v>85</v>
      </c>
      <c r="F48" t="s">
        <v>108</v>
      </c>
      <c r="G48">
        <v>40000</v>
      </c>
      <c r="H48" s="1">
        <v>45890</v>
      </c>
      <c r="I48">
        <v>1.1000000000000001</v>
      </c>
      <c r="J48" t="s">
        <v>37</v>
      </c>
      <c r="K48">
        <v>82.6</v>
      </c>
      <c r="L48">
        <v>84.4</v>
      </c>
      <c r="M48">
        <v>1</v>
      </c>
      <c r="N48" s="3">
        <v>8</v>
      </c>
      <c r="O48" s="3" t="s">
        <v>32</v>
      </c>
      <c r="P48" s="5"/>
      <c r="Q48" s="4" t="s">
        <v>75</v>
      </c>
    </row>
    <row r="49" spans="1:17">
      <c r="A49">
        <v>48</v>
      </c>
      <c r="B49" t="s">
        <v>117</v>
      </c>
      <c r="C49" t="s">
        <v>46</v>
      </c>
      <c r="D49">
        <v>41</v>
      </c>
      <c r="E49" t="s">
        <v>47</v>
      </c>
      <c r="F49" t="s">
        <v>48</v>
      </c>
      <c r="G49">
        <v>44000</v>
      </c>
      <c r="H49" s="1">
        <v>44848</v>
      </c>
      <c r="I49">
        <v>4</v>
      </c>
      <c r="J49" t="s">
        <v>98</v>
      </c>
      <c r="K49">
        <v>87.7</v>
      </c>
      <c r="L49">
        <v>88.6</v>
      </c>
      <c r="M49">
        <v>2</v>
      </c>
      <c r="N49" s="3">
        <v>15</v>
      </c>
      <c r="O49" s="3" t="s">
        <v>32</v>
      </c>
      <c r="P49" s="5"/>
      <c r="Q49" s="4" t="s">
        <v>33</v>
      </c>
    </row>
    <row r="50" spans="1:17">
      <c r="A50">
        <v>49</v>
      </c>
      <c r="B50" t="s">
        <v>118</v>
      </c>
      <c r="C50" t="s">
        <v>28</v>
      </c>
      <c r="D50">
        <v>43</v>
      </c>
      <c r="E50" t="s">
        <v>29</v>
      </c>
      <c r="F50" t="s">
        <v>66</v>
      </c>
      <c r="G50">
        <v>35000</v>
      </c>
      <c r="H50" s="1">
        <v>44384</v>
      </c>
      <c r="I50">
        <v>5.3</v>
      </c>
      <c r="J50" t="s">
        <v>37</v>
      </c>
      <c r="K50">
        <v>83</v>
      </c>
      <c r="L50">
        <v>95.2</v>
      </c>
      <c r="M50">
        <v>0</v>
      </c>
      <c r="N50" s="3">
        <v>4</v>
      </c>
      <c r="O50" s="3" t="s">
        <v>32</v>
      </c>
      <c r="P50" s="5"/>
      <c r="Q50" s="4" t="s">
        <v>60</v>
      </c>
    </row>
    <row r="51" spans="1:17">
      <c r="A51">
        <v>50</v>
      </c>
      <c r="B51" t="s">
        <v>119</v>
      </c>
      <c r="C51" t="s">
        <v>28</v>
      </c>
      <c r="D51">
        <v>57</v>
      </c>
      <c r="E51" t="s">
        <v>51</v>
      </c>
      <c r="F51" t="s">
        <v>55</v>
      </c>
      <c r="G51">
        <v>28000</v>
      </c>
      <c r="H51" s="1">
        <v>44358</v>
      </c>
      <c r="I51">
        <v>5.3</v>
      </c>
      <c r="J51" t="s">
        <v>37</v>
      </c>
      <c r="K51">
        <v>75</v>
      </c>
      <c r="L51">
        <v>86.5</v>
      </c>
      <c r="M51">
        <v>19</v>
      </c>
      <c r="N51" s="3">
        <v>3</v>
      </c>
      <c r="O51" s="3" t="s">
        <v>32</v>
      </c>
      <c r="P51" s="5"/>
      <c r="Q51" s="4" t="s">
        <v>60</v>
      </c>
    </row>
    <row r="52" spans="1:17">
      <c r="A52">
        <v>51</v>
      </c>
      <c r="B52" t="s">
        <v>120</v>
      </c>
      <c r="C52" t="s">
        <v>28</v>
      </c>
      <c r="D52">
        <v>40</v>
      </c>
      <c r="E52" t="s">
        <v>47</v>
      </c>
      <c r="F52" t="s">
        <v>48</v>
      </c>
      <c r="G52">
        <v>34000</v>
      </c>
      <c r="H52" s="1">
        <v>45824</v>
      </c>
      <c r="I52">
        <v>1.3</v>
      </c>
      <c r="J52" t="s">
        <v>31</v>
      </c>
      <c r="K52">
        <v>72.099999999999994</v>
      </c>
      <c r="L52">
        <v>94.5</v>
      </c>
      <c r="M52">
        <v>22</v>
      </c>
      <c r="N52" s="3">
        <v>7</v>
      </c>
      <c r="O52" s="3" t="s">
        <v>32</v>
      </c>
      <c r="P52" s="5"/>
      <c r="Q52" s="4" t="s">
        <v>33</v>
      </c>
    </row>
    <row r="53" spans="1:17">
      <c r="A53">
        <v>52</v>
      </c>
      <c r="B53" t="s">
        <v>121</v>
      </c>
      <c r="C53" t="s">
        <v>28</v>
      </c>
      <c r="D53">
        <v>57</v>
      </c>
      <c r="E53" t="s">
        <v>29</v>
      </c>
      <c r="F53" t="s">
        <v>93</v>
      </c>
      <c r="G53">
        <v>23000</v>
      </c>
      <c r="H53" s="1">
        <v>43634</v>
      </c>
      <c r="I53">
        <v>7.3</v>
      </c>
      <c r="J53" t="s">
        <v>43</v>
      </c>
      <c r="K53">
        <v>69.900000000000006</v>
      </c>
      <c r="L53">
        <v>89.5</v>
      </c>
      <c r="M53">
        <v>16</v>
      </c>
      <c r="N53" s="3">
        <v>10</v>
      </c>
      <c r="O53" s="3" t="s">
        <v>32</v>
      </c>
      <c r="P53" s="5"/>
      <c r="Q53" s="4" t="s">
        <v>33</v>
      </c>
    </row>
    <row r="54" spans="1:17">
      <c r="A54">
        <v>53</v>
      </c>
      <c r="B54" t="s">
        <v>122</v>
      </c>
      <c r="C54" t="s">
        <v>46</v>
      </c>
      <c r="D54">
        <v>27</v>
      </c>
      <c r="E54" t="s">
        <v>41</v>
      </c>
      <c r="F54" t="s">
        <v>96</v>
      </c>
      <c r="G54">
        <v>46000</v>
      </c>
      <c r="H54" s="1">
        <v>45241</v>
      </c>
      <c r="I54">
        <v>2.9</v>
      </c>
      <c r="J54" t="s">
        <v>37</v>
      </c>
      <c r="K54">
        <v>90.6</v>
      </c>
      <c r="L54">
        <v>94.4</v>
      </c>
      <c r="M54">
        <v>23</v>
      </c>
      <c r="N54" s="3">
        <v>16</v>
      </c>
      <c r="O54" s="3" t="s">
        <v>32</v>
      </c>
      <c r="P54" s="5"/>
      <c r="Q54" s="4" t="s">
        <v>39</v>
      </c>
    </row>
    <row r="55" spans="1:17">
      <c r="A55">
        <v>54</v>
      </c>
      <c r="B55" t="s">
        <v>123</v>
      </c>
      <c r="C55" t="s">
        <v>46</v>
      </c>
      <c r="D55">
        <v>50</v>
      </c>
      <c r="E55" t="s">
        <v>85</v>
      </c>
      <c r="F55" t="s">
        <v>108</v>
      </c>
      <c r="G55">
        <v>39000</v>
      </c>
      <c r="H55" s="1">
        <v>45250</v>
      </c>
      <c r="I55">
        <v>2.9</v>
      </c>
      <c r="J55" t="s">
        <v>37</v>
      </c>
      <c r="K55">
        <v>90.5</v>
      </c>
      <c r="L55">
        <v>92.4</v>
      </c>
      <c r="M55">
        <v>2</v>
      </c>
      <c r="N55" s="3">
        <v>8</v>
      </c>
      <c r="O55" s="3" t="s">
        <v>32</v>
      </c>
      <c r="P55" s="5"/>
      <c r="Q55" s="4" t="s">
        <v>75</v>
      </c>
    </row>
    <row r="56" spans="1:17">
      <c r="A56">
        <v>55</v>
      </c>
      <c r="B56" t="s">
        <v>124</v>
      </c>
      <c r="C56" t="s">
        <v>46</v>
      </c>
      <c r="D56">
        <v>42</v>
      </c>
      <c r="E56" t="s">
        <v>51</v>
      </c>
      <c r="F56" t="s">
        <v>55</v>
      </c>
      <c r="G56">
        <v>33000</v>
      </c>
      <c r="H56" s="1">
        <v>43583</v>
      </c>
      <c r="I56">
        <v>7.4</v>
      </c>
      <c r="J56" t="s">
        <v>98</v>
      </c>
      <c r="K56">
        <v>76</v>
      </c>
      <c r="L56">
        <v>88.2</v>
      </c>
      <c r="M56">
        <v>8</v>
      </c>
      <c r="N56" s="3">
        <v>8</v>
      </c>
      <c r="O56" s="3" t="s">
        <v>32</v>
      </c>
      <c r="P56" s="5"/>
      <c r="Q56" s="4" t="s">
        <v>44</v>
      </c>
    </row>
    <row r="57" spans="1:17">
      <c r="A57">
        <v>56</v>
      </c>
      <c r="B57" t="s">
        <v>125</v>
      </c>
      <c r="C57" t="s">
        <v>28</v>
      </c>
      <c r="D57">
        <v>36</v>
      </c>
      <c r="E57" t="s">
        <v>35</v>
      </c>
      <c r="F57" t="s">
        <v>36</v>
      </c>
      <c r="G57">
        <v>55000</v>
      </c>
      <c r="H57" s="1">
        <v>45130</v>
      </c>
      <c r="I57">
        <v>3.2</v>
      </c>
      <c r="J57" t="s">
        <v>49</v>
      </c>
      <c r="K57">
        <v>76</v>
      </c>
      <c r="L57">
        <v>95.3</v>
      </c>
      <c r="M57">
        <v>22</v>
      </c>
      <c r="N57" s="3">
        <v>15</v>
      </c>
      <c r="O57" s="3" t="s">
        <v>32</v>
      </c>
      <c r="P57" s="5"/>
      <c r="Q57" s="4" t="s">
        <v>75</v>
      </c>
    </row>
    <row r="58" spans="1:17">
      <c r="A58">
        <v>57</v>
      </c>
      <c r="B58" t="s">
        <v>126</v>
      </c>
      <c r="C58" t="s">
        <v>28</v>
      </c>
      <c r="D58">
        <v>39</v>
      </c>
      <c r="E58" t="s">
        <v>41</v>
      </c>
      <c r="F58" t="s">
        <v>42</v>
      </c>
      <c r="G58">
        <v>31000</v>
      </c>
      <c r="H58" s="1">
        <v>44373</v>
      </c>
      <c r="I58">
        <v>5.3</v>
      </c>
      <c r="J58" t="s">
        <v>98</v>
      </c>
      <c r="K58">
        <v>83.6</v>
      </c>
      <c r="L58">
        <v>88.5</v>
      </c>
      <c r="M58">
        <v>13</v>
      </c>
      <c r="N58" s="3">
        <v>17</v>
      </c>
      <c r="O58" s="3" t="s">
        <v>38</v>
      </c>
      <c r="P58" s="5">
        <v>45758</v>
      </c>
      <c r="Q58" s="4" t="s">
        <v>39</v>
      </c>
    </row>
    <row r="59" spans="1:17">
      <c r="A59">
        <v>58</v>
      </c>
      <c r="B59" t="s">
        <v>127</v>
      </c>
      <c r="C59" t="s">
        <v>46</v>
      </c>
      <c r="D59">
        <v>38</v>
      </c>
      <c r="E59" t="s">
        <v>47</v>
      </c>
      <c r="F59" t="s">
        <v>64</v>
      </c>
      <c r="G59">
        <v>49000</v>
      </c>
      <c r="H59" s="1">
        <v>44721</v>
      </c>
      <c r="I59">
        <v>4.3</v>
      </c>
      <c r="J59" t="s">
        <v>98</v>
      </c>
      <c r="K59">
        <v>65.8</v>
      </c>
      <c r="L59">
        <v>84.1</v>
      </c>
      <c r="M59">
        <v>3</v>
      </c>
      <c r="N59" s="3">
        <v>17</v>
      </c>
      <c r="O59" s="3" t="s">
        <v>32</v>
      </c>
      <c r="P59" s="5"/>
      <c r="Q59" s="4" t="s">
        <v>60</v>
      </c>
    </row>
    <row r="60" spans="1:17">
      <c r="A60">
        <v>59</v>
      </c>
      <c r="B60" t="s">
        <v>128</v>
      </c>
      <c r="C60" t="s">
        <v>46</v>
      </c>
      <c r="D60">
        <v>38</v>
      </c>
      <c r="E60" t="s">
        <v>51</v>
      </c>
      <c r="F60" t="s">
        <v>73</v>
      </c>
      <c r="G60">
        <v>53000</v>
      </c>
      <c r="H60" s="1">
        <v>45880</v>
      </c>
      <c r="I60">
        <v>1.2</v>
      </c>
      <c r="J60" t="s">
        <v>98</v>
      </c>
      <c r="K60">
        <v>67.2</v>
      </c>
      <c r="L60">
        <v>83.8</v>
      </c>
      <c r="M60">
        <v>7</v>
      </c>
      <c r="N60" s="3">
        <v>11</v>
      </c>
      <c r="O60" s="3" t="s">
        <v>32</v>
      </c>
      <c r="P60" s="5"/>
      <c r="Q60" s="4" t="s">
        <v>60</v>
      </c>
    </row>
    <row r="61" spans="1:17">
      <c r="A61">
        <v>60</v>
      </c>
      <c r="B61" t="s">
        <v>129</v>
      </c>
      <c r="C61" t="s">
        <v>28</v>
      </c>
      <c r="D61">
        <v>38</v>
      </c>
      <c r="E61" t="s">
        <v>47</v>
      </c>
      <c r="F61" t="s">
        <v>48</v>
      </c>
      <c r="G61">
        <v>43000</v>
      </c>
      <c r="H61" s="1">
        <v>43652</v>
      </c>
      <c r="I61">
        <v>7.3</v>
      </c>
      <c r="J61" t="s">
        <v>49</v>
      </c>
      <c r="K61">
        <v>96.9</v>
      </c>
      <c r="L61">
        <v>91.7</v>
      </c>
      <c r="M61">
        <v>24</v>
      </c>
      <c r="N61" s="3">
        <v>15</v>
      </c>
      <c r="O61" s="3" t="s">
        <v>32</v>
      </c>
      <c r="P61" s="5"/>
      <c r="Q61" s="4" t="s">
        <v>33</v>
      </c>
    </row>
    <row r="62" spans="1:17">
      <c r="A62">
        <v>61</v>
      </c>
      <c r="B62" t="s">
        <v>130</v>
      </c>
      <c r="C62" t="s">
        <v>46</v>
      </c>
      <c r="D62">
        <v>51</v>
      </c>
      <c r="E62" t="s">
        <v>41</v>
      </c>
      <c r="F62" t="s">
        <v>42</v>
      </c>
      <c r="G62">
        <v>31000</v>
      </c>
      <c r="H62" s="1">
        <v>45426</v>
      </c>
      <c r="I62">
        <v>2.4</v>
      </c>
      <c r="J62" t="s">
        <v>43</v>
      </c>
      <c r="K62">
        <v>57.2</v>
      </c>
      <c r="L62">
        <v>98.5</v>
      </c>
      <c r="M62">
        <v>2</v>
      </c>
      <c r="N62" s="3">
        <v>12</v>
      </c>
      <c r="O62" s="3" t="s">
        <v>32</v>
      </c>
      <c r="P62" s="5"/>
      <c r="Q62" s="4" t="s">
        <v>75</v>
      </c>
    </row>
    <row r="63" spans="1:17">
      <c r="A63">
        <v>62</v>
      </c>
      <c r="B63" t="s">
        <v>131</v>
      </c>
      <c r="C63" t="s">
        <v>28</v>
      </c>
      <c r="D63">
        <v>30</v>
      </c>
      <c r="E63" t="s">
        <v>35</v>
      </c>
      <c r="F63" t="s">
        <v>69</v>
      </c>
      <c r="G63">
        <v>57000</v>
      </c>
      <c r="H63" s="1">
        <v>45771</v>
      </c>
      <c r="I63">
        <v>1.5</v>
      </c>
      <c r="J63" t="s">
        <v>43</v>
      </c>
      <c r="K63">
        <v>95.8</v>
      </c>
      <c r="L63">
        <v>83.5</v>
      </c>
      <c r="M63">
        <v>17</v>
      </c>
      <c r="N63" s="3">
        <v>13</v>
      </c>
      <c r="O63" s="3" t="s">
        <v>32</v>
      </c>
      <c r="P63" s="5"/>
      <c r="Q63" s="4" t="s">
        <v>44</v>
      </c>
    </row>
    <row r="64" spans="1:17">
      <c r="A64">
        <v>63</v>
      </c>
      <c r="B64" t="s">
        <v>132</v>
      </c>
      <c r="C64" t="s">
        <v>28</v>
      </c>
      <c r="D64">
        <v>54</v>
      </c>
      <c r="E64" t="s">
        <v>85</v>
      </c>
      <c r="F64" t="s">
        <v>108</v>
      </c>
      <c r="G64">
        <v>33000</v>
      </c>
      <c r="H64" s="1">
        <v>45024</v>
      </c>
      <c r="I64">
        <v>3.5</v>
      </c>
      <c r="J64" t="s">
        <v>31</v>
      </c>
      <c r="K64">
        <v>92</v>
      </c>
      <c r="L64">
        <v>99.3</v>
      </c>
      <c r="M64">
        <v>19</v>
      </c>
      <c r="N64" s="3">
        <v>1</v>
      </c>
      <c r="O64" s="3" t="s">
        <v>32</v>
      </c>
      <c r="P64" s="5"/>
      <c r="Q64" s="4" t="s">
        <v>44</v>
      </c>
    </row>
    <row r="65" spans="1:17">
      <c r="A65">
        <v>64</v>
      </c>
      <c r="B65" t="s">
        <v>133</v>
      </c>
      <c r="C65" t="s">
        <v>28</v>
      </c>
      <c r="D65">
        <v>34</v>
      </c>
      <c r="E65" t="s">
        <v>29</v>
      </c>
      <c r="F65" t="s">
        <v>30</v>
      </c>
      <c r="G65">
        <v>49000</v>
      </c>
      <c r="H65" s="1">
        <v>44549</v>
      </c>
      <c r="I65">
        <v>4.8</v>
      </c>
      <c r="J65" t="s">
        <v>31</v>
      </c>
      <c r="K65">
        <v>83.4</v>
      </c>
      <c r="L65">
        <v>84.7</v>
      </c>
      <c r="M65">
        <v>2</v>
      </c>
      <c r="N65" s="3">
        <v>5</v>
      </c>
      <c r="O65" s="3" t="s">
        <v>32</v>
      </c>
      <c r="P65" s="5"/>
      <c r="Q65" s="4" t="s">
        <v>33</v>
      </c>
    </row>
    <row r="66" spans="1:17">
      <c r="A66">
        <v>65</v>
      </c>
      <c r="B66" t="s">
        <v>134</v>
      </c>
      <c r="C66" t="s">
        <v>46</v>
      </c>
      <c r="D66">
        <v>39</v>
      </c>
      <c r="E66" t="s">
        <v>58</v>
      </c>
      <c r="F66" t="s">
        <v>59</v>
      </c>
      <c r="G66">
        <v>54000</v>
      </c>
      <c r="H66" s="1">
        <v>43599</v>
      </c>
      <c r="I66">
        <v>7.4</v>
      </c>
      <c r="J66" t="s">
        <v>98</v>
      </c>
      <c r="K66">
        <v>85.2</v>
      </c>
      <c r="L66">
        <v>89.9</v>
      </c>
      <c r="M66">
        <v>20</v>
      </c>
      <c r="N66" s="3">
        <v>18</v>
      </c>
      <c r="O66" s="3" t="s">
        <v>32</v>
      </c>
      <c r="P66" s="5"/>
      <c r="Q66" s="4" t="s">
        <v>60</v>
      </c>
    </row>
    <row r="67" spans="1:17">
      <c r="A67">
        <v>66</v>
      </c>
      <c r="B67" t="s">
        <v>135</v>
      </c>
      <c r="C67" t="s">
        <v>28</v>
      </c>
      <c r="D67">
        <v>30</v>
      </c>
      <c r="E67" t="s">
        <v>58</v>
      </c>
      <c r="F67" t="s">
        <v>136</v>
      </c>
      <c r="G67">
        <v>69000</v>
      </c>
      <c r="H67" s="1">
        <v>44554</v>
      </c>
      <c r="I67">
        <v>4.8</v>
      </c>
      <c r="J67" t="s">
        <v>98</v>
      </c>
      <c r="K67">
        <v>90.5</v>
      </c>
      <c r="L67">
        <v>83.2</v>
      </c>
      <c r="M67">
        <v>19</v>
      </c>
      <c r="N67" s="3">
        <v>18</v>
      </c>
      <c r="O67" s="3" t="s">
        <v>32</v>
      </c>
      <c r="P67" s="5"/>
      <c r="Q67" s="4" t="s">
        <v>39</v>
      </c>
    </row>
    <row r="68" spans="1:17">
      <c r="A68">
        <v>67</v>
      </c>
      <c r="B68" t="s">
        <v>137</v>
      </c>
      <c r="C68" t="s">
        <v>46</v>
      </c>
      <c r="D68">
        <v>40</v>
      </c>
      <c r="E68" t="s">
        <v>58</v>
      </c>
      <c r="F68" t="s">
        <v>136</v>
      </c>
      <c r="G68">
        <v>64000</v>
      </c>
      <c r="H68" s="1">
        <v>45114</v>
      </c>
      <c r="I68">
        <v>3.3</v>
      </c>
      <c r="J68" t="s">
        <v>53</v>
      </c>
      <c r="K68">
        <v>76.2</v>
      </c>
      <c r="L68">
        <v>83.4</v>
      </c>
      <c r="M68">
        <v>23</v>
      </c>
      <c r="N68" s="3">
        <v>10</v>
      </c>
      <c r="O68" s="3" t="s">
        <v>32</v>
      </c>
      <c r="P68" s="5"/>
      <c r="Q68" s="4" t="s">
        <v>44</v>
      </c>
    </row>
    <row r="69" spans="1:17">
      <c r="A69">
        <v>68</v>
      </c>
      <c r="B69" t="s">
        <v>138</v>
      </c>
      <c r="C69" t="s">
        <v>28</v>
      </c>
      <c r="D69">
        <v>35</v>
      </c>
      <c r="E69" t="s">
        <v>47</v>
      </c>
      <c r="F69" t="s">
        <v>48</v>
      </c>
      <c r="G69">
        <v>40000</v>
      </c>
      <c r="H69" s="1">
        <v>46227</v>
      </c>
      <c r="I69">
        <v>0.2</v>
      </c>
      <c r="J69" t="s">
        <v>49</v>
      </c>
      <c r="K69">
        <v>90.9</v>
      </c>
      <c r="L69">
        <v>92.1</v>
      </c>
      <c r="M69">
        <v>8</v>
      </c>
      <c r="N69" s="3">
        <v>18</v>
      </c>
      <c r="O69" s="3" t="s">
        <v>32</v>
      </c>
      <c r="P69" s="5"/>
      <c r="Q69" s="4" t="s">
        <v>33</v>
      </c>
    </row>
    <row r="70" spans="1:17">
      <c r="A70">
        <v>69</v>
      </c>
      <c r="B70" t="s">
        <v>139</v>
      </c>
      <c r="C70" t="s">
        <v>46</v>
      </c>
      <c r="D70">
        <v>54</v>
      </c>
      <c r="E70" t="s">
        <v>41</v>
      </c>
      <c r="F70" t="s">
        <v>42</v>
      </c>
      <c r="G70">
        <v>30000</v>
      </c>
      <c r="H70" s="1">
        <v>46134</v>
      </c>
      <c r="I70">
        <v>0.5</v>
      </c>
      <c r="J70" t="s">
        <v>43</v>
      </c>
      <c r="K70">
        <v>97.9</v>
      </c>
      <c r="L70">
        <v>89.6</v>
      </c>
      <c r="M70">
        <v>15</v>
      </c>
      <c r="N70" s="3">
        <v>11</v>
      </c>
      <c r="O70" s="3" t="s">
        <v>32</v>
      </c>
      <c r="P70" s="5"/>
      <c r="Q70" s="4" t="s">
        <v>75</v>
      </c>
    </row>
    <row r="71" spans="1:17">
      <c r="A71">
        <v>70</v>
      </c>
      <c r="B71" t="s">
        <v>140</v>
      </c>
      <c r="C71" t="s">
        <v>28</v>
      </c>
      <c r="D71">
        <v>31</v>
      </c>
      <c r="E71" t="s">
        <v>47</v>
      </c>
      <c r="F71" t="s">
        <v>89</v>
      </c>
      <c r="G71">
        <v>47000</v>
      </c>
      <c r="H71" s="1">
        <v>44816</v>
      </c>
      <c r="I71">
        <v>4.0999999999999996</v>
      </c>
      <c r="J71" t="s">
        <v>31</v>
      </c>
      <c r="K71">
        <v>72.7</v>
      </c>
      <c r="L71">
        <v>90.7</v>
      </c>
      <c r="M71">
        <v>1</v>
      </c>
      <c r="N71" s="3">
        <v>14</v>
      </c>
      <c r="O71" s="3" t="s">
        <v>32</v>
      </c>
      <c r="P71" s="5"/>
      <c r="Q71" s="4" t="s">
        <v>33</v>
      </c>
    </row>
    <row r="72" spans="1:17">
      <c r="A72">
        <v>71</v>
      </c>
      <c r="B72" t="s">
        <v>141</v>
      </c>
      <c r="C72" t="s">
        <v>46</v>
      </c>
      <c r="D72">
        <v>28</v>
      </c>
      <c r="E72" t="s">
        <v>47</v>
      </c>
      <c r="F72" t="s">
        <v>89</v>
      </c>
      <c r="G72">
        <v>57000</v>
      </c>
      <c r="H72" s="1">
        <v>45121</v>
      </c>
      <c r="I72">
        <v>3.2</v>
      </c>
      <c r="J72" t="s">
        <v>53</v>
      </c>
      <c r="K72">
        <v>55</v>
      </c>
      <c r="L72">
        <v>97.2</v>
      </c>
      <c r="M72">
        <v>1</v>
      </c>
      <c r="N72" s="3">
        <v>6</v>
      </c>
      <c r="O72" s="3" t="s">
        <v>32</v>
      </c>
      <c r="P72" s="5"/>
      <c r="Q72" s="4" t="s">
        <v>44</v>
      </c>
    </row>
    <row r="73" spans="1:17">
      <c r="A73">
        <v>72</v>
      </c>
      <c r="B73" t="s">
        <v>142</v>
      </c>
      <c r="C73" t="s">
        <v>46</v>
      </c>
      <c r="D73">
        <v>49</v>
      </c>
      <c r="E73" t="s">
        <v>47</v>
      </c>
      <c r="F73" t="s">
        <v>64</v>
      </c>
      <c r="G73">
        <v>31000</v>
      </c>
      <c r="H73" s="1">
        <v>43677</v>
      </c>
      <c r="I73">
        <v>7.2</v>
      </c>
      <c r="J73" t="s">
        <v>53</v>
      </c>
      <c r="K73">
        <v>63.8</v>
      </c>
      <c r="L73">
        <v>91.6</v>
      </c>
      <c r="M73">
        <v>22</v>
      </c>
      <c r="N73" s="3">
        <v>15</v>
      </c>
      <c r="O73" s="3" t="s">
        <v>32</v>
      </c>
      <c r="P73" s="5"/>
      <c r="Q73" s="4" t="s">
        <v>33</v>
      </c>
    </row>
    <row r="74" spans="1:17">
      <c r="A74">
        <v>73</v>
      </c>
      <c r="B74" t="s">
        <v>143</v>
      </c>
      <c r="C74" t="s">
        <v>28</v>
      </c>
      <c r="D74">
        <v>40</v>
      </c>
      <c r="E74" t="s">
        <v>35</v>
      </c>
      <c r="F74" t="s">
        <v>36</v>
      </c>
      <c r="G74">
        <v>67000</v>
      </c>
      <c r="H74" s="1">
        <v>45722</v>
      </c>
      <c r="I74">
        <v>1.6</v>
      </c>
      <c r="J74" t="s">
        <v>53</v>
      </c>
      <c r="K74">
        <v>64.7</v>
      </c>
      <c r="L74">
        <v>96.7</v>
      </c>
      <c r="M74">
        <v>3</v>
      </c>
      <c r="N74" s="3">
        <v>4</v>
      </c>
      <c r="O74" s="3" t="s">
        <v>32</v>
      </c>
      <c r="P74" s="5"/>
      <c r="Q74" s="4" t="s">
        <v>75</v>
      </c>
    </row>
    <row r="75" spans="1:17">
      <c r="A75">
        <v>74</v>
      </c>
      <c r="B75" t="s">
        <v>144</v>
      </c>
      <c r="C75" t="s">
        <v>46</v>
      </c>
      <c r="D75">
        <v>47</v>
      </c>
      <c r="E75" t="s">
        <v>29</v>
      </c>
      <c r="F75" t="s">
        <v>93</v>
      </c>
      <c r="G75">
        <v>46000</v>
      </c>
      <c r="H75" s="1">
        <v>45442</v>
      </c>
      <c r="I75">
        <v>2.4</v>
      </c>
      <c r="J75" t="s">
        <v>53</v>
      </c>
      <c r="K75">
        <v>97.2</v>
      </c>
      <c r="L75">
        <v>86.3</v>
      </c>
      <c r="M75">
        <v>6</v>
      </c>
      <c r="N75" s="3">
        <v>16</v>
      </c>
      <c r="O75" s="3" t="s">
        <v>38</v>
      </c>
      <c r="P75" s="5">
        <v>46153</v>
      </c>
      <c r="Q75" s="4" t="s">
        <v>60</v>
      </c>
    </row>
    <row r="76" spans="1:17">
      <c r="A76">
        <v>75</v>
      </c>
      <c r="B76" t="s">
        <v>145</v>
      </c>
      <c r="C76" t="s">
        <v>46</v>
      </c>
      <c r="D76">
        <v>47</v>
      </c>
      <c r="E76" t="s">
        <v>41</v>
      </c>
      <c r="F76" t="s">
        <v>42</v>
      </c>
      <c r="G76">
        <v>44000</v>
      </c>
      <c r="H76" s="1">
        <v>44858</v>
      </c>
      <c r="I76">
        <v>4</v>
      </c>
      <c r="J76" t="s">
        <v>31</v>
      </c>
      <c r="K76">
        <v>90.3</v>
      </c>
      <c r="L76">
        <v>86.9</v>
      </c>
      <c r="M76">
        <v>18</v>
      </c>
      <c r="N76" s="3">
        <v>15</v>
      </c>
      <c r="O76" s="3" t="s">
        <v>32</v>
      </c>
      <c r="P76" s="5"/>
      <c r="Q76" s="4" t="s">
        <v>60</v>
      </c>
    </row>
    <row r="77" spans="1:17">
      <c r="A77">
        <v>76</v>
      </c>
      <c r="B77" t="s">
        <v>146</v>
      </c>
      <c r="C77" t="s">
        <v>46</v>
      </c>
      <c r="D77">
        <v>43</v>
      </c>
      <c r="E77" t="s">
        <v>58</v>
      </c>
      <c r="F77" t="s">
        <v>78</v>
      </c>
      <c r="G77">
        <v>46000</v>
      </c>
      <c r="H77" s="1">
        <v>44827</v>
      </c>
      <c r="I77">
        <v>4</v>
      </c>
      <c r="J77" t="s">
        <v>98</v>
      </c>
      <c r="K77">
        <v>78.7</v>
      </c>
      <c r="L77">
        <v>91.5</v>
      </c>
      <c r="M77">
        <v>6</v>
      </c>
      <c r="N77" s="3">
        <v>7</v>
      </c>
      <c r="O77" s="3" t="s">
        <v>32</v>
      </c>
      <c r="P77" s="5"/>
      <c r="Q77" s="4" t="s">
        <v>44</v>
      </c>
    </row>
    <row r="78" spans="1:17">
      <c r="A78">
        <v>77</v>
      </c>
      <c r="B78" t="s">
        <v>147</v>
      </c>
      <c r="C78" t="s">
        <v>46</v>
      </c>
      <c r="D78">
        <v>23</v>
      </c>
      <c r="E78" t="s">
        <v>58</v>
      </c>
      <c r="F78" t="s">
        <v>136</v>
      </c>
      <c r="G78">
        <v>51000</v>
      </c>
      <c r="H78" s="1">
        <v>44769</v>
      </c>
      <c r="I78">
        <v>4.2</v>
      </c>
      <c r="J78" t="s">
        <v>53</v>
      </c>
      <c r="K78">
        <v>89.9</v>
      </c>
      <c r="L78">
        <v>88.8</v>
      </c>
      <c r="M78">
        <v>1</v>
      </c>
      <c r="N78" s="3">
        <v>4</v>
      </c>
      <c r="O78" s="3" t="s">
        <v>32</v>
      </c>
      <c r="P78" s="5"/>
      <c r="Q78" s="4" t="s">
        <v>44</v>
      </c>
    </row>
    <row r="79" spans="1:17">
      <c r="A79">
        <v>78</v>
      </c>
      <c r="B79" t="s">
        <v>148</v>
      </c>
      <c r="C79" t="s">
        <v>28</v>
      </c>
      <c r="D79">
        <v>49</v>
      </c>
      <c r="E79" t="s">
        <v>85</v>
      </c>
      <c r="F79" t="s">
        <v>86</v>
      </c>
      <c r="G79">
        <v>28000</v>
      </c>
      <c r="H79" s="1">
        <v>43874</v>
      </c>
      <c r="I79">
        <v>6.6</v>
      </c>
      <c r="J79" t="s">
        <v>53</v>
      </c>
      <c r="K79">
        <v>77.599999999999994</v>
      </c>
      <c r="L79">
        <v>90</v>
      </c>
      <c r="M79">
        <v>20</v>
      </c>
      <c r="N79" s="3">
        <v>4</v>
      </c>
      <c r="O79" s="3" t="s">
        <v>32</v>
      </c>
      <c r="P79" s="5"/>
      <c r="Q79" s="4" t="s">
        <v>33</v>
      </c>
    </row>
    <row r="80" spans="1:17">
      <c r="A80">
        <v>79</v>
      </c>
      <c r="B80" t="s">
        <v>149</v>
      </c>
      <c r="C80" t="s">
        <v>46</v>
      </c>
      <c r="D80">
        <v>46</v>
      </c>
      <c r="E80" t="s">
        <v>58</v>
      </c>
      <c r="F80" t="s">
        <v>59</v>
      </c>
      <c r="G80">
        <v>60000</v>
      </c>
      <c r="H80" s="1">
        <v>46127</v>
      </c>
      <c r="I80">
        <v>0.5</v>
      </c>
      <c r="J80" t="s">
        <v>49</v>
      </c>
      <c r="K80">
        <v>84</v>
      </c>
      <c r="L80">
        <v>91.3</v>
      </c>
      <c r="M80">
        <v>22</v>
      </c>
      <c r="N80" s="3">
        <v>15</v>
      </c>
      <c r="O80" s="3" t="s">
        <v>32</v>
      </c>
      <c r="P80" s="5"/>
      <c r="Q80" s="4" t="s">
        <v>44</v>
      </c>
    </row>
    <row r="81" spans="1:17">
      <c r="A81">
        <v>80</v>
      </c>
      <c r="B81" t="s">
        <v>150</v>
      </c>
      <c r="C81" t="s">
        <v>28</v>
      </c>
      <c r="D81">
        <v>39</v>
      </c>
      <c r="E81" t="s">
        <v>35</v>
      </c>
      <c r="F81" t="s">
        <v>69</v>
      </c>
      <c r="G81">
        <v>60000</v>
      </c>
      <c r="H81" s="1">
        <v>44397</v>
      </c>
      <c r="I81">
        <v>5.2</v>
      </c>
      <c r="J81" t="s">
        <v>49</v>
      </c>
      <c r="K81">
        <v>87.1</v>
      </c>
      <c r="L81">
        <v>89.6</v>
      </c>
      <c r="M81">
        <v>22</v>
      </c>
      <c r="N81" s="3">
        <v>3</v>
      </c>
      <c r="O81" s="3" t="s">
        <v>32</v>
      </c>
      <c r="P81" s="5"/>
      <c r="Q81" s="4" t="s">
        <v>75</v>
      </c>
    </row>
    <row r="82" spans="1:17">
      <c r="A82">
        <v>81</v>
      </c>
      <c r="B82" t="s">
        <v>151</v>
      </c>
      <c r="C82" t="s">
        <v>46</v>
      </c>
      <c r="D82">
        <v>22</v>
      </c>
      <c r="E82" t="s">
        <v>51</v>
      </c>
      <c r="F82" t="s">
        <v>52</v>
      </c>
      <c r="G82">
        <v>40000</v>
      </c>
      <c r="H82" s="1">
        <v>43654</v>
      </c>
      <c r="I82">
        <v>7.2</v>
      </c>
      <c r="J82" t="s">
        <v>31</v>
      </c>
      <c r="K82">
        <v>70.400000000000006</v>
      </c>
      <c r="L82">
        <v>89.5</v>
      </c>
      <c r="M82">
        <v>13</v>
      </c>
      <c r="N82" s="3">
        <v>18</v>
      </c>
      <c r="O82" s="3" t="s">
        <v>32</v>
      </c>
      <c r="P82" s="5"/>
      <c r="Q82" s="4" t="s">
        <v>60</v>
      </c>
    </row>
    <row r="83" spans="1:17">
      <c r="A83">
        <v>82</v>
      </c>
      <c r="B83" t="s">
        <v>152</v>
      </c>
      <c r="C83" t="s">
        <v>28</v>
      </c>
      <c r="D83">
        <v>45</v>
      </c>
      <c r="E83" t="s">
        <v>51</v>
      </c>
      <c r="F83" t="s">
        <v>73</v>
      </c>
      <c r="G83">
        <v>44000</v>
      </c>
      <c r="H83" s="1">
        <v>46004</v>
      </c>
      <c r="I83">
        <v>0.8</v>
      </c>
      <c r="J83" t="s">
        <v>37</v>
      </c>
      <c r="K83">
        <v>84.4</v>
      </c>
      <c r="L83">
        <v>90.7</v>
      </c>
      <c r="M83">
        <v>14</v>
      </c>
      <c r="N83" s="3">
        <v>8</v>
      </c>
      <c r="O83" s="3" t="s">
        <v>38</v>
      </c>
      <c r="P83" s="5">
        <v>46155</v>
      </c>
      <c r="Q83" s="4" t="s">
        <v>75</v>
      </c>
    </row>
    <row r="84" spans="1:17">
      <c r="A84">
        <v>83</v>
      </c>
      <c r="B84" t="s">
        <v>153</v>
      </c>
      <c r="C84" t="s">
        <v>28</v>
      </c>
      <c r="D84">
        <v>50</v>
      </c>
      <c r="E84" t="s">
        <v>47</v>
      </c>
      <c r="F84" t="s">
        <v>64</v>
      </c>
      <c r="G84">
        <v>42000</v>
      </c>
      <c r="H84" s="1">
        <v>44644</v>
      </c>
      <c r="I84">
        <v>4.5</v>
      </c>
      <c r="J84" t="s">
        <v>49</v>
      </c>
      <c r="K84">
        <v>74</v>
      </c>
      <c r="L84">
        <v>88</v>
      </c>
      <c r="M84">
        <v>13</v>
      </c>
      <c r="N84" s="3">
        <v>8</v>
      </c>
      <c r="O84" s="3" t="s">
        <v>38</v>
      </c>
      <c r="P84" s="5">
        <v>45995</v>
      </c>
      <c r="Q84" s="4" t="s">
        <v>75</v>
      </c>
    </row>
    <row r="85" spans="1:17">
      <c r="A85">
        <v>84</v>
      </c>
      <c r="B85" t="s">
        <v>154</v>
      </c>
      <c r="C85" t="s">
        <v>28</v>
      </c>
      <c r="D85">
        <v>45</v>
      </c>
      <c r="E85" t="s">
        <v>41</v>
      </c>
      <c r="F85" t="s">
        <v>96</v>
      </c>
      <c r="G85">
        <v>31000</v>
      </c>
      <c r="H85" s="1">
        <v>45445</v>
      </c>
      <c r="I85">
        <v>2.2999999999999998</v>
      </c>
      <c r="J85" t="s">
        <v>31</v>
      </c>
      <c r="K85">
        <v>59.6</v>
      </c>
      <c r="L85">
        <v>88.7</v>
      </c>
      <c r="M85">
        <v>9</v>
      </c>
      <c r="N85" s="3">
        <v>9</v>
      </c>
      <c r="O85" s="3" t="s">
        <v>32</v>
      </c>
      <c r="P85" s="5"/>
      <c r="Q85" s="4" t="s">
        <v>33</v>
      </c>
    </row>
    <row r="86" spans="1:17">
      <c r="A86">
        <v>85</v>
      </c>
      <c r="B86" t="s">
        <v>155</v>
      </c>
      <c r="C86" t="s">
        <v>46</v>
      </c>
      <c r="D86">
        <v>38</v>
      </c>
      <c r="E86" t="s">
        <v>41</v>
      </c>
      <c r="F86" t="s">
        <v>71</v>
      </c>
      <c r="G86">
        <v>24000</v>
      </c>
      <c r="H86" s="1">
        <v>43499</v>
      </c>
      <c r="I86">
        <v>7.7</v>
      </c>
      <c r="J86" t="s">
        <v>98</v>
      </c>
      <c r="K86">
        <v>87</v>
      </c>
      <c r="L86">
        <v>82.9</v>
      </c>
      <c r="M86">
        <v>24</v>
      </c>
      <c r="N86" s="3">
        <v>7</v>
      </c>
      <c r="O86" s="3" t="s">
        <v>38</v>
      </c>
      <c r="P86" s="5">
        <v>45793</v>
      </c>
      <c r="Q86" s="4" t="s">
        <v>44</v>
      </c>
    </row>
    <row r="87" spans="1:17">
      <c r="A87">
        <v>86</v>
      </c>
      <c r="B87" t="s">
        <v>156</v>
      </c>
      <c r="C87" t="s">
        <v>28</v>
      </c>
      <c r="D87">
        <v>33</v>
      </c>
      <c r="E87" t="s">
        <v>41</v>
      </c>
      <c r="F87" t="s">
        <v>96</v>
      </c>
      <c r="G87">
        <v>31000</v>
      </c>
      <c r="H87" s="1">
        <v>46009</v>
      </c>
      <c r="I87">
        <v>0.8</v>
      </c>
      <c r="J87" t="s">
        <v>49</v>
      </c>
      <c r="K87">
        <v>65.8</v>
      </c>
      <c r="L87">
        <v>95.2</v>
      </c>
      <c r="M87">
        <v>3</v>
      </c>
      <c r="N87" s="3">
        <v>1</v>
      </c>
      <c r="O87" s="3" t="s">
        <v>32</v>
      </c>
      <c r="P87" s="5"/>
      <c r="Q87" s="4" t="s">
        <v>39</v>
      </c>
    </row>
    <row r="88" spans="1:17">
      <c r="A88">
        <v>87</v>
      </c>
      <c r="B88" t="s">
        <v>157</v>
      </c>
      <c r="C88" t="s">
        <v>28</v>
      </c>
      <c r="D88">
        <v>58</v>
      </c>
      <c r="E88" t="s">
        <v>41</v>
      </c>
      <c r="F88" t="s">
        <v>96</v>
      </c>
      <c r="G88">
        <v>35000</v>
      </c>
      <c r="H88" s="1">
        <v>44960</v>
      </c>
      <c r="I88">
        <v>3.7</v>
      </c>
      <c r="J88" t="s">
        <v>37</v>
      </c>
      <c r="K88">
        <v>67.7</v>
      </c>
      <c r="L88">
        <v>95.1</v>
      </c>
      <c r="M88">
        <v>4</v>
      </c>
      <c r="N88" s="3">
        <v>17</v>
      </c>
      <c r="O88" s="3" t="s">
        <v>32</v>
      </c>
      <c r="P88" s="5"/>
      <c r="Q88" s="4" t="s">
        <v>39</v>
      </c>
    </row>
    <row r="89" spans="1:17">
      <c r="A89">
        <v>88</v>
      </c>
      <c r="B89" t="s">
        <v>158</v>
      </c>
      <c r="C89" t="s">
        <v>46</v>
      </c>
      <c r="D89">
        <v>31</v>
      </c>
      <c r="E89" t="s">
        <v>85</v>
      </c>
      <c r="F89" t="s">
        <v>108</v>
      </c>
      <c r="G89">
        <v>38000</v>
      </c>
      <c r="H89" s="1">
        <v>44518</v>
      </c>
      <c r="I89">
        <v>4.9000000000000004</v>
      </c>
      <c r="J89" t="s">
        <v>49</v>
      </c>
      <c r="K89">
        <v>94.3</v>
      </c>
      <c r="L89">
        <v>98.5</v>
      </c>
      <c r="M89">
        <v>10</v>
      </c>
      <c r="N89" s="3">
        <v>3</v>
      </c>
      <c r="O89" s="3" t="s">
        <v>32</v>
      </c>
      <c r="P89" s="5"/>
      <c r="Q89" s="4" t="s">
        <v>75</v>
      </c>
    </row>
    <row r="90" spans="1:17">
      <c r="A90">
        <v>89</v>
      </c>
      <c r="B90" t="s">
        <v>159</v>
      </c>
      <c r="C90" t="s">
        <v>28</v>
      </c>
      <c r="D90">
        <v>46</v>
      </c>
      <c r="E90" t="s">
        <v>35</v>
      </c>
      <c r="F90" t="s">
        <v>36</v>
      </c>
      <c r="G90">
        <v>40000</v>
      </c>
      <c r="H90" s="1">
        <v>45748</v>
      </c>
      <c r="I90">
        <v>1.5</v>
      </c>
      <c r="J90" t="s">
        <v>98</v>
      </c>
      <c r="K90">
        <v>55.6</v>
      </c>
      <c r="L90">
        <v>91.4</v>
      </c>
      <c r="M90">
        <v>21</v>
      </c>
      <c r="N90" s="3">
        <v>8</v>
      </c>
      <c r="O90" s="3" t="s">
        <v>32</v>
      </c>
      <c r="P90" s="5"/>
      <c r="Q90" s="4" t="s">
        <v>44</v>
      </c>
    </row>
    <row r="91" spans="1:17">
      <c r="A91">
        <v>90</v>
      </c>
      <c r="B91" t="s">
        <v>160</v>
      </c>
      <c r="C91" t="s">
        <v>46</v>
      </c>
      <c r="D91">
        <v>27</v>
      </c>
      <c r="E91" t="s">
        <v>58</v>
      </c>
      <c r="F91" t="s">
        <v>78</v>
      </c>
      <c r="G91">
        <v>67000</v>
      </c>
      <c r="H91" s="1">
        <v>46230</v>
      </c>
      <c r="I91">
        <v>0.2</v>
      </c>
      <c r="J91" t="s">
        <v>98</v>
      </c>
      <c r="K91">
        <v>65.099999999999994</v>
      </c>
      <c r="L91">
        <v>82.4</v>
      </c>
      <c r="M91">
        <v>19</v>
      </c>
      <c r="N91" s="3">
        <v>7</v>
      </c>
      <c r="O91" s="3" t="s">
        <v>32</v>
      </c>
      <c r="P91" s="5"/>
      <c r="Q91" s="4" t="s">
        <v>33</v>
      </c>
    </row>
    <row r="92" spans="1:17">
      <c r="A92">
        <v>91</v>
      </c>
      <c r="B92" t="s">
        <v>161</v>
      </c>
      <c r="C92" t="s">
        <v>46</v>
      </c>
      <c r="D92">
        <v>47</v>
      </c>
      <c r="E92" t="s">
        <v>29</v>
      </c>
      <c r="F92" t="s">
        <v>93</v>
      </c>
      <c r="G92">
        <v>61000</v>
      </c>
      <c r="H92" s="1">
        <v>43943</v>
      </c>
      <c r="I92">
        <v>6.5</v>
      </c>
      <c r="J92" t="s">
        <v>37</v>
      </c>
      <c r="K92">
        <v>68.099999999999994</v>
      </c>
      <c r="L92">
        <v>90.6</v>
      </c>
      <c r="M92">
        <v>17</v>
      </c>
      <c r="N92" s="3">
        <v>4</v>
      </c>
      <c r="O92" s="3" t="s">
        <v>32</v>
      </c>
      <c r="P92" s="5"/>
      <c r="Q92" s="4" t="s">
        <v>75</v>
      </c>
    </row>
    <row r="93" spans="1:17">
      <c r="A93">
        <v>92</v>
      </c>
      <c r="B93" t="s">
        <v>162</v>
      </c>
      <c r="C93" t="s">
        <v>46</v>
      </c>
      <c r="D93">
        <v>58</v>
      </c>
      <c r="E93" t="s">
        <v>58</v>
      </c>
      <c r="F93" t="s">
        <v>59</v>
      </c>
      <c r="G93">
        <v>73000</v>
      </c>
      <c r="H93" s="1">
        <v>44098</v>
      </c>
      <c r="I93">
        <v>6</v>
      </c>
      <c r="J93" t="s">
        <v>31</v>
      </c>
      <c r="K93">
        <v>93.1</v>
      </c>
      <c r="L93">
        <v>93.5</v>
      </c>
      <c r="M93">
        <v>13</v>
      </c>
      <c r="N93" s="3">
        <v>8</v>
      </c>
      <c r="O93" s="3" t="s">
        <v>32</v>
      </c>
      <c r="P93" s="5"/>
      <c r="Q93" s="4" t="s">
        <v>33</v>
      </c>
    </row>
    <row r="94" spans="1:17">
      <c r="A94">
        <v>93</v>
      </c>
      <c r="B94" t="s">
        <v>163</v>
      </c>
      <c r="C94" t="s">
        <v>28</v>
      </c>
      <c r="D94">
        <v>49</v>
      </c>
      <c r="E94" t="s">
        <v>29</v>
      </c>
      <c r="F94" t="s">
        <v>93</v>
      </c>
      <c r="G94">
        <v>64000</v>
      </c>
      <c r="H94" s="1">
        <v>45287</v>
      </c>
      <c r="I94">
        <v>2.8</v>
      </c>
      <c r="J94" t="s">
        <v>98</v>
      </c>
      <c r="K94">
        <v>59.3</v>
      </c>
      <c r="L94">
        <v>94</v>
      </c>
      <c r="M94">
        <v>1</v>
      </c>
      <c r="N94" s="3">
        <v>12</v>
      </c>
      <c r="O94" s="3" t="s">
        <v>38</v>
      </c>
      <c r="P94" s="5">
        <v>45641</v>
      </c>
      <c r="Q94" s="4" t="s">
        <v>39</v>
      </c>
    </row>
    <row r="95" spans="1:17">
      <c r="A95">
        <v>94</v>
      </c>
      <c r="B95" t="s">
        <v>164</v>
      </c>
      <c r="C95" t="s">
        <v>46</v>
      </c>
      <c r="D95">
        <v>26</v>
      </c>
      <c r="E95" t="s">
        <v>51</v>
      </c>
      <c r="F95" t="s">
        <v>73</v>
      </c>
      <c r="G95">
        <v>36000</v>
      </c>
      <c r="H95" s="1">
        <v>46180</v>
      </c>
      <c r="I95">
        <v>0.3</v>
      </c>
      <c r="J95" t="s">
        <v>43</v>
      </c>
      <c r="K95">
        <v>64.099999999999994</v>
      </c>
      <c r="L95">
        <v>93.2</v>
      </c>
      <c r="M95">
        <v>10</v>
      </c>
      <c r="N95" s="3">
        <v>7</v>
      </c>
      <c r="O95" s="3" t="s">
        <v>32</v>
      </c>
      <c r="P95" s="5"/>
      <c r="Q95" s="4" t="s">
        <v>60</v>
      </c>
    </row>
    <row r="96" spans="1:17">
      <c r="A96">
        <v>95</v>
      </c>
      <c r="B96" t="s">
        <v>165</v>
      </c>
      <c r="C96" t="s">
        <v>28</v>
      </c>
      <c r="D96">
        <v>25</v>
      </c>
      <c r="E96" t="s">
        <v>41</v>
      </c>
      <c r="F96" t="s">
        <v>71</v>
      </c>
      <c r="G96">
        <v>37000</v>
      </c>
      <c r="H96" s="1">
        <v>45736</v>
      </c>
      <c r="I96">
        <v>1.5</v>
      </c>
      <c r="J96" t="s">
        <v>31</v>
      </c>
      <c r="K96">
        <v>92.4</v>
      </c>
      <c r="L96">
        <v>87.7</v>
      </c>
      <c r="M96">
        <v>0</v>
      </c>
      <c r="N96" s="3">
        <v>8</v>
      </c>
      <c r="O96" s="3" t="s">
        <v>32</v>
      </c>
      <c r="P96" s="5"/>
      <c r="Q96" s="4" t="s">
        <v>60</v>
      </c>
    </row>
    <row r="97" spans="1:17">
      <c r="A97">
        <v>96</v>
      </c>
      <c r="B97" t="s">
        <v>166</v>
      </c>
      <c r="C97" t="s">
        <v>46</v>
      </c>
      <c r="D97">
        <v>32</v>
      </c>
      <c r="E97" t="s">
        <v>51</v>
      </c>
      <c r="F97" t="s">
        <v>52</v>
      </c>
      <c r="G97">
        <v>48000</v>
      </c>
      <c r="H97" s="1">
        <v>43916</v>
      </c>
      <c r="I97">
        <v>6.5</v>
      </c>
      <c r="J97" t="s">
        <v>98</v>
      </c>
      <c r="K97">
        <v>83.4</v>
      </c>
      <c r="L97">
        <v>82.5</v>
      </c>
      <c r="M97">
        <v>7</v>
      </c>
      <c r="N97" s="3">
        <v>18</v>
      </c>
      <c r="O97" s="3" t="s">
        <v>32</v>
      </c>
      <c r="P97" s="5"/>
      <c r="Q97" s="4" t="s">
        <v>39</v>
      </c>
    </row>
    <row r="98" spans="1:17">
      <c r="A98">
        <v>97</v>
      </c>
      <c r="B98" t="s">
        <v>167</v>
      </c>
      <c r="C98" t="s">
        <v>46</v>
      </c>
      <c r="D98">
        <v>24</v>
      </c>
      <c r="E98" t="s">
        <v>35</v>
      </c>
      <c r="F98" t="s">
        <v>36</v>
      </c>
      <c r="G98">
        <v>54000</v>
      </c>
      <c r="H98" s="1">
        <v>43985</v>
      </c>
      <c r="I98">
        <v>6.3</v>
      </c>
      <c r="J98" t="s">
        <v>31</v>
      </c>
      <c r="K98">
        <v>87.1</v>
      </c>
      <c r="L98">
        <v>90.3</v>
      </c>
      <c r="M98">
        <v>18</v>
      </c>
      <c r="N98" s="3">
        <v>3</v>
      </c>
      <c r="O98" s="3" t="s">
        <v>32</v>
      </c>
      <c r="P98" s="5"/>
      <c r="Q98" s="4" t="s">
        <v>75</v>
      </c>
    </row>
    <row r="99" spans="1:17">
      <c r="A99">
        <v>98</v>
      </c>
      <c r="B99" t="s">
        <v>168</v>
      </c>
      <c r="C99" t="s">
        <v>28</v>
      </c>
      <c r="D99">
        <v>54</v>
      </c>
      <c r="E99" t="s">
        <v>85</v>
      </c>
      <c r="F99" t="s">
        <v>103</v>
      </c>
      <c r="G99">
        <v>31000</v>
      </c>
      <c r="H99" s="1">
        <v>44701</v>
      </c>
      <c r="I99">
        <v>4.4000000000000004</v>
      </c>
      <c r="J99" t="s">
        <v>53</v>
      </c>
      <c r="K99">
        <v>74.7</v>
      </c>
      <c r="L99">
        <v>98.9</v>
      </c>
      <c r="M99">
        <v>12</v>
      </c>
      <c r="N99" s="3">
        <v>13</v>
      </c>
      <c r="O99" s="3" t="s">
        <v>32</v>
      </c>
      <c r="P99" s="5"/>
      <c r="Q99" s="4" t="s">
        <v>33</v>
      </c>
    </row>
    <row r="100" spans="1:17">
      <c r="A100">
        <v>99</v>
      </c>
      <c r="B100" t="s">
        <v>169</v>
      </c>
      <c r="C100" t="s">
        <v>46</v>
      </c>
      <c r="D100">
        <v>25</v>
      </c>
      <c r="E100" t="s">
        <v>58</v>
      </c>
      <c r="F100" t="s">
        <v>78</v>
      </c>
      <c r="G100">
        <v>49000</v>
      </c>
      <c r="H100" s="1">
        <v>43796</v>
      </c>
      <c r="I100">
        <v>6.9</v>
      </c>
      <c r="J100" t="s">
        <v>49</v>
      </c>
      <c r="K100">
        <v>60.4</v>
      </c>
      <c r="L100">
        <v>92.9</v>
      </c>
      <c r="M100">
        <v>10</v>
      </c>
      <c r="N100" s="3">
        <v>12</v>
      </c>
      <c r="O100" s="3" t="s">
        <v>38</v>
      </c>
      <c r="P100" s="5">
        <v>45740</v>
      </c>
      <c r="Q100" s="4" t="s">
        <v>44</v>
      </c>
    </row>
    <row r="101" spans="1:17">
      <c r="A101">
        <v>100</v>
      </c>
      <c r="B101" t="s">
        <v>170</v>
      </c>
      <c r="C101" t="s">
        <v>46</v>
      </c>
      <c r="D101">
        <v>53</v>
      </c>
      <c r="E101" t="s">
        <v>85</v>
      </c>
      <c r="F101" t="s">
        <v>86</v>
      </c>
      <c r="G101">
        <v>47000</v>
      </c>
      <c r="H101" s="1">
        <v>45945</v>
      </c>
      <c r="I101">
        <v>1</v>
      </c>
      <c r="J101" t="s">
        <v>49</v>
      </c>
      <c r="K101">
        <v>73.5</v>
      </c>
      <c r="L101">
        <v>95.9</v>
      </c>
      <c r="M101">
        <v>20</v>
      </c>
      <c r="N101" s="3">
        <v>17</v>
      </c>
      <c r="O101" s="3" t="s">
        <v>32</v>
      </c>
      <c r="P101" s="5"/>
      <c r="Q101" s="4" t="s">
        <v>60</v>
      </c>
    </row>
    <row r="102" spans="1:17">
      <c r="A102">
        <v>101</v>
      </c>
      <c r="B102" t="s">
        <v>171</v>
      </c>
      <c r="C102" t="s">
        <v>28</v>
      </c>
      <c r="D102">
        <v>47</v>
      </c>
      <c r="E102" t="s">
        <v>58</v>
      </c>
      <c r="F102" t="s">
        <v>59</v>
      </c>
      <c r="G102">
        <v>57000</v>
      </c>
      <c r="H102" s="1">
        <v>44854</v>
      </c>
      <c r="I102">
        <v>4</v>
      </c>
      <c r="J102" t="s">
        <v>49</v>
      </c>
      <c r="K102">
        <v>86.4</v>
      </c>
      <c r="L102">
        <v>87.5</v>
      </c>
      <c r="M102">
        <v>8</v>
      </c>
      <c r="N102" s="3">
        <v>11</v>
      </c>
      <c r="O102" s="3" t="s">
        <v>32</v>
      </c>
      <c r="P102" s="5"/>
      <c r="Q102" s="4" t="s">
        <v>60</v>
      </c>
    </row>
    <row r="103" spans="1:17">
      <c r="A103">
        <v>102</v>
      </c>
      <c r="B103" t="s">
        <v>172</v>
      </c>
      <c r="C103" t="s">
        <v>28</v>
      </c>
      <c r="D103">
        <v>26</v>
      </c>
      <c r="E103" t="s">
        <v>29</v>
      </c>
      <c r="F103" t="s">
        <v>93</v>
      </c>
      <c r="G103">
        <v>36000</v>
      </c>
      <c r="H103" s="1">
        <v>43815</v>
      </c>
      <c r="I103">
        <v>6.8</v>
      </c>
      <c r="J103" t="s">
        <v>37</v>
      </c>
      <c r="K103">
        <v>59</v>
      </c>
      <c r="L103">
        <v>83.7</v>
      </c>
      <c r="M103">
        <v>17</v>
      </c>
      <c r="N103" s="3">
        <v>1</v>
      </c>
      <c r="O103" s="3" t="s">
        <v>32</v>
      </c>
      <c r="P103" s="5"/>
      <c r="Q103" s="4" t="s">
        <v>44</v>
      </c>
    </row>
    <row r="104" spans="1:17">
      <c r="A104">
        <v>103</v>
      </c>
      <c r="B104" t="s">
        <v>173</v>
      </c>
      <c r="C104" t="s">
        <v>46</v>
      </c>
      <c r="D104">
        <v>28</v>
      </c>
      <c r="E104" t="s">
        <v>85</v>
      </c>
      <c r="F104" t="s">
        <v>108</v>
      </c>
      <c r="G104">
        <v>34000</v>
      </c>
      <c r="H104" s="1">
        <v>45148</v>
      </c>
      <c r="I104">
        <v>3.2</v>
      </c>
      <c r="J104" t="s">
        <v>98</v>
      </c>
      <c r="K104">
        <v>87.3</v>
      </c>
      <c r="L104">
        <v>97.2</v>
      </c>
      <c r="M104">
        <v>19</v>
      </c>
      <c r="N104" s="3">
        <v>9</v>
      </c>
      <c r="O104" s="3" t="s">
        <v>32</v>
      </c>
      <c r="P104" s="5"/>
      <c r="Q104" s="4" t="s">
        <v>39</v>
      </c>
    </row>
    <row r="105" spans="1:17">
      <c r="A105">
        <v>104</v>
      </c>
      <c r="B105" t="s">
        <v>174</v>
      </c>
      <c r="C105" t="s">
        <v>28</v>
      </c>
      <c r="D105">
        <v>51</v>
      </c>
      <c r="E105" t="s">
        <v>35</v>
      </c>
      <c r="F105" t="s">
        <v>36</v>
      </c>
      <c r="G105">
        <v>69000</v>
      </c>
      <c r="H105" s="1">
        <v>44384</v>
      </c>
      <c r="I105">
        <v>5.3</v>
      </c>
      <c r="J105" t="s">
        <v>43</v>
      </c>
      <c r="K105">
        <v>91.4</v>
      </c>
      <c r="L105">
        <v>88.1</v>
      </c>
      <c r="M105">
        <v>24</v>
      </c>
      <c r="N105" s="3">
        <v>8</v>
      </c>
      <c r="O105" s="3" t="s">
        <v>38</v>
      </c>
      <c r="P105" s="5">
        <v>45925</v>
      </c>
      <c r="Q105" s="4" t="s">
        <v>44</v>
      </c>
    </row>
    <row r="106" spans="1:17">
      <c r="A106">
        <v>105</v>
      </c>
      <c r="B106" t="s">
        <v>175</v>
      </c>
      <c r="C106" t="s">
        <v>28</v>
      </c>
      <c r="D106">
        <v>38</v>
      </c>
      <c r="E106" t="s">
        <v>51</v>
      </c>
      <c r="F106" t="s">
        <v>55</v>
      </c>
      <c r="G106">
        <v>48000</v>
      </c>
      <c r="H106" s="1">
        <v>43584</v>
      </c>
      <c r="I106">
        <v>7.4</v>
      </c>
      <c r="J106" t="s">
        <v>37</v>
      </c>
      <c r="K106">
        <v>68.3</v>
      </c>
      <c r="L106">
        <v>87.9</v>
      </c>
      <c r="M106">
        <v>4</v>
      </c>
      <c r="N106" s="3">
        <v>18</v>
      </c>
      <c r="O106" s="3" t="s">
        <v>32</v>
      </c>
      <c r="P106" s="5"/>
      <c r="Q106" s="4" t="s">
        <v>75</v>
      </c>
    </row>
    <row r="107" spans="1:17">
      <c r="A107">
        <v>106</v>
      </c>
      <c r="B107" t="s">
        <v>176</v>
      </c>
      <c r="C107" t="s">
        <v>28</v>
      </c>
      <c r="D107">
        <v>26</v>
      </c>
      <c r="E107" t="s">
        <v>35</v>
      </c>
      <c r="F107" t="s">
        <v>36</v>
      </c>
      <c r="G107">
        <v>72000</v>
      </c>
      <c r="H107" s="1">
        <v>45638</v>
      </c>
      <c r="I107">
        <v>1.8</v>
      </c>
      <c r="J107" t="s">
        <v>37</v>
      </c>
      <c r="K107">
        <v>64.3</v>
      </c>
      <c r="L107">
        <v>89.3</v>
      </c>
      <c r="M107">
        <v>11</v>
      </c>
      <c r="N107" s="3">
        <v>9</v>
      </c>
      <c r="O107" s="3" t="s">
        <v>32</v>
      </c>
      <c r="P107" s="5"/>
      <c r="Q107" s="4" t="s">
        <v>39</v>
      </c>
    </row>
    <row r="108" spans="1:17">
      <c r="A108">
        <v>107</v>
      </c>
      <c r="B108" t="s">
        <v>177</v>
      </c>
      <c r="C108" t="s">
        <v>28</v>
      </c>
      <c r="D108">
        <v>24</v>
      </c>
      <c r="E108" t="s">
        <v>41</v>
      </c>
      <c r="F108" t="s">
        <v>71</v>
      </c>
      <c r="G108">
        <v>42000</v>
      </c>
      <c r="H108" s="1">
        <v>44103</v>
      </c>
      <c r="I108">
        <v>6</v>
      </c>
      <c r="J108" t="s">
        <v>53</v>
      </c>
      <c r="K108">
        <v>84</v>
      </c>
      <c r="L108">
        <v>86.8</v>
      </c>
      <c r="M108">
        <v>19</v>
      </c>
      <c r="N108" s="3">
        <v>14</v>
      </c>
      <c r="O108" s="3" t="s">
        <v>32</v>
      </c>
      <c r="P108" s="5"/>
      <c r="Q108" s="4" t="s">
        <v>75</v>
      </c>
    </row>
    <row r="109" spans="1:17">
      <c r="A109">
        <v>108</v>
      </c>
      <c r="B109" t="s">
        <v>178</v>
      </c>
      <c r="C109" t="s">
        <v>28</v>
      </c>
      <c r="D109">
        <v>43</v>
      </c>
      <c r="E109" t="s">
        <v>47</v>
      </c>
      <c r="F109" t="s">
        <v>48</v>
      </c>
      <c r="G109">
        <v>56000</v>
      </c>
      <c r="H109" s="1">
        <v>45226</v>
      </c>
      <c r="I109">
        <v>2.9</v>
      </c>
      <c r="J109" t="s">
        <v>31</v>
      </c>
      <c r="K109">
        <v>59.8</v>
      </c>
      <c r="L109">
        <v>93.9</v>
      </c>
      <c r="M109">
        <v>21</v>
      </c>
      <c r="N109" s="3">
        <v>9</v>
      </c>
      <c r="O109" s="3" t="s">
        <v>38</v>
      </c>
      <c r="P109" s="5">
        <v>45803</v>
      </c>
      <c r="Q109" s="4" t="s">
        <v>33</v>
      </c>
    </row>
    <row r="110" spans="1:17">
      <c r="A110">
        <v>109</v>
      </c>
      <c r="B110" t="s">
        <v>179</v>
      </c>
      <c r="C110" t="s">
        <v>28</v>
      </c>
      <c r="D110">
        <v>21</v>
      </c>
      <c r="E110" t="s">
        <v>51</v>
      </c>
      <c r="F110" t="s">
        <v>55</v>
      </c>
      <c r="G110">
        <v>39000</v>
      </c>
      <c r="H110" s="1">
        <v>44303</v>
      </c>
      <c r="I110">
        <v>5.5</v>
      </c>
      <c r="J110" t="s">
        <v>43</v>
      </c>
      <c r="K110">
        <v>60.9</v>
      </c>
      <c r="L110">
        <v>86.5</v>
      </c>
      <c r="M110">
        <v>0</v>
      </c>
      <c r="N110" s="3">
        <v>15</v>
      </c>
      <c r="O110" s="3" t="s">
        <v>32</v>
      </c>
      <c r="P110" s="5"/>
      <c r="Q110" s="4" t="s">
        <v>75</v>
      </c>
    </row>
    <row r="111" spans="1:17">
      <c r="A111">
        <v>110</v>
      </c>
      <c r="B111" t="s">
        <v>180</v>
      </c>
      <c r="C111" t="s">
        <v>46</v>
      </c>
      <c r="D111">
        <v>55</v>
      </c>
      <c r="E111" t="s">
        <v>51</v>
      </c>
      <c r="F111" t="s">
        <v>73</v>
      </c>
      <c r="G111">
        <v>48000</v>
      </c>
      <c r="H111" s="1">
        <v>44408</v>
      </c>
      <c r="I111">
        <v>5.2</v>
      </c>
      <c r="J111" t="s">
        <v>43</v>
      </c>
      <c r="K111">
        <v>76.5</v>
      </c>
      <c r="L111">
        <v>96.6</v>
      </c>
      <c r="M111">
        <v>12</v>
      </c>
      <c r="N111" s="3">
        <v>1</v>
      </c>
      <c r="O111" s="3" t="s">
        <v>32</v>
      </c>
      <c r="P111" s="5"/>
      <c r="Q111" s="4" t="s">
        <v>75</v>
      </c>
    </row>
    <row r="112" spans="1:17">
      <c r="A112">
        <v>111</v>
      </c>
      <c r="B112" t="s">
        <v>181</v>
      </c>
      <c r="C112" t="s">
        <v>28</v>
      </c>
      <c r="D112">
        <v>41</v>
      </c>
      <c r="E112" t="s">
        <v>35</v>
      </c>
      <c r="F112" t="s">
        <v>81</v>
      </c>
      <c r="G112">
        <v>43000</v>
      </c>
      <c r="H112" s="1">
        <v>45824</v>
      </c>
      <c r="I112">
        <v>1.3</v>
      </c>
      <c r="J112" t="s">
        <v>43</v>
      </c>
      <c r="K112">
        <v>82.5</v>
      </c>
      <c r="L112">
        <v>87.1</v>
      </c>
      <c r="M112">
        <v>10</v>
      </c>
      <c r="N112" s="3">
        <v>5</v>
      </c>
      <c r="O112" s="3" t="s">
        <v>32</v>
      </c>
      <c r="P112" s="5"/>
      <c r="Q112" s="4" t="s">
        <v>44</v>
      </c>
    </row>
    <row r="113" spans="1:17">
      <c r="A113">
        <v>112</v>
      </c>
      <c r="B113" t="s">
        <v>182</v>
      </c>
      <c r="C113" t="s">
        <v>46</v>
      </c>
      <c r="D113">
        <v>26</v>
      </c>
      <c r="E113" t="s">
        <v>58</v>
      </c>
      <c r="F113" t="s">
        <v>78</v>
      </c>
      <c r="G113">
        <v>57000</v>
      </c>
      <c r="H113" s="1">
        <v>45254</v>
      </c>
      <c r="I113">
        <v>2.9</v>
      </c>
      <c r="J113" t="s">
        <v>31</v>
      </c>
      <c r="K113">
        <v>91.3</v>
      </c>
      <c r="L113">
        <v>86.3</v>
      </c>
      <c r="M113">
        <v>2</v>
      </c>
      <c r="N113" s="3">
        <v>12</v>
      </c>
      <c r="O113" s="3" t="s">
        <v>38</v>
      </c>
      <c r="P113" s="5">
        <v>45891</v>
      </c>
      <c r="Q113" s="4" t="s">
        <v>39</v>
      </c>
    </row>
    <row r="114" spans="1:17">
      <c r="A114">
        <v>113</v>
      </c>
      <c r="B114" t="s">
        <v>183</v>
      </c>
      <c r="C114" t="s">
        <v>28</v>
      </c>
      <c r="D114">
        <v>42</v>
      </c>
      <c r="E114" t="s">
        <v>29</v>
      </c>
      <c r="F114" t="s">
        <v>93</v>
      </c>
      <c r="G114">
        <v>58000</v>
      </c>
      <c r="H114" s="1">
        <v>44154</v>
      </c>
      <c r="I114">
        <v>5.9</v>
      </c>
      <c r="J114" t="s">
        <v>98</v>
      </c>
      <c r="K114">
        <v>77.8</v>
      </c>
      <c r="L114">
        <v>85.4</v>
      </c>
      <c r="M114">
        <v>23</v>
      </c>
      <c r="N114" s="3">
        <v>4</v>
      </c>
      <c r="O114" s="3" t="s">
        <v>32</v>
      </c>
      <c r="P114" s="5"/>
      <c r="Q114" s="4" t="s">
        <v>60</v>
      </c>
    </row>
    <row r="115" spans="1:17">
      <c r="A115">
        <v>114</v>
      </c>
      <c r="B115" t="s">
        <v>184</v>
      </c>
      <c r="C115" t="s">
        <v>46</v>
      </c>
      <c r="D115">
        <v>33</v>
      </c>
      <c r="E115" t="s">
        <v>35</v>
      </c>
      <c r="F115" t="s">
        <v>36</v>
      </c>
      <c r="G115">
        <v>62000</v>
      </c>
      <c r="H115" s="1">
        <v>44176</v>
      </c>
      <c r="I115">
        <v>5.8</v>
      </c>
      <c r="J115" t="s">
        <v>37</v>
      </c>
      <c r="K115">
        <v>80.900000000000006</v>
      </c>
      <c r="L115">
        <v>95.3</v>
      </c>
      <c r="M115">
        <v>24</v>
      </c>
      <c r="N115" s="3">
        <v>15</v>
      </c>
      <c r="O115" s="3" t="s">
        <v>32</v>
      </c>
      <c r="P115" s="5"/>
      <c r="Q115" s="4" t="s">
        <v>75</v>
      </c>
    </row>
    <row r="116" spans="1:17">
      <c r="A116">
        <v>115</v>
      </c>
      <c r="B116" t="s">
        <v>185</v>
      </c>
      <c r="C116" t="s">
        <v>46</v>
      </c>
      <c r="D116">
        <v>57</v>
      </c>
      <c r="E116" t="s">
        <v>41</v>
      </c>
      <c r="F116" t="s">
        <v>71</v>
      </c>
      <c r="G116">
        <v>28000</v>
      </c>
      <c r="H116" s="1">
        <v>46099</v>
      </c>
      <c r="I116">
        <v>0.6</v>
      </c>
      <c r="J116" t="s">
        <v>53</v>
      </c>
      <c r="K116">
        <v>92.2</v>
      </c>
      <c r="L116">
        <v>93</v>
      </c>
      <c r="M116">
        <v>2</v>
      </c>
      <c r="N116" s="3">
        <v>15</v>
      </c>
      <c r="O116" s="3" t="s">
        <v>32</v>
      </c>
      <c r="P116" s="5"/>
      <c r="Q116" s="4" t="s">
        <v>75</v>
      </c>
    </row>
    <row r="117" spans="1:17">
      <c r="A117">
        <v>116</v>
      </c>
      <c r="B117" t="s">
        <v>186</v>
      </c>
      <c r="C117" t="s">
        <v>46</v>
      </c>
      <c r="D117">
        <v>58</v>
      </c>
      <c r="E117" t="s">
        <v>29</v>
      </c>
      <c r="F117" t="s">
        <v>93</v>
      </c>
      <c r="G117">
        <v>35000</v>
      </c>
      <c r="H117" s="1">
        <v>43696</v>
      </c>
      <c r="I117">
        <v>7.1</v>
      </c>
      <c r="J117" t="s">
        <v>53</v>
      </c>
      <c r="K117">
        <v>70.099999999999994</v>
      </c>
      <c r="L117">
        <v>83.3</v>
      </c>
      <c r="M117">
        <v>1</v>
      </c>
      <c r="N117" s="3">
        <v>1</v>
      </c>
      <c r="O117" s="3" t="s">
        <v>32</v>
      </c>
      <c r="P117" s="5"/>
      <c r="Q117" s="4" t="s">
        <v>39</v>
      </c>
    </row>
    <row r="118" spans="1:17">
      <c r="A118">
        <v>117</v>
      </c>
      <c r="B118" t="s">
        <v>187</v>
      </c>
      <c r="C118" t="s">
        <v>28</v>
      </c>
      <c r="D118">
        <v>26</v>
      </c>
      <c r="E118" t="s">
        <v>41</v>
      </c>
      <c r="F118" t="s">
        <v>96</v>
      </c>
      <c r="G118">
        <v>29000</v>
      </c>
      <c r="H118" s="1">
        <v>45985</v>
      </c>
      <c r="I118">
        <v>0.9</v>
      </c>
      <c r="J118" t="s">
        <v>53</v>
      </c>
      <c r="K118">
        <v>80</v>
      </c>
      <c r="L118">
        <v>98.7</v>
      </c>
      <c r="M118">
        <v>18</v>
      </c>
      <c r="N118" s="3">
        <v>6</v>
      </c>
      <c r="O118" s="3" t="s">
        <v>32</v>
      </c>
      <c r="P118" s="5"/>
      <c r="Q118" s="4" t="s">
        <v>39</v>
      </c>
    </row>
    <row r="119" spans="1:17">
      <c r="A119">
        <v>118</v>
      </c>
      <c r="B119" t="s">
        <v>188</v>
      </c>
      <c r="C119" t="s">
        <v>28</v>
      </c>
      <c r="D119">
        <v>24</v>
      </c>
      <c r="E119" t="s">
        <v>85</v>
      </c>
      <c r="F119" t="s">
        <v>86</v>
      </c>
      <c r="G119">
        <v>37000</v>
      </c>
      <c r="H119" s="1">
        <v>45311</v>
      </c>
      <c r="I119">
        <v>2.7</v>
      </c>
      <c r="J119" t="s">
        <v>49</v>
      </c>
      <c r="K119">
        <v>59.5</v>
      </c>
      <c r="L119">
        <v>97.7</v>
      </c>
      <c r="M119">
        <v>2</v>
      </c>
      <c r="N119" s="3">
        <v>16</v>
      </c>
      <c r="O119" s="3" t="s">
        <v>32</v>
      </c>
      <c r="P119" s="5"/>
      <c r="Q119" s="4" t="s">
        <v>60</v>
      </c>
    </row>
    <row r="120" spans="1:17">
      <c r="A120">
        <v>119</v>
      </c>
      <c r="B120" t="s">
        <v>189</v>
      </c>
      <c r="C120" t="s">
        <v>46</v>
      </c>
      <c r="D120">
        <v>49</v>
      </c>
      <c r="E120" t="s">
        <v>35</v>
      </c>
      <c r="F120" t="s">
        <v>36</v>
      </c>
      <c r="G120">
        <v>47000</v>
      </c>
      <c r="H120" s="1">
        <v>45612</v>
      </c>
      <c r="I120">
        <v>1.9</v>
      </c>
      <c r="J120" t="s">
        <v>98</v>
      </c>
      <c r="K120">
        <v>71</v>
      </c>
      <c r="L120">
        <v>87</v>
      </c>
      <c r="M120">
        <v>21</v>
      </c>
      <c r="N120" s="3">
        <v>1</v>
      </c>
      <c r="O120" s="3" t="s">
        <v>32</v>
      </c>
      <c r="P120" s="5"/>
      <c r="Q120" s="4" t="s">
        <v>39</v>
      </c>
    </row>
    <row r="121" spans="1:17">
      <c r="A121">
        <v>120</v>
      </c>
      <c r="B121" t="s">
        <v>190</v>
      </c>
      <c r="C121" t="s">
        <v>28</v>
      </c>
      <c r="D121">
        <v>56</v>
      </c>
      <c r="E121" t="s">
        <v>35</v>
      </c>
      <c r="F121" t="s">
        <v>101</v>
      </c>
      <c r="G121">
        <v>53000</v>
      </c>
      <c r="H121" s="1">
        <v>46244</v>
      </c>
      <c r="I121">
        <v>0.2</v>
      </c>
      <c r="J121" t="s">
        <v>37</v>
      </c>
      <c r="K121">
        <v>71.599999999999994</v>
      </c>
      <c r="L121">
        <v>86.4</v>
      </c>
      <c r="M121">
        <v>10</v>
      </c>
      <c r="N121" s="3">
        <v>2</v>
      </c>
      <c r="O121" s="3" t="s">
        <v>32</v>
      </c>
      <c r="P121" s="5"/>
      <c r="Q121" s="4" t="s">
        <v>44</v>
      </c>
    </row>
    <row r="122" spans="1:17">
      <c r="A122">
        <v>121</v>
      </c>
      <c r="B122" t="s">
        <v>191</v>
      </c>
      <c r="C122" t="s">
        <v>46</v>
      </c>
      <c r="D122">
        <v>40</v>
      </c>
      <c r="E122" t="s">
        <v>29</v>
      </c>
      <c r="F122" t="s">
        <v>30</v>
      </c>
      <c r="G122">
        <v>42000</v>
      </c>
      <c r="H122" s="1">
        <v>46153</v>
      </c>
      <c r="I122">
        <v>0.4</v>
      </c>
      <c r="J122" t="s">
        <v>31</v>
      </c>
      <c r="K122">
        <v>80.599999999999994</v>
      </c>
      <c r="L122">
        <v>98.4</v>
      </c>
      <c r="M122">
        <v>12</v>
      </c>
      <c r="N122" s="3">
        <v>10</v>
      </c>
      <c r="O122" s="3" t="s">
        <v>32</v>
      </c>
      <c r="P122" s="5"/>
      <c r="Q122" s="4" t="s">
        <v>60</v>
      </c>
    </row>
    <row r="123" spans="1:17">
      <c r="A123">
        <v>122</v>
      </c>
      <c r="B123" t="s">
        <v>192</v>
      </c>
      <c r="C123" t="s">
        <v>28</v>
      </c>
      <c r="D123">
        <v>48</v>
      </c>
      <c r="E123" t="s">
        <v>29</v>
      </c>
      <c r="F123" t="s">
        <v>66</v>
      </c>
      <c r="G123">
        <v>36000</v>
      </c>
      <c r="H123" s="1">
        <v>45548</v>
      </c>
      <c r="I123">
        <v>2.1</v>
      </c>
      <c r="J123" t="s">
        <v>37</v>
      </c>
      <c r="K123">
        <v>70.599999999999994</v>
      </c>
      <c r="L123">
        <v>88.3</v>
      </c>
      <c r="M123">
        <v>10</v>
      </c>
      <c r="N123" s="3">
        <v>15</v>
      </c>
      <c r="O123" s="3" t="s">
        <v>32</v>
      </c>
      <c r="P123" s="5"/>
      <c r="Q123" s="4" t="s">
        <v>60</v>
      </c>
    </row>
    <row r="124" spans="1:17">
      <c r="A124">
        <v>123</v>
      </c>
      <c r="B124" t="s">
        <v>193</v>
      </c>
      <c r="C124" t="s">
        <v>28</v>
      </c>
      <c r="D124">
        <v>25</v>
      </c>
      <c r="E124" t="s">
        <v>51</v>
      </c>
      <c r="F124" t="s">
        <v>73</v>
      </c>
      <c r="G124">
        <v>44000</v>
      </c>
      <c r="H124" s="1">
        <v>44677</v>
      </c>
      <c r="I124">
        <v>4.4000000000000004</v>
      </c>
      <c r="J124" t="s">
        <v>49</v>
      </c>
      <c r="K124">
        <v>88.1</v>
      </c>
      <c r="L124">
        <v>96.6</v>
      </c>
      <c r="M124">
        <v>10</v>
      </c>
      <c r="N124" s="3">
        <v>4</v>
      </c>
      <c r="O124" s="3" t="s">
        <v>38</v>
      </c>
      <c r="P124" s="5">
        <v>46263</v>
      </c>
      <c r="Q124" s="4" t="s">
        <v>44</v>
      </c>
    </row>
    <row r="125" spans="1:17">
      <c r="A125">
        <v>124</v>
      </c>
      <c r="B125" t="s">
        <v>194</v>
      </c>
      <c r="C125" t="s">
        <v>28</v>
      </c>
      <c r="D125">
        <v>32</v>
      </c>
      <c r="E125" t="s">
        <v>58</v>
      </c>
      <c r="F125" t="s">
        <v>136</v>
      </c>
      <c r="G125">
        <v>47000</v>
      </c>
      <c r="H125" s="1">
        <v>46024</v>
      </c>
      <c r="I125">
        <v>0.8</v>
      </c>
      <c r="J125" t="s">
        <v>43</v>
      </c>
      <c r="K125">
        <v>89.8</v>
      </c>
      <c r="L125">
        <v>84.9</v>
      </c>
      <c r="M125">
        <v>13</v>
      </c>
      <c r="N125" s="3">
        <v>11</v>
      </c>
      <c r="O125" s="3" t="s">
        <v>32</v>
      </c>
      <c r="P125" s="5"/>
      <c r="Q125" s="4" t="s">
        <v>60</v>
      </c>
    </row>
    <row r="126" spans="1:17">
      <c r="A126">
        <v>125</v>
      </c>
      <c r="B126" t="s">
        <v>195</v>
      </c>
      <c r="C126" t="s">
        <v>46</v>
      </c>
      <c r="D126">
        <v>49</v>
      </c>
      <c r="E126" t="s">
        <v>58</v>
      </c>
      <c r="F126" t="s">
        <v>78</v>
      </c>
      <c r="G126">
        <v>42000</v>
      </c>
      <c r="H126" s="1">
        <v>44424</v>
      </c>
      <c r="I126">
        <v>5.0999999999999996</v>
      </c>
      <c r="J126" t="s">
        <v>98</v>
      </c>
      <c r="K126">
        <v>89.8</v>
      </c>
      <c r="L126">
        <v>90.2</v>
      </c>
      <c r="M126">
        <v>21</v>
      </c>
      <c r="N126" s="3">
        <v>18</v>
      </c>
      <c r="O126" s="3" t="s">
        <v>32</v>
      </c>
      <c r="P126" s="5"/>
      <c r="Q126" s="4" t="s">
        <v>75</v>
      </c>
    </row>
    <row r="127" spans="1:17">
      <c r="A127">
        <v>126</v>
      </c>
      <c r="B127" t="s">
        <v>196</v>
      </c>
      <c r="C127" t="s">
        <v>46</v>
      </c>
      <c r="D127">
        <v>53</v>
      </c>
      <c r="E127" t="s">
        <v>58</v>
      </c>
      <c r="F127" t="s">
        <v>59</v>
      </c>
      <c r="G127">
        <v>49000</v>
      </c>
      <c r="H127" s="1">
        <v>45626</v>
      </c>
      <c r="I127">
        <v>1.9</v>
      </c>
      <c r="J127" t="s">
        <v>31</v>
      </c>
      <c r="K127">
        <v>73</v>
      </c>
      <c r="L127">
        <v>84.8</v>
      </c>
      <c r="M127">
        <v>4</v>
      </c>
      <c r="N127" s="3">
        <v>8</v>
      </c>
      <c r="O127" s="3" t="s">
        <v>32</v>
      </c>
      <c r="P127" s="5"/>
      <c r="Q127" s="4" t="s">
        <v>33</v>
      </c>
    </row>
    <row r="128" spans="1:17">
      <c r="A128">
        <v>127</v>
      </c>
      <c r="B128" t="s">
        <v>197</v>
      </c>
      <c r="C128" t="s">
        <v>46</v>
      </c>
      <c r="D128">
        <v>56</v>
      </c>
      <c r="E128" t="s">
        <v>29</v>
      </c>
      <c r="F128" t="s">
        <v>93</v>
      </c>
      <c r="G128">
        <v>43000</v>
      </c>
      <c r="H128" s="1">
        <v>43886</v>
      </c>
      <c r="I128">
        <v>6.6</v>
      </c>
      <c r="J128" t="s">
        <v>98</v>
      </c>
      <c r="K128">
        <v>60.4</v>
      </c>
      <c r="L128">
        <v>83.5</v>
      </c>
      <c r="M128">
        <v>14</v>
      </c>
      <c r="N128" s="3">
        <v>16</v>
      </c>
      <c r="O128" s="3" t="s">
        <v>32</v>
      </c>
      <c r="P128" s="5"/>
      <c r="Q128" s="4" t="s">
        <v>60</v>
      </c>
    </row>
    <row r="129" spans="1:17">
      <c r="A129">
        <v>128</v>
      </c>
      <c r="B129" t="s">
        <v>198</v>
      </c>
      <c r="C129" t="s">
        <v>28</v>
      </c>
      <c r="D129">
        <v>35</v>
      </c>
      <c r="E129" t="s">
        <v>41</v>
      </c>
      <c r="F129" t="s">
        <v>96</v>
      </c>
      <c r="G129">
        <v>26000</v>
      </c>
      <c r="H129" s="1">
        <v>45313</v>
      </c>
      <c r="I129">
        <v>2.7</v>
      </c>
      <c r="J129" t="s">
        <v>43</v>
      </c>
      <c r="K129">
        <v>93</v>
      </c>
      <c r="L129">
        <v>98.3</v>
      </c>
      <c r="M129">
        <v>12</v>
      </c>
      <c r="N129" s="3">
        <v>16</v>
      </c>
      <c r="O129" s="3" t="s">
        <v>32</v>
      </c>
      <c r="P129" s="5"/>
      <c r="Q129" s="4" t="s">
        <v>39</v>
      </c>
    </row>
    <row r="130" spans="1:17">
      <c r="A130">
        <v>129</v>
      </c>
      <c r="B130" t="s">
        <v>199</v>
      </c>
      <c r="C130" t="s">
        <v>28</v>
      </c>
      <c r="D130">
        <v>44</v>
      </c>
      <c r="E130" t="s">
        <v>51</v>
      </c>
      <c r="F130" t="s">
        <v>55</v>
      </c>
      <c r="G130">
        <v>63000</v>
      </c>
      <c r="H130" s="1">
        <v>44385</v>
      </c>
      <c r="I130">
        <v>5.2</v>
      </c>
      <c r="J130" t="s">
        <v>37</v>
      </c>
      <c r="K130">
        <v>91.1</v>
      </c>
      <c r="L130">
        <v>93.4</v>
      </c>
      <c r="M130">
        <v>1</v>
      </c>
      <c r="N130" s="3">
        <v>9</v>
      </c>
      <c r="O130" s="3" t="s">
        <v>32</v>
      </c>
      <c r="P130" s="5"/>
      <c r="Q130" s="4" t="s">
        <v>75</v>
      </c>
    </row>
    <row r="131" spans="1:17">
      <c r="A131">
        <v>130</v>
      </c>
      <c r="B131" t="s">
        <v>200</v>
      </c>
      <c r="C131" t="s">
        <v>46</v>
      </c>
      <c r="D131">
        <v>49</v>
      </c>
      <c r="E131" t="s">
        <v>29</v>
      </c>
      <c r="F131" t="s">
        <v>30</v>
      </c>
      <c r="G131">
        <v>50000</v>
      </c>
      <c r="H131" s="1">
        <v>45986</v>
      </c>
      <c r="I131">
        <v>0.9</v>
      </c>
      <c r="J131" t="s">
        <v>37</v>
      </c>
      <c r="K131">
        <v>55.2</v>
      </c>
      <c r="L131">
        <v>83.4</v>
      </c>
      <c r="M131">
        <v>4</v>
      </c>
      <c r="N131" s="3">
        <v>17</v>
      </c>
      <c r="O131" s="3" t="s">
        <v>32</v>
      </c>
      <c r="P131" s="5"/>
      <c r="Q131" s="4" t="s">
        <v>44</v>
      </c>
    </row>
    <row r="132" spans="1:17">
      <c r="A132">
        <v>131</v>
      </c>
      <c r="B132" t="s">
        <v>201</v>
      </c>
      <c r="C132" t="s">
        <v>28</v>
      </c>
      <c r="D132">
        <v>39</v>
      </c>
      <c r="E132" t="s">
        <v>85</v>
      </c>
      <c r="F132" t="s">
        <v>86</v>
      </c>
      <c r="G132">
        <v>42000</v>
      </c>
      <c r="H132" s="1">
        <v>44439</v>
      </c>
      <c r="I132">
        <v>5.0999999999999996</v>
      </c>
      <c r="J132" t="s">
        <v>43</v>
      </c>
      <c r="K132">
        <v>73.099999999999994</v>
      </c>
      <c r="L132">
        <v>95.9</v>
      </c>
      <c r="M132">
        <v>3</v>
      </c>
      <c r="N132" s="3">
        <v>15</v>
      </c>
      <c r="O132" s="3" t="s">
        <v>32</v>
      </c>
      <c r="P132" s="5"/>
      <c r="Q132" s="4" t="s">
        <v>44</v>
      </c>
    </row>
    <row r="133" spans="1:17">
      <c r="A133">
        <v>132</v>
      </c>
      <c r="B133" t="s">
        <v>202</v>
      </c>
      <c r="C133" t="s">
        <v>28</v>
      </c>
      <c r="D133">
        <v>30</v>
      </c>
      <c r="E133" t="s">
        <v>85</v>
      </c>
      <c r="F133" t="s">
        <v>103</v>
      </c>
      <c r="G133">
        <v>45000</v>
      </c>
      <c r="H133" s="1">
        <v>44659</v>
      </c>
      <c r="I133">
        <v>4.5</v>
      </c>
      <c r="J133" t="s">
        <v>31</v>
      </c>
      <c r="K133">
        <v>73.5</v>
      </c>
      <c r="L133">
        <v>92.8</v>
      </c>
      <c r="M133">
        <v>13</v>
      </c>
      <c r="N133" s="3">
        <v>5</v>
      </c>
      <c r="O133" s="3" t="s">
        <v>32</v>
      </c>
      <c r="P133" s="5"/>
      <c r="Q133" s="4" t="s">
        <v>33</v>
      </c>
    </row>
    <row r="134" spans="1:17">
      <c r="A134">
        <v>133</v>
      </c>
      <c r="B134" t="s">
        <v>203</v>
      </c>
      <c r="C134" t="s">
        <v>28</v>
      </c>
      <c r="D134">
        <v>54</v>
      </c>
      <c r="E134" t="s">
        <v>85</v>
      </c>
      <c r="F134" t="s">
        <v>86</v>
      </c>
      <c r="G134">
        <v>18000</v>
      </c>
      <c r="H134" s="1">
        <v>45694</v>
      </c>
      <c r="I134">
        <v>1.7</v>
      </c>
      <c r="J134" t="s">
        <v>43</v>
      </c>
      <c r="K134">
        <v>78.8</v>
      </c>
      <c r="L134">
        <v>88.8</v>
      </c>
      <c r="M134">
        <v>20</v>
      </c>
      <c r="N134" s="3">
        <v>12</v>
      </c>
      <c r="O134" s="3" t="s">
        <v>32</v>
      </c>
      <c r="P134" s="5"/>
      <c r="Q134" s="4" t="s">
        <v>39</v>
      </c>
    </row>
    <row r="135" spans="1:17">
      <c r="A135">
        <v>134</v>
      </c>
      <c r="B135" t="s">
        <v>204</v>
      </c>
      <c r="C135" t="s">
        <v>28</v>
      </c>
      <c r="D135">
        <v>43</v>
      </c>
      <c r="E135" t="s">
        <v>47</v>
      </c>
      <c r="F135" t="s">
        <v>64</v>
      </c>
      <c r="G135">
        <v>43000</v>
      </c>
      <c r="H135" s="1">
        <v>43742</v>
      </c>
      <c r="I135">
        <v>7</v>
      </c>
      <c r="J135" t="s">
        <v>31</v>
      </c>
      <c r="K135">
        <v>69.8</v>
      </c>
      <c r="L135">
        <v>94.8</v>
      </c>
      <c r="M135">
        <v>23</v>
      </c>
      <c r="N135" s="3">
        <v>10</v>
      </c>
      <c r="O135" s="3" t="s">
        <v>32</v>
      </c>
      <c r="P135" s="5"/>
      <c r="Q135" s="4" t="s">
        <v>60</v>
      </c>
    </row>
    <row r="136" spans="1:17">
      <c r="A136">
        <v>135</v>
      </c>
      <c r="B136" t="s">
        <v>205</v>
      </c>
      <c r="C136" t="s">
        <v>46</v>
      </c>
      <c r="D136">
        <v>32</v>
      </c>
      <c r="E136" t="s">
        <v>35</v>
      </c>
      <c r="F136" t="s">
        <v>101</v>
      </c>
      <c r="G136">
        <v>36000</v>
      </c>
      <c r="H136" s="1">
        <v>46270</v>
      </c>
      <c r="I136">
        <v>0.1</v>
      </c>
      <c r="J136" t="s">
        <v>49</v>
      </c>
      <c r="K136">
        <v>82.2</v>
      </c>
      <c r="L136">
        <v>96.2</v>
      </c>
      <c r="M136">
        <v>24</v>
      </c>
      <c r="N136" s="3">
        <v>14</v>
      </c>
      <c r="O136" s="3" t="s">
        <v>32</v>
      </c>
      <c r="P136" s="5"/>
      <c r="Q136" s="4" t="s">
        <v>33</v>
      </c>
    </row>
    <row r="137" spans="1:17">
      <c r="A137">
        <v>136</v>
      </c>
      <c r="B137" t="s">
        <v>206</v>
      </c>
      <c r="C137" t="s">
        <v>28</v>
      </c>
      <c r="D137">
        <v>33</v>
      </c>
      <c r="E137" t="s">
        <v>47</v>
      </c>
      <c r="F137" t="s">
        <v>48</v>
      </c>
      <c r="G137">
        <v>48000</v>
      </c>
      <c r="H137" s="1">
        <v>43637</v>
      </c>
      <c r="I137">
        <v>7.3</v>
      </c>
      <c r="J137" t="s">
        <v>31</v>
      </c>
      <c r="K137">
        <v>68.599999999999994</v>
      </c>
      <c r="L137">
        <v>87.4</v>
      </c>
      <c r="M137">
        <v>15</v>
      </c>
      <c r="N137" s="3">
        <v>8</v>
      </c>
      <c r="O137" s="3" t="s">
        <v>32</v>
      </c>
      <c r="P137" s="5"/>
      <c r="Q137" s="4" t="s">
        <v>33</v>
      </c>
    </row>
    <row r="138" spans="1:17">
      <c r="A138">
        <v>137</v>
      </c>
      <c r="B138" t="s">
        <v>207</v>
      </c>
      <c r="C138" t="s">
        <v>28</v>
      </c>
      <c r="D138">
        <v>39</v>
      </c>
      <c r="E138" t="s">
        <v>41</v>
      </c>
      <c r="F138" t="s">
        <v>71</v>
      </c>
      <c r="G138">
        <v>37000</v>
      </c>
      <c r="H138" s="1">
        <v>44928</v>
      </c>
      <c r="I138">
        <v>3.8</v>
      </c>
      <c r="J138" t="s">
        <v>53</v>
      </c>
      <c r="K138">
        <v>83.2</v>
      </c>
      <c r="L138">
        <v>86.8</v>
      </c>
      <c r="M138">
        <v>12</v>
      </c>
      <c r="N138" s="3">
        <v>14</v>
      </c>
      <c r="O138" s="3" t="s">
        <v>32</v>
      </c>
      <c r="P138" s="5"/>
      <c r="Q138" s="4" t="s">
        <v>75</v>
      </c>
    </row>
    <row r="139" spans="1:17">
      <c r="A139">
        <v>138</v>
      </c>
      <c r="B139" t="s">
        <v>208</v>
      </c>
      <c r="C139" t="s">
        <v>46</v>
      </c>
      <c r="D139">
        <v>52</v>
      </c>
      <c r="E139" t="s">
        <v>47</v>
      </c>
      <c r="F139" t="s">
        <v>48</v>
      </c>
      <c r="G139">
        <v>42000</v>
      </c>
      <c r="H139" s="1">
        <v>44970</v>
      </c>
      <c r="I139">
        <v>3.6</v>
      </c>
      <c r="J139" t="s">
        <v>49</v>
      </c>
      <c r="K139">
        <v>94.7</v>
      </c>
      <c r="L139">
        <v>91.1</v>
      </c>
      <c r="M139">
        <v>13</v>
      </c>
      <c r="N139" s="3">
        <v>2</v>
      </c>
      <c r="O139" s="3" t="s">
        <v>32</v>
      </c>
      <c r="P139" s="5"/>
      <c r="Q139" s="4" t="s">
        <v>75</v>
      </c>
    </row>
    <row r="140" spans="1:17">
      <c r="A140">
        <v>139</v>
      </c>
      <c r="B140" t="s">
        <v>209</v>
      </c>
      <c r="C140" t="s">
        <v>46</v>
      </c>
      <c r="D140">
        <v>41</v>
      </c>
      <c r="E140" t="s">
        <v>85</v>
      </c>
      <c r="F140" t="s">
        <v>103</v>
      </c>
      <c r="G140">
        <v>55000</v>
      </c>
      <c r="H140" s="1">
        <v>43886</v>
      </c>
      <c r="I140">
        <v>6.6</v>
      </c>
      <c r="J140" t="s">
        <v>37</v>
      </c>
      <c r="K140">
        <v>68.2</v>
      </c>
      <c r="L140">
        <v>92.5</v>
      </c>
      <c r="M140">
        <v>22</v>
      </c>
      <c r="N140" s="3">
        <v>14</v>
      </c>
      <c r="O140" s="3" t="s">
        <v>32</v>
      </c>
      <c r="P140" s="5"/>
      <c r="Q140" s="4" t="s">
        <v>39</v>
      </c>
    </row>
    <row r="141" spans="1:17">
      <c r="A141">
        <v>140</v>
      </c>
      <c r="B141" t="s">
        <v>210</v>
      </c>
      <c r="C141" t="s">
        <v>46</v>
      </c>
      <c r="D141">
        <v>48</v>
      </c>
      <c r="E141" t="s">
        <v>58</v>
      </c>
      <c r="F141" t="s">
        <v>136</v>
      </c>
      <c r="G141">
        <v>60000</v>
      </c>
      <c r="H141" s="1">
        <v>44590</v>
      </c>
      <c r="I141">
        <v>4.7</v>
      </c>
      <c r="J141" t="s">
        <v>43</v>
      </c>
      <c r="K141">
        <v>82.5</v>
      </c>
      <c r="L141">
        <v>95.9</v>
      </c>
      <c r="M141">
        <v>21</v>
      </c>
      <c r="N141" s="3">
        <v>12</v>
      </c>
      <c r="O141" s="3" t="s">
        <v>32</v>
      </c>
      <c r="P141" s="5"/>
      <c r="Q141" s="4" t="s">
        <v>39</v>
      </c>
    </row>
    <row r="142" spans="1:17">
      <c r="A142">
        <v>141</v>
      </c>
      <c r="B142" t="s">
        <v>211</v>
      </c>
      <c r="C142" t="s">
        <v>28</v>
      </c>
      <c r="D142">
        <v>22</v>
      </c>
      <c r="E142" t="s">
        <v>85</v>
      </c>
      <c r="F142" t="s">
        <v>108</v>
      </c>
      <c r="G142">
        <v>51000</v>
      </c>
      <c r="H142" s="1">
        <v>44050</v>
      </c>
      <c r="I142">
        <v>6.2</v>
      </c>
      <c r="J142" t="s">
        <v>49</v>
      </c>
      <c r="K142">
        <v>73.8</v>
      </c>
      <c r="L142">
        <v>84.2</v>
      </c>
      <c r="M142">
        <v>11</v>
      </c>
      <c r="N142" s="3">
        <v>11</v>
      </c>
      <c r="O142" s="3" t="s">
        <v>32</v>
      </c>
      <c r="P142" s="5"/>
      <c r="Q142" s="4" t="s">
        <v>75</v>
      </c>
    </row>
    <row r="143" spans="1:17">
      <c r="A143">
        <v>142</v>
      </c>
      <c r="B143" t="s">
        <v>212</v>
      </c>
      <c r="C143" t="s">
        <v>28</v>
      </c>
      <c r="D143">
        <v>49</v>
      </c>
      <c r="E143" t="s">
        <v>85</v>
      </c>
      <c r="F143" t="s">
        <v>103</v>
      </c>
      <c r="G143">
        <v>31000</v>
      </c>
      <c r="H143" s="1">
        <v>44985</v>
      </c>
      <c r="I143">
        <v>3.6</v>
      </c>
      <c r="J143" t="s">
        <v>31</v>
      </c>
      <c r="K143">
        <v>71</v>
      </c>
      <c r="L143">
        <v>95.4</v>
      </c>
      <c r="M143">
        <v>11</v>
      </c>
      <c r="N143" s="3">
        <v>12</v>
      </c>
      <c r="O143" s="3" t="s">
        <v>38</v>
      </c>
      <c r="P143" s="5">
        <v>46161</v>
      </c>
      <c r="Q143" s="4" t="s">
        <v>39</v>
      </c>
    </row>
    <row r="144" spans="1:17">
      <c r="A144">
        <v>143</v>
      </c>
      <c r="B144" t="s">
        <v>213</v>
      </c>
      <c r="C144" t="s">
        <v>28</v>
      </c>
      <c r="D144">
        <v>28</v>
      </c>
      <c r="E144" t="s">
        <v>29</v>
      </c>
      <c r="F144" t="s">
        <v>93</v>
      </c>
      <c r="G144">
        <v>44000</v>
      </c>
      <c r="H144" s="1">
        <v>43572</v>
      </c>
      <c r="I144">
        <v>7.5</v>
      </c>
      <c r="J144" t="s">
        <v>98</v>
      </c>
      <c r="K144">
        <v>71.599999999999994</v>
      </c>
      <c r="L144">
        <v>91.8</v>
      </c>
      <c r="M144">
        <v>22</v>
      </c>
      <c r="N144" s="3">
        <v>14</v>
      </c>
      <c r="O144" s="3" t="s">
        <v>32</v>
      </c>
      <c r="P144" s="5"/>
      <c r="Q144" s="4" t="s">
        <v>60</v>
      </c>
    </row>
    <row r="145" spans="1:17">
      <c r="A145">
        <v>144</v>
      </c>
      <c r="B145" t="s">
        <v>214</v>
      </c>
      <c r="C145" t="s">
        <v>46</v>
      </c>
      <c r="D145">
        <v>33</v>
      </c>
      <c r="E145" t="s">
        <v>85</v>
      </c>
      <c r="F145" t="s">
        <v>86</v>
      </c>
      <c r="G145">
        <v>31000</v>
      </c>
      <c r="H145" s="1">
        <v>43968</v>
      </c>
      <c r="I145">
        <v>6.4</v>
      </c>
      <c r="J145" t="s">
        <v>49</v>
      </c>
      <c r="K145">
        <v>60.8</v>
      </c>
      <c r="L145">
        <v>83.3</v>
      </c>
      <c r="M145">
        <v>14</v>
      </c>
      <c r="N145" s="3">
        <v>2</v>
      </c>
      <c r="O145" s="3" t="s">
        <v>32</v>
      </c>
      <c r="P145" s="5"/>
      <c r="Q145" s="4" t="s">
        <v>39</v>
      </c>
    </row>
    <row r="146" spans="1:17">
      <c r="A146">
        <v>145</v>
      </c>
      <c r="B146" t="s">
        <v>215</v>
      </c>
      <c r="C146" t="s">
        <v>28</v>
      </c>
      <c r="D146">
        <v>56</v>
      </c>
      <c r="E146" t="s">
        <v>29</v>
      </c>
      <c r="F146" t="s">
        <v>93</v>
      </c>
      <c r="G146">
        <v>43000</v>
      </c>
      <c r="H146" s="1">
        <v>45686</v>
      </c>
      <c r="I146">
        <v>1.7</v>
      </c>
      <c r="J146" t="s">
        <v>98</v>
      </c>
      <c r="K146">
        <v>61.8</v>
      </c>
      <c r="L146">
        <v>94.4</v>
      </c>
      <c r="M146">
        <v>16</v>
      </c>
      <c r="N146" s="3">
        <v>7</v>
      </c>
      <c r="O146" s="3" t="s">
        <v>32</v>
      </c>
      <c r="P146" s="5"/>
      <c r="Q146" s="4" t="s">
        <v>33</v>
      </c>
    </row>
    <row r="147" spans="1:17">
      <c r="A147">
        <v>146</v>
      </c>
      <c r="B147" t="s">
        <v>216</v>
      </c>
      <c r="C147" t="s">
        <v>28</v>
      </c>
      <c r="D147">
        <v>52</v>
      </c>
      <c r="E147" t="s">
        <v>51</v>
      </c>
      <c r="F147" t="s">
        <v>73</v>
      </c>
      <c r="G147">
        <v>49000</v>
      </c>
      <c r="H147" s="1">
        <v>43573</v>
      </c>
      <c r="I147">
        <v>7.5</v>
      </c>
      <c r="J147" t="s">
        <v>31</v>
      </c>
      <c r="K147">
        <v>70.5</v>
      </c>
      <c r="L147">
        <v>92</v>
      </c>
      <c r="M147">
        <v>4</v>
      </c>
      <c r="N147" s="3">
        <v>2</v>
      </c>
      <c r="O147" s="3" t="s">
        <v>32</v>
      </c>
      <c r="P147" s="5"/>
      <c r="Q147" s="4" t="s">
        <v>33</v>
      </c>
    </row>
    <row r="148" spans="1:17">
      <c r="A148">
        <v>147</v>
      </c>
      <c r="B148" t="s">
        <v>217</v>
      </c>
      <c r="C148" t="s">
        <v>46</v>
      </c>
      <c r="D148">
        <v>54</v>
      </c>
      <c r="E148" t="s">
        <v>47</v>
      </c>
      <c r="F148" t="s">
        <v>89</v>
      </c>
      <c r="G148">
        <v>47000</v>
      </c>
      <c r="H148" s="1">
        <v>45148</v>
      </c>
      <c r="I148">
        <v>3.2</v>
      </c>
      <c r="J148" t="s">
        <v>53</v>
      </c>
      <c r="K148">
        <v>58.2</v>
      </c>
      <c r="L148">
        <v>99</v>
      </c>
      <c r="M148">
        <v>14</v>
      </c>
      <c r="N148" s="3">
        <v>16</v>
      </c>
      <c r="O148" s="3" t="s">
        <v>32</v>
      </c>
      <c r="P148" s="5"/>
      <c r="Q148" s="4" t="s">
        <v>39</v>
      </c>
    </row>
    <row r="149" spans="1:17">
      <c r="A149">
        <v>148</v>
      </c>
      <c r="B149" t="s">
        <v>218</v>
      </c>
      <c r="C149" t="s">
        <v>28</v>
      </c>
      <c r="D149">
        <v>29</v>
      </c>
      <c r="E149" t="s">
        <v>51</v>
      </c>
      <c r="F149" t="s">
        <v>52</v>
      </c>
      <c r="G149">
        <v>24000</v>
      </c>
      <c r="H149" s="1">
        <v>45238</v>
      </c>
      <c r="I149">
        <v>2.9</v>
      </c>
      <c r="J149" t="s">
        <v>31</v>
      </c>
      <c r="K149">
        <v>76.599999999999994</v>
      </c>
      <c r="L149">
        <v>97.2</v>
      </c>
      <c r="M149">
        <v>4</v>
      </c>
      <c r="N149" s="3">
        <v>9</v>
      </c>
      <c r="O149" s="3" t="s">
        <v>32</v>
      </c>
      <c r="P149" s="5"/>
      <c r="Q149" s="4" t="s">
        <v>60</v>
      </c>
    </row>
    <row r="150" spans="1:17">
      <c r="A150">
        <v>149</v>
      </c>
      <c r="B150" t="s">
        <v>219</v>
      </c>
      <c r="C150" t="s">
        <v>28</v>
      </c>
      <c r="D150">
        <v>43</v>
      </c>
      <c r="E150" t="s">
        <v>51</v>
      </c>
      <c r="F150" t="s">
        <v>55</v>
      </c>
      <c r="G150">
        <v>56000</v>
      </c>
      <c r="H150" s="1">
        <v>45591</v>
      </c>
      <c r="I150">
        <v>1.9</v>
      </c>
      <c r="J150" t="s">
        <v>37</v>
      </c>
      <c r="K150">
        <v>65.8</v>
      </c>
      <c r="L150">
        <v>93.1</v>
      </c>
      <c r="M150">
        <v>20</v>
      </c>
      <c r="N150" s="3">
        <v>9</v>
      </c>
      <c r="O150" s="3" t="s">
        <v>38</v>
      </c>
      <c r="P150" s="5">
        <v>46020</v>
      </c>
      <c r="Q150" s="4" t="s">
        <v>44</v>
      </c>
    </row>
    <row r="151" spans="1:17">
      <c r="A151">
        <v>150</v>
      </c>
      <c r="B151" t="s">
        <v>220</v>
      </c>
      <c r="C151" t="s">
        <v>28</v>
      </c>
      <c r="D151">
        <v>58</v>
      </c>
      <c r="E151" t="s">
        <v>85</v>
      </c>
      <c r="F151" t="s">
        <v>103</v>
      </c>
      <c r="G151">
        <v>31000</v>
      </c>
      <c r="H151" s="1">
        <v>45844</v>
      </c>
      <c r="I151">
        <v>1.3</v>
      </c>
      <c r="J151" t="s">
        <v>31</v>
      </c>
      <c r="K151">
        <v>61.6</v>
      </c>
      <c r="L151">
        <v>93.5</v>
      </c>
      <c r="M151">
        <v>1</v>
      </c>
      <c r="N151" s="3">
        <v>0</v>
      </c>
      <c r="O151" s="3" t="s">
        <v>38</v>
      </c>
      <c r="P151" s="5">
        <v>45956</v>
      </c>
      <c r="Q151" s="4" t="s">
        <v>33</v>
      </c>
    </row>
    <row r="152" spans="1:17">
      <c r="A152">
        <v>151</v>
      </c>
      <c r="B152" t="s">
        <v>221</v>
      </c>
      <c r="C152" t="s">
        <v>28</v>
      </c>
      <c r="D152">
        <v>57</v>
      </c>
      <c r="E152" t="s">
        <v>35</v>
      </c>
      <c r="F152" t="s">
        <v>101</v>
      </c>
      <c r="G152">
        <v>52000</v>
      </c>
      <c r="H152" s="1">
        <v>45172</v>
      </c>
      <c r="I152">
        <v>3.1</v>
      </c>
      <c r="J152" t="s">
        <v>53</v>
      </c>
      <c r="K152">
        <v>93.2</v>
      </c>
      <c r="L152">
        <v>91.5</v>
      </c>
      <c r="M152">
        <v>7</v>
      </c>
      <c r="N152" s="3">
        <v>12</v>
      </c>
      <c r="O152" s="3" t="s">
        <v>32</v>
      </c>
      <c r="P152" s="5"/>
      <c r="Q152" s="4" t="s">
        <v>39</v>
      </c>
    </row>
    <row r="153" spans="1:17">
      <c r="A153">
        <v>152</v>
      </c>
      <c r="B153" t="s">
        <v>222</v>
      </c>
      <c r="C153" t="s">
        <v>28</v>
      </c>
      <c r="D153">
        <v>31</v>
      </c>
      <c r="E153" t="s">
        <v>58</v>
      </c>
      <c r="F153" t="s">
        <v>136</v>
      </c>
      <c r="G153">
        <v>50000</v>
      </c>
      <c r="H153" s="1">
        <v>45266</v>
      </c>
      <c r="I153">
        <v>2.8</v>
      </c>
      <c r="J153" t="s">
        <v>31</v>
      </c>
      <c r="K153">
        <v>72.900000000000006</v>
      </c>
      <c r="L153">
        <v>90.1</v>
      </c>
      <c r="M153">
        <v>4</v>
      </c>
      <c r="N153" s="3">
        <v>10</v>
      </c>
      <c r="O153" s="3" t="s">
        <v>32</v>
      </c>
      <c r="P153" s="5"/>
      <c r="Q153" s="4" t="s">
        <v>39</v>
      </c>
    </row>
    <row r="154" spans="1:17">
      <c r="A154">
        <v>153</v>
      </c>
      <c r="B154" t="s">
        <v>223</v>
      </c>
      <c r="C154" t="s">
        <v>46</v>
      </c>
      <c r="D154">
        <v>29</v>
      </c>
      <c r="E154" t="s">
        <v>29</v>
      </c>
      <c r="F154" t="s">
        <v>93</v>
      </c>
      <c r="G154">
        <v>41000</v>
      </c>
      <c r="H154" s="1">
        <v>44983</v>
      </c>
      <c r="I154">
        <v>3.6</v>
      </c>
      <c r="J154" t="s">
        <v>37</v>
      </c>
      <c r="K154">
        <v>65.400000000000006</v>
      </c>
      <c r="L154">
        <v>84.1</v>
      </c>
      <c r="M154">
        <v>4</v>
      </c>
      <c r="N154" s="3">
        <v>3</v>
      </c>
      <c r="O154" s="3" t="s">
        <v>32</v>
      </c>
      <c r="P154" s="5"/>
      <c r="Q154" s="4" t="s">
        <v>33</v>
      </c>
    </row>
    <row r="155" spans="1:17">
      <c r="A155">
        <v>154</v>
      </c>
      <c r="B155" t="s">
        <v>224</v>
      </c>
      <c r="C155" t="s">
        <v>46</v>
      </c>
      <c r="D155">
        <v>36</v>
      </c>
      <c r="E155" t="s">
        <v>47</v>
      </c>
      <c r="F155" t="s">
        <v>89</v>
      </c>
      <c r="G155">
        <v>44000</v>
      </c>
      <c r="H155" s="1">
        <v>44120</v>
      </c>
      <c r="I155">
        <v>6</v>
      </c>
      <c r="J155" t="s">
        <v>37</v>
      </c>
      <c r="K155">
        <v>90</v>
      </c>
      <c r="L155">
        <v>98.3</v>
      </c>
      <c r="M155">
        <v>24</v>
      </c>
      <c r="N155" s="3">
        <v>5</v>
      </c>
      <c r="O155" s="3" t="s">
        <v>32</v>
      </c>
      <c r="P155" s="5"/>
      <c r="Q155" s="4" t="s">
        <v>75</v>
      </c>
    </row>
    <row r="156" spans="1:17">
      <c r="A156">
        <v>155</v>
      </c>
      <c r="B156" t="s">
        <v>225</v>
      </c>
      <c r="C156" t="s">
        <v>46</v>
      </c>
      <c r="D156">
        <v>40</v>
      </c>
      <c r="E156" t="s">
        <v>85</v>
      </c>
      <c r="F156" t="s">
        <v>86</v>
      </c>
      <c r="G156">
        <v>65000</v>
      </c>
      <c r="H156" s="1">
        <v>45503</v>
      </c>
      <c r="I156">
        <v>2.2000000000000002</v>
      </c>
      <c r="J156" t="s">
        <v>31</v>
      </c>
      <c r="K156">
        <v>76.7</v>
      </c>
      <c r="L156">
        <v>98.9</v>
      </c>
      <c r="M156">
        <v>11</v>
      </c>
      <c r="N156" s="3">
        <v>1</v>
      </c>
      <c r="O156" s="3" t="s">
        <v>32</v>
      </c>
      <c r="P156" s="5"/>
      <c r="Q156" s="4" t="s">
        <v>33</v>
      </c>
    </row>
    <row r="157" spans="1:17">
      <c r="A157">
        <v>156</v>
      </c>
      <c r="B157" t="s">
        <v>226</v>
      </c>
      <c r="C157" t="s">
        <v>46</v>
      </c>
      <c r="D157">
        <v>39</v>
      </c>
      <c r="E157" t="s">
        <v>47</v>
      </c>
      <c r="F157" t="s">
        <v>89</v>
      </c>
      <c r="G157">
        <v>48000</v>
      </c>
      <c r="H157" s="1">
        <v>45664</v>
      </c>
      <c r="I157">
        <v>1.7</v>
      </c>
      <c r="J157" t="s">
        <v>98</v>
      </c>
      <c r="K157">
        <v>55.4</v>
      </c>
      <c r="L157">
        <v>83.9</v>
      </c>
      <c r="M157">
        <v>23</v>
      </c>
      <c r="N157" s="3">
        <v>11</v>
      </c>
      <c r="O157" s="3" t="s">
        <v>32</v>
      </c>
      <c r="P157" s="5"/>
      <c r="Q157" s="4" t="s">
        <v>75</v>
      </c>
    </row>
    <row r="158" spans="1:17">
      <c r="A158">
        <v>157</v>
      </c>
      <c r="B158" t="s">
        <v>227</v>
      </c>
      <c r="C158" t="s">
        <v>46</v>
      </c>
      <c r="D158">
        <v>24</v>
      </c>
      <c r="E158" t="s">
        <v>47</v>
      </c>
      <c r="F158" t="s">
        <v>48</v>
      </c>
      <c r="G158">
        <v>36000</v>
      </c>
      <c r="H158" s="1">
        <v>45801</v>
      </c>
      <c r="I158">
        <v>1.4</v>
      </c>
      <c r="J158" t="s">
        <v>31</v>
      </c>
      <c r="K158">
        <v>67.400000000000006</v>
      </c>
      <c r="L158">
        <v>88.8</v>
      </c>
      <c r="M158">
        <v>8</v>
      </c>
      <c r="N158" s="3">
        <v>3</v>
      </c>
      <c r="O158" s="3" t="s">
        <v>32</v>
      </c>
      <c r="P158" s="5"/>
      <c r="Q158" s="4" t="s">
        <v>60</v>
      </c>
    </row>
    <row r="159" spans="1:17">
      <c r="A159">
        <v>158</v>
      </c>
      <c r="B159" t="s">
        <v>228</v>
      </c>
      <c r="C159" t="s">
        <v>46</v>
      </c>
      <c r="D159">
        <v>42</v>
      </c>
      <c r="E159" t="s">
        <v>35</v>
      </c>
      <c r="F159" t="s">
        <v>81</v>
      </c>
      <c r="G159">
        <v>50000</v>
      </c>
      <c r="H159" s="1">
        <v>45750</v>
      </c>
      <c r="I159">
        <v>1.5</v>
      </c>
      <c r="J159" t="s">
        <v>31</v>
      </c>
      <c r="K159">
        <v>95.4</v>
      </c>
      <c r="L159">
        <v>95.2</v>
      </c>
      <c r="M159">
        <v>16</v>
      </c>
      <c r="N159" s="3">
        <v>12</v>
      </c>
      <c r="O159" s="3" t="s">
        <v>32</v>
      </c>
      <c r="P159" s="5"/>
      <c r="Q159" s="4" t="s">
        <v>44</v>
      </c>
    </row>
    <row r="160" spans="1:17">
      <c r="A160">
        <v>159</v>
      </c>
      <c r="B160" t="s">
        <v>229</v>
      </c>
      <c r="C160" t="s">
        <v>28</v>
      </c>
      <c r="D160">
        <v>29</v>
      </c>
      <c r="E160" t="s">
        <v>35</v>
      </c>
      <c r="F160" t="s">
        <v>69</v>
      </c>
      <c r="G160">
        <v>59000</v>
      </c>
      <c r="H160" s="1">
        <v>44830</v>
      </c>
      <c r="I160">
        <v>4</v>
      </c>
      <c r="J160" t="s">
        <v>98</v>
      </c>
      <c r="K160">
        <v>61.4</v>
      </c>
      <c r="L160">
        <v>97.6</v>
      </c>
      <c r="M160">
        <v>19</v>
      </c>
      <c r="N160" s="3">
        <v>10</v>
      </c>
      <c r="O160" s="3" t="s">
        <v>32</v>
      </c>
      <c r="P160" s="5"/>
      <c r="Q160" s="4" t="s">
        <v>60</v>
      </c>
    </row>
    <row r="161" spans="1:17">
      <c r="A161">
        <v>160</v>
      </c>
      <c r="B161" t="s">
        <v>230</v>
      </c>
      <c r="C161" t="s">
        <v>46</v>
      </c>
      <c r="D161">
        <v>58</v>
      </c>
      <c r="E161" t="s">
        <v>58</v>
      </c>
      <c r="F161" t="s">
        <v>78</v>
      </c>
      <c r="G161">
        <v>38000</v>
      </c>
      <c r="H161" s="1">
        <v>44843</v>
      </c>
      <c r="I161">
        <v>4</v>
      </c>
      <c r="J161" t="s">
        <v>49</v>
      </c>
      <c r="K161">
        <v>76.8</v>
      </c>
      <c r="L161">
        <v>90.9</v>
      </c>
      <c r="M161">
        <v>18</v>
      </c>
      <c r="N161" s="3">
        <v>9</v>
      </c>
      <c r="O161" s="3" t="s">
        <v>32</v>
      </c>
      <c r="P161" s="5"/>
      <c r="Q161" s="4" t="s">
        <v>75</v>
      </c>
    </row>
    <row r="162" spans="1:17">
      <c r="A162">
        <v>161</v>
      </c>
      <c r="B162" t="s">
        <v>231</v>
      </c>
      <c r="C162" t="s">
        <v>46</v>
      </c>
      <c r="D162">
        <v>42</v>
      </c>
      <c r="E162" t="s">
        <v>41</v>
      </c>
      <c r="F162" t="s">
        <v>42</v>
      </c>
      <c r="G162">
        <v>42000</v>
      </c>
      <c r="H162" s="1">
        <v>46225</v>
      </c>
      <c r="I162">
        <v>0.2</v>
      </c>
      <c r="J162" t="s">
        <v>31</v>
      </c>
      <c r="K162">
        <v>68.2</v>
      </c>
      <c r="L162">
        <v>97.7</v>
      </c>
      <c r="M162">
        <v>15</v>
      </c>
      <c r="N162" s="3">
        <v>8</v>
      </c>
      <c r="O162" s="3" t="s">
        <v>32</v>
      </c>
      <c r="P162" s="5"/>
      <c r="Q162" s="4" t="s">
        <v>44</v>
      </c>
    </row>
    <row r="163" spans="1:17">
      <c r="A163">
        <v>162</v>
      </c>
      <c r="B163" t="s">
        <v>232</v>
      </c>
      <c r="C163" t="s">
        <v>28</v>
      </c>
      <c r="D163">
        <v>58</v>
      </c>
      <c r="E163" t="s">
        <v>85</v>
      </c>
      <c r="F163" t="s">
        <v>103</v>
      </c>
      <c r="G163">
        <v>49000</v>
      </c>
      <c r="H163" s="1">
        <v>45433</v>
      </c>
      <c r="I163">
        <v>2.4</v>
      </c>
      <c r="J163" t="s">
        <v>37</v>
      </c>
      <c r="K163">
        <v>62.3</v>
      </c>
      <c r="L163">
        <v>93</v>
      </c>
      <c r="M163">
        <v>21</v>
      </c>
      <c r="N163" s="3">
        <v>7</v>
      </c>
      <c r="O163" s="3" t="s">
        <v>38</v>
      </c>
      <c r="P163" s="5">
        <v>45912</v>
      </c>
      <c r="Q163" s="4" t="s">
        <v>33</v>
      </c>
    </row>
    <row r="164" spans="1:17">
      <c r="A164">
        <v>163</v>
      </c>
      <c r="B164" t="s">
        <v>233</v>
      </c>
      <c r="C164" t="s">
        <v>28</v>
      </c>
      <c r="D164">
        <v>33</v>
      </c>
      <c r="E164" t="s">
        <v>85</v>
      </c>
      <c r="F164" t="s">
        <v>108</v>
      </c>
      <c r="G164">
        <v>33000</v>
      </c>
      <c r="H164" s="1">
        <v>43543</v>
      </c>
      <c r="I164">
        <v>7.6</v>
      </c>
      <c r="J164" t="s">
        <v>53</v>
      </c>
      <c r="K164">
        <v>72.8</v>
      </c>
      <c r="L164">
        <v>85.6</v>
      </c>
      <c r="M164">
        <v>23</v>
      </c>
      <c r="N164" s="3">
        <v>1</v>
      </c>
      <c r="O164" s="3" t="s">
        <v>38</v>
      </c>
      <c r="P164" s="5">
        <v>45675</v>
      </c>
      <c r="Q164" s="4" t="s">
        <v>60</v>
      </c>
    </row>
    <row r="165" spans="1:17">
      <c r="A165">
        <v>164</v>
      </c>
      <c r="B165" t="s">
        <v>234</v>
      </c>
      <c r="C165" t="s">
        <v>46</v>
      </c>
      <c r="D165">
        <v>51</v>
      </c>
      <c r="E165" t="s">
        <v>85</v>
      </c>
      <c r="F165" t="s">
        <v>103</v>
      </c>
      <c r="G165">
        <v>46000</v>
      </c>
      <c r="H165" s="1">
        <v>45618</v>
      </c>
      <c r="I165">
        <v>1.9</v>
      </c>
      <c r="J165" t="s">
        <v>31</v>
      </c>
      <c r="K165">
        <v>71.2</v>
      </c>
      <c r="L165">
        <v>98.7</v>
      </c>
      <c r="M165">
        <v>10</v>
      </c>
      <c r="N165" s="3">
        <v>17</v>
      </c>
      <c r="O165" s="3" t="s">
        <v>32</v>
      </c>
      <c r="P165" s="5"/>
      <c r="Q165" s="4" t="s">
        <v>39</v>
      </c>
    </row>
    <row r="166" spans="1:17">
      <c r="A166">
        <v>165</v>
      </c>
      <c r="B166" t="s">
        <v>235</v>
      </c>
      <c r="C166" t="s">
        <v>46</v>
      </c>
      <c r="D166">
        <v>51</v>
      </c>
      <c r="E166" t="s">
        <v>29</v>
      </c>
      <c r="F166" t="s">
        <v>66</v>
      </c>
      <c r="G166">
        <v>53000</v>
      </c>
      <c r="H166" s="1">
        <v>44253</v>
      </c>
      <c r="I166">
        <v>5.6</v>
      </c>
      <c r="J166" t="s">
        <v>98</v>
      </c>
      <c r="K166">
        <v>67.8</v>
      </c>
      <c r="L166">
        <v>98.5</v>
      </c>
      <c r="M166">
        <v>22</v>
      </c>
      <c r="N166" s="3">
        <v>6</v>
      </c>
      <c r="O166" s="3" t="s">
        <v>32</v>
      </c>
      <c r="P166" s="5"/>
      <c r="Q166" s="4" t="s">
        <v>75</v>
      </c>
    </row>
    <row r="167" spans="1:17">
      <c r="A167">
        <v>166</v>
      </c>
      <c r="B167" t="s">
        <v>236</v>
      </c>
      <c r="C167" t="s">
        <v>46</v>
      </c>
      <c r="D167">
        <v>56</v>
      </c>
      <c r="E167" t="s">
        <v>47</v>
      </c>
      <c r="F167" t="s">
        <v>89</v>
      </c>
      <c r="G167">
        <v>42000</v>
      </c>
      <c r="H167" s="1">
        <v>44586</v>
      </c>
      <c r="I167">
        <v>4.7</v>
      </c>
      <c r="J167" t="s">
        <v>53</v>
      </c>
      <c r="K167">
        <v>67.400000000000006</v>
      </c>
      <c r="L167">
        <v>92</v>
      </c>
      <c r="M167">
        <v>11</v>
      </c>
      <c r="N167" s="3">
        <v>4</v>
      </c>
      <c r="O167" s="3" t="s">
        <v>38</v>
      </c>
      <c r="P167" s="5">
        <v>45913</v>
      </c>
      <c r="Q167" s="4" t="s">
        <v>39</v>
      </c>
    </row>
    <row r="168" spans="1:17">
      <c r="A168">
        <v>167</v>
      </c>
      <c r="B168" t="s">
        <v>237</v>
      </c>
      <c r="C168" t="s">
        <v>28</v>
      </c>
      <c r="D168">
        <v>43</v>
      </c>
      <c r="E168" t="s">
        <v>35</v>
      </c>
      <c r="F168" t="s">
        <v>101</v>
      </c>
      <c r="G168">
        <v>43000</v>
      </c>
      <c r="H168" s="1">
        <v>45277</v>
      </c>
      <c r="I168">
        <v>2.8</v>
      </c>
      <c r="J168" t="s">
        <v>31</v>
      </c>
      <c r="K168">
        <v>64.2</v>
      </c>
      <c r="L168">
        <v>96.5</v>
      </c>
      <c r="M168">
        <v>22</v>
      </c>
      <c r="N168" s="3">
        <v>8</v>
      </c>
      <c r="O168" s="3" t="s">
        <v>32</v>
      </c>
      <c r="P168" s="5"/>
      <c r="Q168" s="4" t="s">
        <v>60</v>
      </c>
    </row>
    <row r="169" spans="1:17">
      <c r="A169">
        <v>168</v>
      </c>
      <c r="B169" t="s">
        <v>238</v>
      </c>
      <c r="C169" t="s">
        <v>28</v>
      </c>
      <c r="D169">
        <v>24</v>
      </c>
      <c r="E169" t="s">
        <v>35</v>
      </c>
      <c r="F169" t="s">
        <v>36</v>
      </c>
      <c r="G169">
        <v>38000</v>
      </c>
      <c r="H169" s="1">
        <v>46209</v>
      </c>
      <c r="I169">
        <v>0.3</v>
      </c>
      <c r="J169" t="s">
        <v>43</v>
      </c>
      <c r="K169">
        <v>93.9</v>
      </c>
      <c r="L169">
        <v>85.9</v>
      </c>
      <c r="M169">
        <v>3</v>
      </c>
      <c r="N169" s="3">
        <v>13</v>
      </c>
      <c r="O169" s="3" t="s">
        <v>32</v>
      </c>
      <c r="P169" s="5"/>
      <c r="Q169" s="4" t="s">
        <v>39</v>
      </c>
    </row>
    <row r="170" spans="1:17">
      <c r="A170">
        <v>169</v>
      </c>
      <c r="B170" t="s">
        <v>239</v>
      </c>
      <c r="C170" t="s">
        <v>28</v>
      </c>
      <c r="D170">
        <v>29</v>
      </c>
      <c r="E170" t="s">
        <v>29</v>
      </c>
      <c r="F170" t="s">
        <v>93</v>
      </c>
      <c r="G170">
        <v>73000</v>
      </c>
      <c r="H170" s="1">
        <v>43487</v>
      </c>
      <c r="I170">
        <v>7.7</v>
      </c>
      <c r="J170" t="s">
        <v>53</v>
      </c>
      <c r="K170">
        <v>61.8</v>
      </c>
      <c r="L170">
        <v>93.4</v>
      </c>
      <c r="M170">
        <v>20</v>
      </c>
      <c r="N170" s="3">
        <v>6</v>
      </c>
      <c r="O170" s="3" t="s">
        <v>32</v>
      </c>
      <c r="P170" s="5"/>
      <c r="Q170" s="4" t="s">
        <v>39</v>
      </c>
    </row>
    <row r="171" spans="1:17">
      <c r="A171">
        <v>170</v>
      </c>
      <c r="B171" t="s">
        <v>240</v>
      </c>
      <c r="C171" t="s">
        <v>28</v>
      </c>
      <c r="D171">
        <v>26</v>
      </c>
      <c r="E171" t="s">
        <v>47</v>
      </c>
      <c r="F171" t="s">
        <v>89</v>
      </c>
      <c r="G171">
        <v>38000</v>
      </c>
      <c r="H171" s="1">
        <v>46137</v>
      </c>
      <c r="I171">
        <v>0.5</v>
      </c>
      <c r="J171" t="s">
        <v>37</v>
      </c>
      <c r="K171">
        <v>79.7</v>
      </c>
      <c r="L171">
        <v>91.4</v>
      </c>
      <c r="M171">
        <v>13</v>
      </c>
      <c r="N171" s="3">
        <v>5</v>
      </c>
      <c r="O171" s="3" t="s">
        <v>32</v>
      </c>
      <c r="P171" s="5"/>
      <c r="Q171" s="4" t="s">
        <v>33</v>
      </c>
    </row>
    <row r="172" spans="1:17">
      <c r="A172">
        <v>171</v>
      </c>
      <c r="B172" t="s">
        <v>241</v>
      </c>
      <c r="C172" t="s">
        <v>46</v>
      </c>
      <c r="D172">
        <v>32</v>
      </c>
      <c r="E172" t="s">
        <v>41</v>
      </c>
      <c r="F172" t="s">
        <v>96</v>
      </c>
      <c r="G172">
        <v>36000</v>
      </c>
      <c r="H172" s="1">
        <v>44651</v>
      </c>
      <c r="I172">
        <v>4.5</v>
      </c>
      <c r="J172" t="s">
        <v>98</v>
      </c>
      <c r="K172">
        <v>79.400000000000006</v>
      </c>
      <c r="L172">
        <v>83.9</v>
      </c>
      <c r="M172">
        <v>14</v>
      </c>
      <c r="N172" s="3">
        <v>17</v>
      </c>
      <c r="O172" s="3" t="s">
        <v>32</v>
      </c>
      <c r="P172" s="5"/>
      <c r="Q172" s="4" t="s">
        <v>44</v>
      </c>
    </row>
    <row r="173" spans="1:17">
      <c r="A173">
        <v>172</v>
      </c>
      <c r="B173" t="s">
        <v>242</v>
      </c>
      <c r="C173" t="s">
        <v>46</v>
      </c>
      <c r="D173">
        <v>38</v>
      </c>
      <c r="E173" t="s">
        <v>58</v>
      </c>
      <c r="F173" t="s">
        <v>136</v>
      </c>
      <c r="G173">
        <v>50000</v>
      </c>
      <c r="H173" s="1">
        <v>44255</v>
      </c>
      <c r="I173">
        <v>5.6</v>
      </c>
      <c r="J173" t="s">
        <v>49</v>
      </c>
      <c r="K173">
        <v>89.8</v>
      </c>
      <c r="L173">
        <v>87.8</v>
      </c>
      <c r="M173">
        <v>8</v>
      </c>
      <c r="N173" s="3">
        <v>5</v>
      </c>
      <c r="O173" s="3" t="s">
        <v>32</v>
      </c>
      <c r="P173" s="5"/>
      <c r="Q173" s="4" t="s">
        <v>33</v>
      </c>
    </row>
    <row r="174" spans="1:17">
      <c r="A174">
        <v>173</v>
      </c>
      <c r="B174" t="s">
        <v>243</v>
      </c>
      <c r="C174" t="s">
        <v>46</v>
      </c>
      <c r="D174">
        <v>57</v>
      </c>
      <c r="E174" t="s">
        <v>29</v>
      </c>
      <c r="F174" t="s">
        <v>93</v>
      </c>
      <c r="G174">
        <v>46000</v>
      </c>
      <c r="H174" s="1">
        <v>46228</v>
      </c>
      <c r="I174">
        <v>0.2</v>
      </c>
      <c r="J174" t="s">
        <v>31</v>
      </c>
      <c r="K174">
        <v>91.8</v>
      </c>
      <c r="L174">
        <v>97.7</v>
      </c>
      <c r="M174">
        <v>10</v>
      </c>
      <c r="N174" s="3">
        <v>2</v>
      </c>
      <c r="O174" s="3" t="s">
        <v>32</v>
      </c>
      <c r="P174" s="5"/>
      <c r="Q174" s="4" t="s">
        <v>75</v>
      </c>
    </row>
    <row r="175" spans="1:17">
      <c r="A175">
        <v>174</v>
      </c>
      <c r="B175" t="s">
        <v>244</v>
      </c>
      <c r="C175" t="s">
        <v>28</v>
      </c>
      <c r="D175">
        <v>29</v>
      </c>
      <c r="E175" t="s">
        <v>29</v>
      </c>
      <c r="F175" t="s">
        <v>30</v>
      </c>
      <c r="G175">
        <v>39000</v>
      </c>
      <c r="H175" s="1">
        <v>45421</v>
      </c>
      <c r="I175">
        <v>2.4</v>
      </c>
      <c r="J175" t="s">
        <v>53</v>
      </c>
      <c r="K175">
        <v>68.900000000000006</v>
      </c>
      <c r="L175">
        <v>86.3</v>
      </c>
      <c r="M175">
        <v>7</v>
      </c>
      <c r="N175" s="3">
        <v>14</v>
      </c>
      <c r="O175" s="3" t="s">
        <v>32</v>
      </c>
      <c r="P175" s="5"/>
      <c r="Q175" s="4" t="s">
        <v>39</v>
      </c>
    </row>
    <row r="176" spans="1:17">
      <c r="A176">
        <v>175</v>
      </c>
      <c r="B176" t="s">
        <v>245</v>
      </c>
      <c r="C176" t="s">
        <v>28</v>
      </c>
      <c r="D176">
        <v>37</v>
      </c>
      <c r="E176" t="s">
        <v>47</v>
      </c>
      <c r="F176" t="s">
        <v>89</v>
      </c>
      <c r="G176">
        <v>40000</v>
      </c>
      <c r="H176" s="1">
        <v>46143</v>
      </c>
      <c r="I176">
        <v>0.4</v>
      </c>
      <c r="J176" t="s">
        <v>53</v>
      </c>
      <c r="K176">
        <v>83.7</v>
      </c>
      <c r="L176">
        <v>90.1</v>
      </c>
      <c r="M176">
        <v>21</v>
      </c>
      <c r="N176" s="3">
        <v>16</v>
      </c>
      <c r="O176" s="3" t="s">
        <v>32</v>
      </c>
      <c r="P176" s="5"/>
      <c r="Q176" s="4" t="s">
        <v>39</v>
      </c>
    </row>
    <row r="177" spans="1:17">
      <c r="A177">
        <v>176</v>
      </c>
      <c r="B177" t="s">
        <v>246</v>
      </c>
      <c r="C177" t="s">
        <v>46</v>
      </c>
      <c r="D177">
        <v>44</v>
      </c>
      <c r="E177" t="s">
        <v>29</v>
      </c>
      <c r="F177" t="s">
        <v>30</v>
      </c>
      <c r="G177">
        <v>51000</v>
      </c>
      <c r="H177" s="1">
        <v>45983</v>
      </c>
      <c r="I177">
        <v>0.9</v>
      </c>
      <c r="J177" t="s">
        <v>37</v>
      </c>
      <c r="K177">
        <v>64.5</v>
      </c>
      <c r="L177">
        <v>98.8</v>
      </c>
      <c r="M177">
        <v>14</v>
      </c>
      <c r="N177" s="3">
        <v>11</v>
      </c>
      <c r="O177" s="3" t="s">
        <v>32</v>
      </c>
      <c r="P177" s="5"/>
      <c r="Q177" s="4" t="s">
        <v>75</v>
      </c>
    </row>
    <row r="178" spans="1:17">
      <c r="A178">
        <v>177</v>
      </c>
      <c r="B178" t="s">
        <v>247</v>
      </c>
      <c r="C178" t="s">
        <v>46</v>
      </c>
      <c r="D178">
        <v>55</v>
      </c>
      <c r="E178" t="s">
        <v>29</v>
      </c>
      <c r="F178" t="s">
        <v>66</v>
      </c>
      <c r="G178">
        <v>53000</v>
      </c>
      <c r="H178" s="1">
        <v>46186</v>
      </c>
      <c r="I178">
        <v>0.3</v>
      </c>
      <c r="J178" t="s">
        <v>31</v>
      </c>
      <c r="K178">
        <v>84.3</v>
      </c>
      <c r="L178">
        <v>92.4</v>
      </c>
      <c r="M178">
        <v>14</v>
      </c>
      <c r="N178" s="3">
        <v>16</v>
      </c>
      <c r="O178" s="3" t="s">
        <v>32</v>
      </c>
      <c r="P178" s="5"/>
      <c r="Q178" s="4" t="s">
        <v>39</v>
      </c>
    </row>
    <row r="179" spans="1:17">
      <c r="A179">
        <v>178</v>
      </c>
      <c r="B179" t="s">
        <v>248</v>
      </c>
      <c r="C179" t="s">
        <v>28</v>
      </c>
      <c r="D179">
        <v>56</v>
      </c>
      <c r="E179" t="s">
        <v>35</v>
      </c>
      <c r="F179" t="s">
        <v>69</v>
      </c>
      <c r="G179">
        <v>36000</v>
      </c>
      <c r="H179" s="1">
        <v>45536</v>
      </c>
      <c r="I179">
        <v>2.1</v>
      </c>
      <c r="J179" t="s">
        <v>98</v>
      </c>
      <c r="K179">
        <v>63.7</v>
      </c>
      <c r="L179">
        <v>91.4</v>
      </c>
      <c r="M179">
        <v>16</v>
      </c>
      <c r="N179" s="3">
        <v>14</v>
      </c>
      <c r="O179" s="3" t="s">
        <v>32</v>
      </c>
      <c r="P179" s="5"/>
      <c r="Q179" s="4" t="s">
        <v>33</v>
      </c>
    </row>
    <row r="180" spans="1:17">
      <c r="A180">
        <v>179</v>
      </c>
      <c r="B180" t="s">
        <v>249</v>
      </c>
      <c r="C180" t="s">
        <v>46</v>
      </c>
      <c r="D180">
        <v>26</v>
      </c>
      <c r="E180" t="s">
        <v>29</v>
      </c>
      <c r="F180" t="s">
        <v>30</v>
      </c>
      <c r="G180">
        <v>42000</v>
      </c>
      <c r="H180" s="1">
        <v>45556</v>
      </c>
      <c r="I180">
        <v>2</v>
      </c>
      <c r="J180" t="s">
        <v>31</v>
      </c>
      <c r="K180">
        <v>60.7</v>
      </c>
      <c r="L180">
        <v>89.3</v>
      </c>
      <c r="M180">
        <v>14</v>
      </c>
      <c r="N180" s="3">
        <v>9</v>
      </c>
      <c r="O180" s="3" t="s">
        <v>38</v>
      </c>
      <c r="P180" s="5">
        <v>46242</v>
      </c>
      <c r="Q180" s="4" t="s">
        <v>33</v>
      </c>
    </row>
    <row r="181" spans="1:17">
      <c r="A181">
        <v>180</v>
      </c>
      <c r="B181" t="s">
        <v>250</v>
      </c>
      <c r="C181" t="s">
        <v>28</v>
      </c>
      <c r="D181">
        <v>34</v>
      </c>
      <c r="E181" t="s">
        <v>58</v>
      </c>
      <c r="F181" t="s">
        <v>59</v>
      </c>
      <c r="G181">
        <v>53000</v>
      </c>
      <c r="H181" s="1">
        <v>45834</v>
      </c>
      <c r="I181">
        <v>1.3</v>
      </c>
      <c r="J181" t="s">
        <v>31</v>
      </c>
      <c r="K181">
        <v>58.1</v>
      </c>
      <c r="L181">
        <v>89.4</v>
      </c>
      <c r="M181">
        <v>1</v>
      </c>
      <c r="N181" s="3">
        <v>2</v>
      </c>
      <c r="O181" s="3" t="s">
        <v>32</v>
      </c>
      <c r="P181" s="5"/>
      <c r="Q181" s="4" t="s">
        <v>75</v>
      </c>
    </row>
    <row r="182" spans="1:17">
      <c r="A182">
        <v>181</v>
      </c>
      <c r="B182" t="s">
        <v>251</v>
      </c>
      <c r="C182" t="s">
        <v>46</v>
      </c>
      <c r="D182">
        <v>32</v>
      </c>
      <c r="E182" t="s">
        <v>35</v>
      </c>
      <c r="F182" t="s">
        <v>101</v>
      </c>
      <c r="G182">
        <v>58000</v>
      </c>
      <c r="H182" s="1">
        <v>44020</v>
      </c>
      <c r="I182">
        <v>6.2</v>
      </c>
      <c r="J182" t="s">
        <v>53</v>
      </c>
      <c r="K182">
        <v>82.8</v>
      </c>
      <c r="L182">
        <v>89.4</v>
      </c>
      <c r="M182">
        <v>12</v>
      </c>
      <c r="N182" s="3">
        <v>12</v>
      </c>
      <c r="O182" s="3" t="s">
        <v>32</v>
      </c>
      <c r="P182" s="5"/>
      <c r="Q182" s="4" t="s">
        <v>33</v>
      </c>
    </row>
    <row r="183" spans="1:17">
      <c r="A183">
        <v>182</v>
      </c>
      <c r="B183" t="s">
        <v>252</v>
      </c>
      <c r="C183" t="s">
        <v>28</v>
      </c>
      <c r="D183">
        <v>43</v>
      </c>
      <c r="E183" t="s">
        <v>29</v>
      </c>
      <c r="F183" t="s">
        <v>66</v>
      </c>
      <c r="G183">
        <v>18000</v>
      </c>
      <c r="H183" s="1">
        <v>43951</v>
      </c>
      <c r="I183">
        <v>6.4</v>
      </c>
      <c r="J183" t="s">
        <v>49</v>
      </c>
      <c r="K183">
        <v>62.7</v>
      </c>
      <c r="L183">
        <v>91.4</v>
      </c>
      <c r="M183">
        <v>7</v>
      </c>
      <c r="N183" s="3">
        <v>0</v>
      </c>
      <c r="O183" s="3" t="s">
        <v>38</v>
      </c>
      <c r="P183" s="5">
        <v>46171</v>
      </c>
      <c r="Q183" s="4" t="s">
        <v>33</v>
      </c>
    </row>
    <row r="184" spans="1:17">
      <c r="A184">
        <v>183</v>
      </c>
      <c r="B184" t="s">
        <v>253</v>
      </c>
      <c r="C184" t="s">
        <v>46</v>
      </c>
      <c r="D184">
        <v>55</v>
      </c>
      <c r="E184" t="s">
        <v>47</v>
      </c>
      <c r="F184" t="s">
        <v>89</v>
      </c>
      <c r="G184">
        <v>48000</v>
      </c>
      <c r="H184" s="1">
        <v>45019</v>
      </c>
      <c r="I184">
        <v>3.5</v>
      </c>
      <c r="J184" t="s">
        <v>43</v>
      </c>
      <c r="K184">
        <v>69.900000000000006</v>
      </c>
      <c r="L184">
        <v>86.8</v>
      </c>
      <c r="M184">
        <v>21</v>
      </c>
      <c r="N184" s="3">
        <v>13</v>
      </c>
      <c r="O184" s="3" t="s">
        <v>32</v>
      </c>
      <c r="P184" s="5"/>
      <c r="Q184" s="4" t="s">
        <v>44</v>
      </c>
    </row>
    <row r="185" spans="1:17">
      <c r="A185">
        <v>184</v>
      </c>
      <c r="B185" t="s">
        <v>254</v>
      </c>
      <c r="C185" t="s">
        <v>28</v>
      </c>
      <c r="D185">
        <v>34</v>
      </c>
      <c r="E185" t="s">
        <v>41</v>
      </c>
      <c r="F185" t="s">
        <v>42</v>
      </c>
      <c r="G185">
        <v>30000</v>
      </c>
      <c r="H185" s="1">
        <v>43741</v>
      </c>
      <c r="I185">
        <v>7</v>
      </c>
      <c r="J185" t="s">
        <v>49</v>
      </c>
      <c r="K185">
        <v>59.3</v>
      </c>
      <c r="L185">
        <v>82.6</v>
      </c>
      <c r="M185">
        <v>1</v>
      </c>
      <c r="N185" s="3">
        <v>7</v>
      </c>
      <c r="O185" s="3" t="s">
        <v>38</v>
      </c>
      <c r="P185" s="5">
        <v>45613</v>
      </c>
      <c r="Q185" s="4" t="s">
        <v>33</v>
      </c>
    </row>
    <row r="186" spans="1:17">
      <c r="A186">
        <v>185</v>
      </c>
      <c r="B186" t="s">
        <v>255</v>
      </c>
      <c r="C186" t="s">
        <v>28</v>
      </c>
      <c r="D186">
        <v>55</v>
      </c>
      <c r="E186" t="s">
        <v>58</v>
      </c>
      <c r="F186" t="s">
        <v>59</v>
      </c>
      <c r="G186">
        <v>52000</v>
      </c>
      <c r="H186" s="1">
        <v>44355</v>
      </c>
      <c r="I186">
        <v>5.3</v>
      </c>
      <c r="J186" t="s">
        <v>49</v>
      </c>
      <c r="K186">
        <v>61</v>
      </c>
      <c r="L186">
        <v>99.4</v>
      </c>
      <c r="M186">
        <v>18</v>
      </c>
      <c r="N186" s="3">
        <v>10</v>
      </c>
      <c r="O186" s="3" t="s">
        <v>32</v>
      </c>
      <c r="P186" s="5"/>
      <c r="Q186" s="4" t="s">
        <v>44</v>
      </c>
    </row>
    <row r="187" spans="1:17">
      <c r="A187">
        <v>186</v>
      </c>
      <c r="B187" t="s">
        <v>256</v>
      </c>
      <c r="C187" t="s">
        <v>46</v>
      </c>
      <c r="D187">
        <v>36</v>
      </c>
      <c r="E187" t="s">
        <v>85</v>
      </c>
      <c r="F187" t="s">
        <v>108</v>
      </c>
      <c r="G187">
        <v>26000</v>
      </c>
      <c r="H187" s="1">
        <v>44702</v>
      </c>
      <c r="I187">
        <v>4.4000000000000004</v>
      </c>
      <c r="J187" t="s">
        <v>53</v>
      </c>
      <c r="K187">
        <v>92.7</v>
      </c>
      <c r="L187">
        <v>99.2</v>
      </c>
      <c r="M187">
        <v>9</v>
      </c>
      <c r="N187" s="3">
        <v>8</v>
      </c>
      <c r="O187" s="3" t="s">
        <v>38</v>
      </c>
      <c r="P187" s="5">
        <v>46075</v>
      </c>
      <c r="Q187" s="4" t="s">
        <v>33</v>
      </c>
    </row>
    <row r="188" spans="1:17">
      <c r="A188">
        <v>187</v>
      </c>
      <c r="B188" t="s">
        <v>257</v>
      </c>
      <c r="C188" t="s">
        <v>28</v>
      </c>
      <c r="D188">
        <v>48</v>
      </c>
      <c r="E188" t="s">
        <v>85</v>
      </c>
      <c r="F188" t="s">
        <v>108</v>
      </c>
      <c r="G188">
        <v>18000</v>
      </c>
      <c r="H188" s="1">
        <v>45742</v>
      </c>
      <c r="I188">
        <v>1.5</v>
      </c>
      <c r="J188" t="s">
        <v>49</v>
      </c>
      <c r="K188">
        <v>95.5</v>
      </c>
      <c r="L188">
        <v>93.7</v>
      </c>
      <c r="M188">
        <v>13</v>
      </c>
      <c r="N188" s="3">
        <v>13</v>
      </c>
      <c r="O188" s="3" t="s">
        <v>38</v>
      </c>
      <c r="P188" s="5">
        <v>45975</v>
      </c>
      <c r="Q188" s="4" t="s">
        <v>60</v>
      </c>
    </row>
    <row r="189" spans="1:17">
      <c r="A189">
        <v>188</v>
      </c>
      <c r="B189" t="s">
        <v>258</v>
      </c>
      <c r="C189" t="s">
        <v>28</v>
      </c>
      <c r="D189">
        <v>55</v>
      </c>
      <c r="E189" t="s">
        <v>47</v>
      </c>
      <c r="F189" t="s">
        <v>89</v>
      </c>
      <c r="G189">
        <v>45000</v>
      </c>
      <c r="H189" s="1">
        <v>45405</v>
      </c>
      <c r="I189">
        <v>2.5</v>
      </c>
      <c r="J189" t="s">
        <v>53</v>
      </c>
      <c r="K189">
        <v>65.400000000000006</v>
      </c>
      <c r="L189">
        <v>85.9</v>
      </c>
      <c r="M189">
        <v>1</v>
      </c>
      <c r="N189" s="3">
        <v>17</v>
      </c>
      <c r="O189" s="3" t="s">
        <v>32</v>
      </c>
      <c r="P189" s="5"/>
      <c r="Q189" s="4" t="s">
        <v>75</v>
      </c>
    </row>
    <row r="190" spans="1:17">
      <c r="A190">
        <v>189</v>
      </c>
      <c r="B190" t="s">
        <v>259</v>
      </c>
      <c r="C190" t="s">
        <v>28</v>
      </c>
      <c r="D190">
        <v>45</v>
      </c>
      <c r="E190" t="s">
        <v>58</v>
      </c>
      <c r="F190" t="s">
        <v>78</v>
      </c>
      <c r="G190">
        <v>51000</v>
      </c>
      <c r="H190" s="1">
        <v>44460</v>
      </c>
      <c r="I190">
        <v>5</v>
      </c>
      <c r="J190" t="s">
        <v>43</v>
      </c>
      <c r="K190">
        <v>58.4</v>
      </c>
      <c r="L190">
        <v>89.9</v>
      </c>
      <c r="M190">
        <v>17</v>
      </c>
      <c r="N190" s="3">
        <v>6</v>
      </c>
      <c r="O190" s="3" t="s">
        <v>32</v>
      </c>
      <c r="P190" s="5"/>
      <c r="Q190" s="4" t="s">
        <v>33</v>
      </c>
    </row>
    <row r="191" spans="1:17">
      <c r="A191">
        <v>190</v>
      </c>
      <c r="B191" t="s">
        <v>260</v>
      </c>
      <c r="C191" t="s">
        <v>28</v>
      </c>
      <c r="D191">
        <v>25</v>
      </c>
      <c r="E191" t="s">
        <v>47</v>
      </c>
      <c r="F191" t="s">
        <v>89</v>
      </c>
      <c r="G191">
        <v>53000</v>
      </c>
      <c r="H191" s="1">
        <v>44236</v>
      </c>
      <c r="I191">
        <v>5.7</v>
      </c>
      <c r="J191" t="s">
        <v>53</v>
      </c>
      <c r="K191">
        <v>89.6</v>
      </c>
      <c r="L191">
        <v>92.3</v>
      </c>
      <c r="M191">
        <v>6</v>
      </c>
      <c r="N191" s="3">
        <v>10</v>
      </c>
      <c r="O191" s="3" t="s">
        <v>38</v>
      </c>
      <c r="P191" s="5">
        <v>46079</v>
      </c>
      <c r="Q191" s="4" t="s">
        <v>39</v>
      </c>
    </row>
    <row r="192" spans="1:17">
      <c r="A192">
        <v>191</v>
      </c>
      <c r="B192" t="s">
        <v>261</v>
      </c>
      <c r="C192" t="s">
        <v>28</v>
      </c>
      <c r="D192">
        <v>28</v>
      </c>
      <c r="E192" t="s">
        <v>35</v>
      </c>
      <c r="F192" t="s">
        <v>36</v>
      </c>
      <c r="G192">
        <v>71000</v>
      </c>
      <c r="H192" s="1">
        <v>45427</v>
      </c>
      <c r="I192">
        <v>2.4</v>
      </c>
      <c r="J192" t="s">
        <v>31</v>
      </c>
      <c r="K192">
        <v>85.3</v>
      </c>
      <c r="L192">
        <v>88.9</v>
      </c>
      <c r="M192">
        <v>10</v>
      </c>
      <c r="N192" s="3">
        <v>9</v>
      </c>
      <c r="O192" s="3" t="s">
        <v>32</v>
      </c>
      <c r="P192" s="5"/>
      <c r="Q192" s="4" t="s">
        <v>75</v>
      </c>
    </row>
    <row r="193" spans="1:17">
      <c r="A193">
        <v>192</v>
      </c>
      <c r="B193" t="s">
        <v>262</v>
      </c>
      <c r="C193" t="s">
        <v>46</v>
      </c>
      <c r="D193">
        <v>40</v>
      </c>
      <c r="E193" t="s">
        <v>58</v>
      </c>
      <c r="F193" t="s">
        <v>78</v>
      </c>
      <c r="G193">
        <v>42000</v>
      </c>
      <c r="H193" s="1">
        <v>44537</v>
      </c>
      <c r="I193">
        <v>4.8</v>
      </c>
      <c r="J193" t="s">
        <v>43</v>
      </c>
      <c r="K193">
        <v>70.5</v>
      </c>
      <c r="L193">
        <v>97.4</v>
      </c>
      <c r="M193">
        <v>23</v>
      </c>
      <c r="N193" s="3">
        <v>15</v>
      </c>
      <c r="O193" s="3" t="s">
        <v>32</v>
      </c>
      <c r="P193" s="5"/>
      <c r="Q193" s="4" t="s">
        <v>39</v>
      </c>
    </row>
    <row r="194" spans="1:17">
      <c r="A194">
        <v>193</v>
      </c>
      <c r="B194" t="s">
        <v>263</v>
      </c>
      <c r="C194" t="s">
        <v>46</v>
      </c>
      <c r="D194">
        <v>47</v>
      </c>
      <c r="E194" t="s">
        <v>51</v>
      </c>
      <c r="F194" t="s">
        <v>55</v>
      </c>
      <c r="G194">
        <v>35000</v>
      </c>
      <c r="H194" s="1">
        <v>43653</v>
      </c>
      <c r="I194">
        <v>7.3</v>
      </c>
      <c r="J194" t="s">
        <v>49</v>
      </c>
      <c r="K194">
        <v>61.3</v>
      </c>
      <c r="L194">
        <v>86.6</v>
      </c>
      <c r="M194">
        <v>13</v>
      </c>
      <c r="N194" s="3">
        <v>9</v>
      </c>
      <c r="O194" s="3" t="s">
        <v>38</v>
      </c>
      <c r="P194" s="5">
        <v>45708</v>
      </c>
      <c r="Q194" s="4" t="s">
        <v>60</v>
      </c>
    </row>
    <row r="195" spans="1:17">
      <c r="A195">
        <v>194</v>
      </c>
      <c r="B195" t="s">
        <v>264</v>
      </c>
      <c r="C195" t="s">
        <v>28</v>
      </c>
      <c r="D195">
        <v>45</v>
      </c>
      <c r="E195" t="s">
        <v>51</v>
      </c>
      <c r="F195" t="s">
        <v>55</v>
      </c>
      <c r="G195">
        <v>39000</v>
      </c>
      <c r="H195" s="1">
        <v>45799</v>
      </c>
      <c r="I195">
        <v>1.4</v>
      </c>
      <c r="J195" t="s">
        <v>98</v>
      </c>
      <c r="K195">
        <v>90.8</v>
      </c>
      <c r="L195">
        <v>90.7</v>
      </c>
      <c r="M195">
        <v>24</v>
      </c>
      <c r="N195" s="3">
        <v>15</v>
      </c>
      <c r="O195" s="3" t="s">
        <v>32</v>
      </c>
      <c r="P195" s="5"/>
      <c r="Q195" s="4" t="s">
        <v>75</v>
      </c>
    </row>
    <row r="196" spans="1:17">
      <c r="A196">
        <v>195</v>
      </c>
      <c r="B196" t="s">
        <v>265</v>
      </c>
      <c r="C196" t="s">
        <v>46</v>
      </c>
      <c r="D196">
        <v>31</v>
      </c>
      <c r="E196" t="s">
        <v>58</v>
      </c>
      <c r="F196" t="s">
        <v>136</v>
      </c>
      <c r="G196">
        <v>49000</v>
      </c>
      <c r="H196" s="1">
        <v>44039</v>
      </c>
      <c r="I196">
        <v>6.2</v>
      </c>
      <c r="J196" t="s">
        <v>31</v>
      </c>
      <c r="K196">
        <v>94.4</v>
      </c>
      <c r="L196">
        <v>91.5</v>
      </c>
      <c r="M196">
        <v>1</v>
      </c>
      <c r="N196" s="3">
        <v>2</v>
      </c>
      <c r="O196" s="3" t="s">
        <v>32</v>
      </c>
      <c r="P196" s="5"/>
      <c r="Q196" s="4" t="s">
        <v>33</v>
      </c>
    </row>
    <row r="197" spans="1:17">
      <c r="A197">
        <v>196</v>
      </c>
      <c r="B197" t="s">
        <v>266</v>
      </c>
      <c r="C197" t="s">
        <v>46</v>
      </c>
      <c r="D197">
        <v>29</v>
      </c>
      <c r="E197" t="s">
        <v>41</v>
      </c>
      <c r="F197" t="s">
        <v>42</v>
      </c>
      <c r="G197">
        <v>26000</v>
      </c>
      <c r="H197" s="1">
        <v>46049</v>
      </c>
      <c r="I197">
        <v>0.7</v>
      </c>
      <c r="J197" t="s">
        <v>37</v>
      </c>
      <c r="K197">
        <v>65</v>
      </c>
      <c r="L197">
        <v>94.4</v>
      </c>
      <c r="M197">
        <v>16</v>
      </c>
      <c r="N197" s="3">
        <v>14</v>
      </c>
      <c r="O197" s="3" t="s">
        <v>32</v>
      </c>
      <c r="P197" s="5"/>
      <c r="Q197" s="4" t="s">
        <v>39</v>
      </c>
    </row>
    <row r="198" spans="1:17">
      <c r="A198">
        <v>197</v>
      </c>
      <c r="B198" t="s">
        <v>267</v>
      </c>
      <c r="C198" t="s">
        <v>46</v>
      </c>
      <c r="D198">
        <v>22</v>
      </c>
      <c r="E198" t="s">
        <v>35</v>
      </c>
      <c r="F198" t="s">
        <v>81</v>
      </c>
      <c r="G198">
        <v>42000</v>
      </c>
      <c r="H198" s="1">
        <v>43493</v>
      </c>
      <c r="I198">
        <v>7.7</v>
      </c>
      <c r="J198" t="s">
        <v>43</v>
      </c>
      <c r="K198">
        <v>55.7</v>
      </c>
      <c r="L198">
        <v>94.6</v>
      </c>
      <c r="M198">
        <v>16</v>
      </c>
      <c r="N198" s="3">
        <v>13</v>
      </c>
      <c r="O198" s="3" t="s">
        <v>38</v>
      </c>
      <c r="P198" s="5">
        <v>46008</v>
      </c>
      <c r="Q198" s="4" t="s">
        <v>60</v>
      </c>
    </row>
    <row r="199" spans="1:17">
      <c r="A199">
        <v>198</v>
      </c>
      <c r="B199" t="s">
        <v>268</v>
      </c>
      <c r="C199" t="s">
        <v>28</v>
      </c>
      <c r="D199">
        <v>36</v>
      </c>
      <c r="E199" t="s">
        <v>35</v>
      </c>
      <c r="F199" t="s">
        <v>69</v>
      </c>
      <c r="G199">
        <v>52000</v>
      </c>
      <c r="H199" s="1">
        <v>44252</v>
      </c>
      <c r="I199">
        <v>5.6</v>
      </c>
      <c r="J199" t="s">
        <v>98</v>
      </c>
      <c r="K199">
        <v>81.7</v>
      </c>
      <c r="L199">
        <v>86.4</v>
      </c>
      <c r="M199">
        <v>12</v>
      </c>
      <c r="N199" s="3">
        <v>2</v>
      </c>
      <c r="O199" s="3" t="s">
        <v>32</v>
      </c>
      <c r="P199" s="5"/>
      <c r="Q199" s="4" t="s">
        <v>39</v>
      </c>
    </row>
    <row r="200" spans="1:17">
      <c r="A200">
        <v>199</v>
      </c>
      <c r="B200" t="s">
        <v>269</v>
      </c>
      <c r="C200" t="s">
        <v>28</v>
      </c>
      <c r="D200">
        <v>35</v>
      </c>
      <c r="E200" t="s">
        <v>58</v>
      </c>
      <c r="F200" t="s">
        <v>59</v>
      </c>
      <c r="G200">
        <v>43000</v>
      </c>
      <c r="H200" s="1">
        <v>44694</v>
      </c>
      <c r="I200">
        <v>4.4000000000000004</v>
      </c>
      <c r="J200" t="s">
        <v>43</v>
      </c>
      <c r="K200">
        <v>83.1</v>
      </c>
      <c r="L200">
        <v>97</v>
      </c>
      <c r="M200">
        <v>12</v>
      </c>
      <c r="N200" s="3">
        <v>12</v>
      </c>
      <c r="O200" s="3" t="s">
        <v>32</v>
      </c>
      <c r="P200" s="5"/>
      <c r="Q200" s="4" t="s">
        <v>75</v>
      </c>
    </row>
    <row r="201" spans="1:17">
      <c r="A201">
        <v>200</v>
      </c>
      <c r="B201" t="s">
        <v>270</v>
      </c>
      <c r="C201" t="s">
        <v>28</v>
      </c>
      <c r="D201">
        <v>21</v>
      </c>
      <c r="E201" t="s">
        <v>85</v>
      </c>
      <c r="F201" t="s">
        <v>86</v>
      </c>
      <c r="G201">
        <v>26000</v>
      </c>
      <c r="H201" s="1">
        <v>44167</v>
      </c>
      <c r="I201">
        <v>5.8</v>
      </c>
      <c r="J201" t="s">
        <v>31</v>
      </c>
      <c r="K201">
        <v>58.6</v>
      </c>
      <c r="L201">
        <v>96.8</v>
      </c>
      <c r="M201">
        <v>3</v>
      </c>
      <c r="N201" s="3">
        <v>16</v>
      </c>
      <c r="O201" s="3" t="s">
        <v>32</v>
      </c>
      <c r="P201" s="5"/>
      <c r="Q201" s="4" t="s">
        <v>33</v>
      </c>
    </row>
    <row r="202" spans="1:17">
      <c r="A202">
        <v>201</v>
      </c>
      <c r="B202" t="s">
        <v>271</v>
      </c>
      <c r="C202" t="s">
        <v>46</v>
      </c>
      <c r="D202">
        <v>38</v>
      </c>
      <c r="E202" t="s">
        <v>51</v>
      </c>
      <c r="F202" t="s">
        <v>73</v>
      </c>
      <c r="G202">
        <v>54000</v>
      </c>
      <c r="H202" s="1">
        <v>43656</v>
      </c>
      <c r="I202">
        <v>7.2</v>
      </c>
      <c r="J202" t="s">
        <v>37</v>
      </c>
      <c r="K202">
        <v>67.099999999999994</v>
      </c>
      <c r="L202">
        <v>91.5</v>
      </c>
      <c r="M202">
        <v>10</v>
      </c>
      <c r="N202" s="3">
        <v>0</v>
      </c>
      <c r="O202" s="3" t="s">
        <v>32</v>
      </c>
      <c r="P202" s="5"/>
      <c r="Q202" s="4" t="s">
        <v>60</v>
      </c>
    </row>
    <row r="203" spans="1:17">
      <c r="A203">
        <v>202</v>
      </c>
      <c r="B203" t="s">
        <v>272</v>
      </c>
      <c r="C203" t="s">
        <v>46</v>
      </c>
      <c r="D203">
        <v>25</v>
      </c>
      <c r="E203" t="s">
        <v>85</v>
      </c>
      <c r="F203" t="s">
        <v>103</v>
      </c>
      <c r="G203">
        <v>36000</v>
      </c>
      <c r="H203" s="1">
        <v>44691</v>
      </c>
      <c r="I203">
        <v>4.4000000000000004</v>
      </c>
      <c r="J203" t="s">
        <v>49</v>
      </c>
      <c r="K203">
        <v>62</v>
      </c>
      <c r="L203">
        <v>86.2</v>
      </c>
      <c r="M203">
        <v>17</v>
      </c>
      <c r="N203" s="3">
        <v>10</v>
      </c>
      <c r="O203" s="3" t="s">
        <v>32</v>
      </c>
      <c r="P203" s="5"/>
      <c r="Q203" s="4" t="s">
        <v>75</v>
      </c>
    </row>
    <row r="204" spans="1:17">
      <c r="A204">
        <v>203</v>
      </c>
      <c r="B204" t="s">
        <v>273</v>
      </c>
      <c r="C204" t="s">
        <v>28</v>
      </c>
      <c r="D204">
        <v>26</v>
      </c>
      <c r="E204" t="s">
        <v>41</v>
      </c>
      <c r="F204" t="s">
        <v>71</v>
      </c>
      <c r="G204">
        <v>35000</v>
      </c>
      <c r="H204" s="1">
        <v>45517</v>
      </c>
      <c r="I204">
        <v>2.1</v>
      </c>
      <c r="J204" t="s">
        <v>98</v>
      </c>
      <c r="K204">
        <v>59.2</v>
      </c>
      <c r="L204">
        <v>86.1</v>
      </c>
      <c r="M204">
        <v>19</v>
      </c>
      <c r="N204" s="3">
        <v>12</v>
      </c>
      <c r="O204" s="3" t="s">
        <v>32</v>
      </c>
      <c r="P204" s="5"/>
      <c r="Q204" s="4" t="s">
        <v>39</v>
      </c>
    </row>
    <row r="205" spans="1:17">
      <c r="A205">
        <v>204</v>
      </c>
      <c r="B205" t="s">
        <v>274</v>
      </c>
      <c r="C205" t="s">
        <v>46</v>
      </c>
      <c r="D205">
        <v>52</v>
      </c>
      <c r="E205" t="s">
        <v>35</v>
      </c>
      <c r="F205" t="s">
        <v>101</v>
      </c>
      <c r="G205">
        <v>43000</v>
      </c>
      <c r="H205" s="1">
        <v>44400</v>
      </c>
      <c r="I205">
        <v>5.2</v>
      </c>
      <c r="J205" t="s">
        <v>37</v>
      </c>
      <c r="K205">
        <v>70.3</v>
      </c>
      <c r="L205">
        <v>98.5</v>
      </c>
      <c r="M205">
        <v>21</v>
      </c>
      <c r="N205" s="3">
        <v>18</v>
      </c>
      <c r="O205" s="3" t="s">
        <v>32</v>
      </c>
      <c r="P205" s="5"/>
      <c r="Q205" s="4" t="s">
        <v>75</v>
      </c>
    </row>
    <row r="206" spans="1:17">
      <c r="A206">
        <v>205</v>
      </c>
      <c r="B206" t="s">
        <v>275</v>
      </c>
      <c r="C206" t="s">
        <v>28</v>
      </c>
      <c r="D206">
        <v>25</v>
      </c>
      <c r="E206" t="s">
        <v>35</v>
      </c>
      <c r="F206" t="s">
        <v>101</v>
      </c>
      <c r="G206">
        <v>53000</v>
      </c>
      <c r="H206" s="1">
        <v>43802</v>
      </c>
      <c r="I206">
        <v>6.8</v>
      </c>
      <c r="J206" t="s">
        <v>98</v>
      </c>
      <c r="K206">
        <v>88.7</v>
      </c>
      <c r="L206">
        <v>84.7</v>
      </c>
      <c r="M206">
        <v>11</v>
      </c>
      <c r="N206" s="3">
        <v>3</v>
      </c>
      <c r="O206" s="3" t="s">
        <v>32</v>
      </c>
      <c r="P206" s="5"/>
      <c r="Q206" s="4" t="s">
        <v>33</v>
      </c>
    </row>
    <row r="207" spans="1:17">
      <c r="A207">
        <v>206</v>
      </c>
      <c r="B207" t="s">
        <v>276</v>
      </c>
      <c r="C207" t="s">
        <v>46</v>
      </c>
      <c r="D207">
        <v>44</v>
      </c>
      <c r="E207" t="s">
        <v>35</v>
      </c>
      <c r="F207" t="s">
        <v>101</v>
      </c>
      <c r="G207">
        <v>66000</v>
      </c>
      <c r="H207" s="1">
        <v>44570</v>
      </c>
      <c r="I207">
        <v>4.7</v>
      </c>
      <c r="J207" t="s">
        <v>53</v>
      </c>
      <c r="K207">
        <v>59.4</v>
      </c>
      <c r="L207">
        <v>83.5</v>
      </c>
      <c r="M207">
        <v>17</v>
      </c>
      <c r="N207" s="3">
        <v>17</v>
      </c>
      <c r="O207" s="3" t="s">
        <v>32</v>
      </c>
      <c r="P207" s="5"/>
      <c r="Q207" s="4" t="s">
        <v>44</v>
      </c>
    </row>
    <row r="208" spans="1:17">
      <c r="A208">
        <v>207</v>
      </c>
      <c r="B208" t="s">
        <v>277</v>
      </c>
      <c r="C208" t="s">
        <v>28</v>
      </c>
      <c r="D208">
        <v>26</v>
      </c>
      <c r="E208" t="s">
        <v>58</v>
      </c>
      <c r="F208" t="s">
        <v>136</v>
      </c>
      <c r="G208">
        <v>37000</v>
      </c>
      <c r="H208" s="1">
        <v>44915</v>
      </c>
      <c r="I208">
        <v>3.8</v>
      </c>
      <c r="J208" t="s">
        <v>98</v>
      </c>
      <c r="K208">
        <v>88.7</v>
      </c>
      <c r="L208">
        <v>97.1</v>
      </c>
      <c r="M208">
        <v>13</v>
      </c>
      <c r="N208" s="3">
        <v>12</v>
      </c>
      <c r="O208" s="3" t="s">
        <v>32</v>
      </c>
      <c r="P208" s="5"/>
      <c r="Q208" s="4" t="s">
        <v>33</v>
      </c>
    </row>
    <row r="209" spans="1:17">
      <c r="A209">
        <v>208</v>
      </c>
      <c r="B209" t="s">
        <v>278</v>
      </c>
      <c r="C209" t="s">
        <v>28</v>
      </c>
      <c r="D209">
        <v>57</v>
      </c>
      <c r="E209" t="s">
        <v>29</v>
      </c>
      <c r="F209" t="s">
        <v>66</v>
      </c>
      <c r="G209">
        <v>41000</v>
      </c>
      <c r="H209" s="1">
        <v>45600</v>
      </c>
      <c r="I209">
        <v>1.9</v>
      </c>
      <c r="J209" t="s">
        <v>98</v>
      </c>
      <c r="K209">
        <v>62.3</v>
      </c>
      <c r="L209">
        <v>88.7</v>
      </c>
      <c r="M209">
        <v>9</v>
      </c>
      <c r="N209" s="3">
        <v>8</v>
      </c>
      <c r="O209" s="3" t="s">
        <v>32</v>
      </c>
      <c r="P209" s="5"/>
      <c r="Q209" s="4" t="s">
        <v>75</v>
      </c>
    </row>
    <row r="210" spans="1:17">
      <c r="A210">
        <v>209</v>
      </c>
      <c r="B210" t="s">
        <v>279</v>
      </c>
      <c r="C210" t="s">
        <v>28</v>
      </c>
      <c r="D210">
        <v>48</v>
      </c>
      <c r="E210" t="s">
        <v>51</v>
      </c>
      <c r="F210" t="s">
        <v>73</v>
      </c>
      <c r="G210">
        <v>32000</v>
      </c>
      <c r="H210" s="1">
        <v>44596</v>
      </c>
      <c r="I210">
        <v>4.7</v>
      </c>
      <c r="J210" t="s">
        <v>49</v>
      </c>
      <c r="K210">
        <v>58.3</v>
      </c>
      <c r="L210">
        <v>86.4</v>
      </c>
      <c r="M210">
        <v>20</v>
      </c>
      <c r="N210" s="3">
        <v>15</v>
      </c>
      <c r="O210" s="3" t="s">
        <v>32</v>
      </c>
      <c r="P210" s="5"/>
      <c r="Q210" s="4" t="s">
        <v>44</v>
      </c>
    </row>
    <row r="211" spans="1:17">
      <c r="A211">
        <v>210</v>
      </c>
      <c r="B211" t="s">
        <v>280</v>
      </c>
      <c r="C211" t="s">
        <v>46</v>
      </c>
      <c r="D211">
        <v>27</v>
      </c>
      <c r="E211" t="s">
        <v>85</v>
      </c>
      <c r="F211" t="s">
        <v>103</v>
      </c>
      <c r="G211">
        <v>48000</v>
      </c>
      <c r="H211" s="1">
        <v>44020</v>
      </c>
      <c r="I211">
        <v>6.2</v>
      </c>
      <c r="J211" t="s">
        <v>31</v>
      </c>
      <c r="K211">
        <v>68.099999999999994</v>
      </c>
      <c r="L211">
        <v>98.6</v>
      </c>
      <c r="M211">
        <v>12</v>
      </c>
      <c r="N211" s="3">
        <v>10</v>
      </c>
      <c r="O211" s="3" t="s">
        <v>32</v>
      </c>
      <c r="P211" s="5"/>
      <c r="Q211" s="4" t="s">
        <v>75</v>
      </c>
    </row>
    <row r="212" spans="1:17">
      <c r="A212">
        <v>211</v>
      </c>
      <c r="B212" t="s">
        <v>281</v>
      </c>
      <c r="C212" t="s">
        <v>28</v>
      </c>
      <c r="D212">
        <v>40</v>
      </c>
      <c r="E212" t="s">
        <v>47</v>
      </c>
      <c r="F212" t="s">
        <v>89</v>
      </c>
      <c r="G212">
        <v>32000</v>
      </c>
      <c r="H212" s="1">
        <v>44779</v>
      </c>
      <c r="I212">
        <v>4.2</v>
      </c>
      <c r="J212" t="s">
        <v>98</v>
      </c>
      <c r="K212">
        <v>75.599999999999994</v>
      </c>
      <c r="L212">
        <v>85.1</v>
      </c>
      <c r="M212">
        <v>9</v>
      </c>
      <c r="N212" s="3">
        <v>15</v>
      </c>
      <c r="O212" s="3" t="s">
        <v>32</v>
      </c>
      <c r="P212" s="5"/>
      <c r="Q212" s="4" t="s">
        <v>44</v>
      </c>
    </row>
    <row r="213" spans="1:17">
      <c r="A213">
        <v>212</v>
      </c>
      <c r="B213" t="s">
        <v>282</v>
      </c>
      <c r="C213" t="s">
        <v>46</v>
      </c>
      <c r="D213">
        <v>45</v>
      </c>
      <c r="E213" t="s">
        <v>41</v>
      </c>
      <c r="F213" t="s">
        <v>42</v>
      </c>
      <c r="G213">
        <v>28000</v>
      </c>
      <c r="H213" s="1">
        <v>44614</v>
      </c>
      <c r="I213">
        <v>4.5999999999999996</v>
      </c>
      <c r="J213" t="s">
        <v>31</v>
      </c>
      <c r="K213">
        <v>90.1</v>
      </c>
      <c r="L213">
        <v>88.9</v>
      </c>
      <c r="M213">
        <v>6</v>
      </c>
      <c r="N213" s="3">
        <v>18</v>
      </c>
      <c r="O213" s="3" t="s">
        <v>32</v>
      </c>
      <c r="P213" s="5"/>
      <c r="Q213" s="4" t="s">
        <v>44</v>
      </c>
    </row>
    <row r="214" spans="1:17">
      <c r="A214">
        <v>213</v>
      </c>
      <c r="B214" t="s">
        <v>283</v>
      </c>
      <c r="C214" t="s">
        <v>28</v>
      </c>
      <c r="D214">
        <v>50</v>
      </c>
      <c r="E214" t="s">
        <v>51</v>
      </c>
      <c r="F214" t="s">
        <v>52</v>
      </c>
      <c r="G214">
        <v>34000</v>
      </c>
      <c r="H214" s="1">
        <v>44324</v>
      </c>
      <c r="I214">
        <v>5.4</v>
      </c>
      <c r="J214" t="s">
        <v>49</v>
      </c>
      <c r="K214">
        <v>84.8</v>
      </c>
      <c r="L214">
        <v>96.3</v>
      </c>
      <c r="M214">
        <v>15</v>
      </c>
      <c r="N214" s="3">
        <v>4</v>
      </c>
      <c r="O214" s="3" t="s">
        <v>32</v>
      </c>
      <c r="P214" s="5"/>
      <c r="Q214" s="4" t="s">
        <v>39</v>
      </c>
    </row>
    <row r="215" spans="1:17">
      <c r="A215">
        <v>214</v>
      </c>
      <c r="B215" t="s">
        <v>284</v>
      </c>
      <c r="C215" t="s">
        <v>28</v>
      </c>
      <c r="D215">
        <v>48</v>
      </c>
      <c r="E215" t="s">
        <v>51</v>
      </c>
      <c r="F215" t="s">
        <v>55</v>
      </c>
      <c r="G215">
        <v>44000</v>
      </c>
      <c r="H215" s="1">
        <v>45010</v>
      </c>
      <c r="I215">
        <v>3.5</v>
      </c>
      <c r="J215" t="s">
        <v>31</v>
      </c>
      <c r="K215">
        <v>58.2</v>
      </c>
      <c r="L215">
        <v>99.3</v>
      </c>
      <c r="M215">
        <v>12</v>
      </c>
      <c r="N215" s="3">
        <v>17</v>
      </c>
      <c r="O215" s="3" t="s">
        <v>32</v>
      </c>
      <c r="P215" s="5"/>
      <c r="Q215" s="4" t="s">
        <v>44</v>
      </c>
    </row>
    <row r="216" spans="1:17">
      <c r="A216">
        <v>215</v>
      </c>
      <c r="B216" t="s">
        <v>285</v>
      </c>
      <c r="C216" t="s">
        <v>46</v>
      </c>
      <c r="D216">
        <v>55</v>
      </c>
      <c r="E216" t="s">
        <v>41</v>
      </c>
      <c r="F216" t="s">
        <v>71</v>
      </c>
      <c r="G216">
        <v>37000</v>
      </c>
      <c r="H216" s="1">
        <v>43616</v>
      </c>
      <c r="I216">
        <v>7.4</v>
      </c>
      <c r="J216" t="s">
        <v>43</v>
      </c>
      <c r="K216">
        <v>93.5</v>
      </c>
      <c r="L216">
        <v>91.4</v>
      </c>
      <c r="M216">
        <v>24</v>
      </c>
      <c r="N216" s="3">
        <v>7</v>
      </c>
      <c r="O216" s="3" t="s">
        <v>32</v>
      </c>
      <c r="P216" s="5"/>
      <c r="Q216" s="4" t="s">
        <v>39</v>
      </c>
    </row>
    <row r="217" spans="1:17">
      <c r="A217">
        <v>216</v>
      </c>
      <c r="B217" t="s">
        <v>286</v>
      </c>
      <c r="C217" t="s">
        <v>28</v>
      </c>
      <c r="D217">
        <v>57</v>
      </c>
      <c r="E217" t="s">
        <v>51</v>
      </c>
      <c r="F217" t="s">
        <v>52</v>
      </c>
      <c r="G217">
        <v>33000</v>
      </c>
      <c r="H217" s="1">
        <v>46108</v>
      </c>
      <c r="I217">
        <v>0.5</v>
      </c>
      <c r="J217" t="s">
        <v>53</v>
      </c>
      <c r="K217">
        <v>84.1</v>
      </c>
      <c r="L217">
        <v>89</v>
      </c>
      <c r="M217">
        <v>3</v>
      </c>
      <c r="N217" s="3">
        <v>0</v>
      </c>
      <c r="O217" s="3" t="s">
        <v>32</v>
      </c>
      <c r="P217" s="5"/>
      <c r="Q217" s="4" t="s">
        <v>33</v>
      </c>
    </row>
    <row r="218" spans="1:17">
      <c r="A218">
        <v>217</v>
      </c>
      <c r="B218" t="s">
        <v>287</v>
      </c>
      <c r="C218" t="s">
        <v>28</v>
      </c>
      <c r="D218">
        <v>49</v>
      </c>
      <c r="E218" t="s">
        <v>47</v>
      </c>
      <c r="F218" t="s">
        <v>48</v>
      </c>
      <c r="G218">
        <v>31000</v>
      </c>
      <c r="H218" s="1">
        <v>44998</v>
      </c>
      <c r="I218">
        <v>3.6</v>
      </c>
      <c r="J218" t="s">
        <v>43</v>
      </c>
      <c r="K218">
        <v>80.3</v>
      </c>
      <c r="L218">
        <v>90.8</v>
      </c>
      <c r="M218">
        <v>15</v>
      </c>
      <c r="N218" s="3">
        <v>3</v>
      </c>
      <c r="O218" s="3" t="s">
        <v>32</v>
      </c>
      <c r="P218" s="5"/>
      <c r="Q218" s="4" t="s">
        <v>39</v>
      </c>
    </row>
    <row r="219" spans="1:17">
      <c r="A219">
        <v>218</v>
      </c>
      <c r="B219" t="s">
        <v>288</v>
      </c>
      <c r="C219" t="s">
        <v>28</v>
      </c>
      <c r="D219">
        <v>30</v>
      </c>
      <c r="E219" t="s">
        <v>58</v>
      </c>
      <c r="F219" t="s">
        <v>136</v>
      </c>
      <c r="G219">
        <v>64000</v>
      </c>
      <c r="H219" s="1">
        <v>44892</v>
      </c>
      <c r="I219">
        <v>3.9</v>
      </c>
      <c r="J219" t="s">
        <v>31</v>
      </c>
      <c r="K219">
        <v>68.400000000000006</v>
      </c>
      <c r="L219">
        <v>90</v>
      </c>
      <c r="M219">
        <v>15</v>
      </c>
      <c r="N219" s="3">
        <v>11</v>
      </c>
      <c r="O219" s="3" t="s">
        <v>32</v>
      </c>
      <c r="P219" s="5"/>
      <c r="Q219" s="4" t="s">
        <v>75</v>
      </c>
    </row>
    <row r="220" spans="1:17">
      <c r="A220">
        <v>219</v>
      </c>
      <c r="B220" t="s">
        <v>289</v>
      </c>
      <c r="C220" t="s">
        <v>46</v>
      </c>
      <c r="D220">
        <v>41</v>
      </c>
      <c r="E220" t="s">
        <v>35</v>
      </c>
      <c r="F220" t="s">
        <v>81</v>
      </c>
      <c r="G220">
        <v>48000</v>
      </c>
      <c r="H220" s="1">
        <v>43741</v>
      </c>
      <c r="I220">
        <v>7</v>
      </c>
      <c r="J220" t="s">
        <v>49</v>
      </c>
      <c r="K220">
        <v>59.9</v>
      </c>
      <c r="L220">
        <v>96.9</v>
      </c>
      <c r="M220">
        <v>5</v>
      </c>
      <c r="N220" s="3">
        <v>7</v>
      </c>
      <c r="O220" s="3" t="s">
        <v>32</v>
      </c>
      <c r="P220" s="5"/>
      <c r="Q220" s="4" t="s">
        <v>44</v>
      </c>
    </row>
    <row r="221" spans="1:17">
      <c r="A221">
        <v>220</v>
      </c>
      <c r="B221" t="s">
        <v>290</v>
      </c>
      <c r="C221" t="s">
        <v>28</v>
      </c>
      <c r="D221">
        <v>42</v>
      </c>
      <c r="E221" t="s">
        <v>51</v>
      </c>
      <c r="F221" t="s">
        <v>52</v>
      </c>
      <c r="G221">
        <v>58000</v>
      </c>
      <c r="H221" s="1">
        <v>45759</v>
      </c>
      <c r="I221">
        <v>1.5</v>
      </c>
      <c r="J221" t="s">
        <v>49</v>
      </c>
      <c r="K221">
        <v>73.3</v>
      </c>
      <c r="L221">
        <v>90.1</v>
      </c>
      <c r="M221">
        <v>5</v>
      </c>
      <c r="N221" s="3">
        <v>5</v>
      </c>
      <c r="O221" s="3" t="s">
        <v>32</v>
      </c>
      <c r="P221" s="5"/>
      <c r="Q221" s="4" t="s">
        <v>75</v>
      </c>
    </row>
    <row r="222" spans="1:17">
      <c r="A222">
        <v>221</v>
      </c>
      <c r="B222" t="s">
        <v>291</v>
      </c>
      <c r="C222" t="s">
        <v>28</v>
      </c>
      <c r="D222">
        <v>49</v>
      </c>
      <c r="E222" t="s">
        <v>58</v>
      </c>
      <c r="F222" t="s">
        <v>136</v>
      </c>
      <c r="G222">
        <v>51000</v>
      </c>
      <c r="H222" s="1">
        <v>45891</v>
      </c>
      <c r="I222">
        <v>1.1000000000000001</v>
      </c>
      <c r="J222" t="s">
        <v>31</v>
      </c>
      <c r="K222">
        <v>64.2</v>
      </c>
      <c r="L222">
        <v>86.9</v>
      </c>
      <c r="M222">
        <v>3</v>
      </c>
      <c r="N222" s="3">
        <v>17</v>
      </c>
      <c r="O222" s="3" t="s">
        <v>32</v>
      </c>
      <c r="P222" s="5"/>
      <c r="Q222" s="4" t="s">
        <v>60</v>
      </c>
    </row>
    <row r="223" spans="1:17">
      <c r="A223">
        <v>222</v>
      </c>
      <c r="B223" t="s">
        <v>292</v>
      </c>
      <c r="C223" t="s">
        <v>28</v>
      </c>
      <c r="D223">
        <v>50</v>
      </c>
      <c r="E223" t="s">
        <v>47</v>
      </c>
      <c r="F223" t="s">
        <v>89</v>
      </c>
      <c r="G223">
        <v>45000</v>
      </c>
      <c r="H223" s="1">
        <v>43932</v>
      </c>
      <c r="I223">
        <v>6.5</v>
      </c>
      <c r="J223" t="s">
        <v>98</v>
      </c>
      <c r="K223">
        <v>66.3</v>
      </c>
      <c r="L223">
        <v>97.1</v>
      </c>
      <c r="M223">
        <v>19</v>
      </c>
      <c r="N223" s="3">
        <v>12</v>
      </c>
      <c r="O223" s="3" t="s">
        <v>38</v>
      </c>
      <c r="P223" s="5">
        <v>45647</v>
      </c>
      <c r="Q223" s="4" t="s">
        <v>44</v>
      </c>
    </row>
    <row r="224" spans="1:17">
      <c r="A224">
        <v>223</v>
      </c>
      <c r="B224" t="s">
        <v>293</v>
      </c>
      <c r="C224" t="s">
        <v>28</v>
      </c>
      <c r="D224">
        <v>43</v>
      </c>
      <c r="E224" t="s">
        <v>58</v>
      </c>
      <c r="F224" t="s">
        <v>78</v>
      </c>
      <c r="G224">
        <v>60000</v>
      </c>
      <c r="H224" s="1">
        <v>44907</v>
      </c>
      <c r="I224">
        <v>3.8</v>
      </c>
      <c r="J224" t="s">
        <v>31</v>
      </c>
      <c r="K224">
        <v>90</v>
      </c>
      <c r="L224">
        <v>94.4</v>
      </c>
      <c r="M224">
        <v>18</v>
      </c>
      <c r="N224" s="3">
        <v>2</v>
      </c>
      <c r="O224" s="3" t="s">
        <v>32</v>
      </c>
      <c r="P224" s="5"/>
      <c r="Q224" s="4" t="s">
        <v>60</v>
      </c>
    </row>
    <row r="225" spans="1:17">
      <c r="A225">
        <v>224</v>
      </c>
      <c r="B225" t="s">
        <v>294</v>
      </c>
      <c r="C225" t="s">
        <v>28</v>
      </c>
      <c r="D225">
        <v>40</v>
      </c>
      <c r="E225" t="s">
        <v>47</v>
      </c>
      <c r="F225" t="s">
        <v>48</v>
      </c>
      <c r="G225">
        <v>33000</v>
      </c>
      <c r="H225" s="1">
        <v>43945</v>
      </c>
      <c r="I225">
        <v>6.5</v>
      </c>
      <c r="J225" t="s">
        <v>53</v>
      </c>
      <c r="K225">
        <v>62.9</v>
      </c>
      <c r="L225">
        <v>94.1</v>
      </c>
      <c r="M225">
        <v>19</v>
      </c>
      <c r="N225" s="3">
        <v>4</v>
      </c>
      <c r="O225" s="3" t="s">
        <v>38</v>
      </c>
      <c r="P225" s="5">
        <v>45904</v>
      </c>
      <c r="Q225" s="4" t="s">
        <v>44</v>
      </c>
    </row>
    <row r="226" spans="1:17">
      <c r="A226">
        <v>225</v>
      </c>
      <c r="B226" t="s">
        <v>295</v>
      </c>
      <c r="C226" t="s">
        <v>28</v>
      </c>
      <c r="D226">
        <v>52</v>
      </c>
      <c r="E226" t="s">
        <v>58</v>
      </c>
      <c r="F226" t="s">
        <v>59</v>
      </c>
      <c r="G226">
        <v>27000</v>
      </c>
      <c r="H226" s="1">
        <v>46069</v>
      </c>
      <c r="I226">
        <v>0.6</v>
      </c>
      <c r="J226" t="s">
        <v>53</v>
      </c>
      <c r="K226">
        <v>95</v>
      </c>
      <c r="L226">
        <v>85</v>
      </c>
      <c r="M226">
        <v>9</v>
      </c>
      <c r="N226" s="3">
        <v>4</v>
      </c>
      <c r="O226" s="3" t="s">
        <v>32</v>
      </c>
      <c r="P226" s="5"/>
      <c r="Q226" s="4" t="s">
        <v>60</v>
      </c>
    </row>
    <row r="227" spans="1:17">
      <c r="A227">
        <v>226</v>
      </c>
      <c r="B227" t="s">
        <v>296</v>
      </c>
      <c r="C227" t="s">
        <v>28</v>
      </c>
      <c r="D227">
        <v>43</v>
      </c>
      <c r="E227" t="s">
        <v>47</v>
      </c>
      <c r="F227" t="s">
        <v>89</v>
      </c>
      <c r="G227">
        <v>39000</v>
      </c>
      <c r="H227" s="1">
        <v>43505</v>
      </c>
      <c r="I227">
        <v>7.7</v>
      </c>
      <c r="J227" t="s">
        <v>31</v>
      </c>
      <c r="K227">
        <v>75.8</v>
      </c>
      <c r="L227">
        <v>85.4</v>
      </c>
      <c r="M227">
        <v>16</v>
      </c>
      <c r="N227" s="3">
        <v>15</v>
      </c>
      <c r="O227" s="3" t="s">
        <v>32</v>
      </c>
      <c r="P227" s="5"/>
      <c r="Q227" s="4" t="s">
        <v>75</v>
      </c>
    </row>
    <row r="228" spans="1:17">
      <c r="A228">
        <v>227</v>
      </c>
      <c r="B228" t="s">
        <v>297</v>
      </c>
      <c r="C228" t="s">
        <v>46</v>
      </c>
      <c r="D228">
        <v>49</v>
      </c>
      <c r="E228" t="s">
        <v>29</v>
      </c>
      <c r="F228" t="s">
        <v>93</v>
      </c>
      <c r="G228">
        <v>52000</v>
      </c>
      <c r="H228" s="1">
        <v>45467</v>
      </c>
      <c r="I228">
        <v>2.2999999999999998</v>
      </c>
      <c r="J228" t="s">
        <v>98</v>
      </c>
      <c r="K228">
        <v>89.2</v>
      </c>
      <c r="L228">
        <v>85.9</v>
      </c>
      <c r="M228">
        <v>7</v>
      </c>
      <c r="N228" s="3">
        <v>17</v>
      </c>
      <c r="O228" s="3" t="s">
        <v>32</v>
      </c>
      <c r="P228" s="5"/>
      <c r="Q228" s="4" t="s">
        <v>39</v>
      </c>
    </row>
    <row r="229" spans="1:17">
      <c r="A229">
        <v>228</v>
      </c>
      <c r="B229" t="s">
        <v>298</v>
      </c>
      <c r="C229" t="s">
        <v>46</v>
      </c>
      <c r="D229">
        <v>56</v>
      </c>
      <c r="E229" t="s">
        <v>51</v>
      </c>
      <c r="F229" t="s">
        <v>55</v>
      </c>
      <c r="G229">
        <v>52000</v>
      </c>
      <c r="H229" s="1">
        <v>45558</v>
      </c>
      <c r="I229">
        <v>2</v>
      </c>
      <c r="J229" t="s">
        <v>31</v>
      </c>
      <c r="K229">
        <v>59.9</v>
      </c>
      <c r="L229">
        <v>84</v>
      </c>
      <c r="M229">
        <v>24</v>
      </c>
      <c r="N229" s="3">
        <v>1</v>
      </c>
      <c r="O229" s="3" t="s">
        <v>38</v>
      </c>
      <c r="P229" s="5">
        <v>45926</v>
      </c>
      <c r="Q229" s="4" t="s">
        <v>75</v>
      </c>
    </row>
    <row r="230" spans="1:17">
      <c r="A230">
        <v>229</v>
      </c>
      <c r="B230" t="s">
        <v>299</v>
      </c>
      <c r="C230" t="s">
        <v>46</v>
      </c>
      <c r="D230">
        <v>27</v>
      </c>
      <c r="E230" t="s">
        <v>85</v>
      </c>
      <c r="F230" t="s">
        <v>103</v>
      </c>
      <c r="G230">
        <v>43000</v>
      </c>
      <c r="H230" s="1">
        <v>46143</v>
      </c>
      <c r="I230">
        <v>0.4</v>
      </c>
      <c r="J230" t="s">
        <v>43</v>
      </c>
      <c r="K230">
        <v>98</v>
      </c>
      <c r="L230">
        <v>89.9</v>
      </c>
      <c r="M230">
        <v>14</v>
      </c>
      <c r="N230" s="3">
        <v>3</v>
      </c>
      <c r="O230" s="3" t="s">
        <v>32</v>
      </c>
      <c r="P230" s="5"/>
      <c r="Q230" s="4" t="s">
        <v>60</v>
      </c>
    </row>
    <row r="231" spans="1:17">
      <c r="A231">
        <v>230</v>
      </c>
      <c r="B231" t="s">
        <v>300</v>
      </c>
      <c r="C231" t="s">
        <v>46</v>
      </c>
      <c r="D231">
        <v>48</v>
      </c>
      <c r="E231" t="s">
        <v>51</v>
      </c>
      <c r="F231" t="s">
        <v>52</v>
      </c>
      <c r="G231">
        <v>34000</v>
      </c>
      <c r="H231" s="1">
        <v>44145</v>
      </c>
      <c r="I231">
        <v>5.9</v>
      </c>
      <c r="J231" t="s">
        <v>43</v>
      </c>
      <c r="K231">
        <v>81.5</v>
      </c>
      <c r="L231">
        <v>95.7</v>
      </c>
      <c r="M231">
        <v>18</v>
      </c>
      <c r="N231" s="3">
        <v>11</v>
      </c>
      <c r="O231" s="3" t="s">
        <v>32</v>
      </c>
      <c r="P231" s="5"/>
      <c r="Q231" s="4" t="s">
        <v>44</v>
      </c>
    </row>
    <row r="232" spans="1:17">
      <c r="A232">
        <v>231</v>
      </c>
      <c r="B232" t="s">
        <v>301</v>
      </c>
      <c r="C232" t="s">
        <v>28</v>
      </c>
      <c r="D232">
        <v>41</v>
      </c>
      <c r="E232" t="s">
        <v>47</v>
      </c>
      <c r="F232" t="s">
        <v>64</v>
      </c>
      <c r="G232">
        <v>43000</v>
      </c>
      <c r="H232" s="1">
        <v>44664</v>
      </c>
      <c r="I232">
        <v>4.5</v>
      </c>
      <c r="J232" t="s">
        <v>37</v>
      </c>
      <c r="K232">
        <v>91.9</v>
      </c>
      <c r="L232">
        <v>99.2</v>
      </c>
      <c r="M232">
        <v>24</v>
      </c>
      <c r="N232" s="3">
        <v>13</v>
      </c>
      <c r="O232" s="3" t="s">
        <v>32</v>
      </c>
      <c r="P232" s="5"/>
      <c r="Q232" s="4" t="s">
        <v>33</v>
      </c>
    </row>
    <row r="233" spans="1:17">
      <c r="A233">
        <v>232</v>
      </c>
      <c r="B233" t="s">
        <v>302</v>
      </c>
      <c r="C233" t="s">
        <v>28</v>
      </c>
      <c r="D233">
        <v>29</v>
      </c>
      <c r="E233" t="s">
        <v>47</v>
      </c>
      <c r="F233" t="s">
        <v>64</v>
      </c>
      <c r="G233">
        <v>52000</v>
      </c>
      <c r="H233" s="1">
        <v>44488</v>
      </c>
      <c r="I233">
        <v>5</v>
      </c>
      <c r="J233" t="s">
        <v>49</v>
      </c>
      <c r="K233">
        <v>61.3</v>
      </c>
      <c r="L233">
        <v>87.6</v>
      </c>
      <c r="M233">
        <v>12</v>
      </c>
      <c r="N233" s="3">
        <v>15</v>
      </c>
      <c r="O233" s="3" t="s">
        <v>32</v>
      </c>
      <c r="P233" s="5"/>
      <c r="Q233" s="4" t="s">
        <v>60</v>
      </c>
    </row>
    <row r="234" spans="1:17">
      <c r="A234">
        <v>233</v>
      </c>
      <c r="B234" t="s">
        <v>303</v>
      </c>
      <c r="C234" t="s">
        <v>46</v>
      </c>
      <c r="D234">
        <v>47</v>
      </c>
      <c r="E234" t="s">
        <v>85</v>
      </c>
      <c r="F234" t="s">
        <v>108</v>
      </c>
      <c r="G234">
        <v>30000</v>
      </c>
      <c r="H234" s="1">
        <v>45002</v>
      </c>
      <c r="I234">
        <v>3.6</v>
      </c>
      <c r="J234" t="s">
        <v>49</v>
      </c>
      <c r="K234">
        <v>92.8</v>
      </c>
      <c r="L234">
        <v>83.6</v>
      </c>
      <c r="M234">
        <v>11</v>
      </c>
      <c r="N234" s="3">
        <v>14</v>
      </c>
      <c r="O234" s="3" t="s">
        <v>38</v>
      </c>
      <c r="P234" s="5">
        <v>46017</v>
      </c>
      <c r="Q234" s="4" t="s">
        <v>75</v>
      </c>
    </row>
    <row r="235" spans="1:17">
      <c r="A235">
        <v>234</v>
      </c>
      <c r="B235" t="s">
        <v>304</v>
      </c>
      <c r="C235" t="s">
        <v>28</v>
      </c>
      <c r="D235">
        <v>26</v>
      </c>
      <c r="E235" t="s">
        <v>47</v>
      </c>
      <c r="F235" t="s">
        <v>64</v>
      </c>
      <c r="G235">
        <v>49000</v>
      </c>
      <c r="H235" s="1">
        <v>45343</v>
      </c>
      <c r="I235">
        <v>2.6</v>
      </c>
      <c r="J235" t="s">
        <v>31</v>
      </c>
      <c r="K235">
        <v>82.3</v>
      </c>
      <c r="L235">
        <v>94.2</v>
      </c>
      <c r="M235">
        <v>12</v>
      </c>
      <c r="N235" s="3">
        <v>6</v>
      </c>
      <c r="O235" s="3" t="s">
        <v>32</v>
      </c>
      <c r="P235" s="5"/>
      <c r="Q235" s="4" t="s">
        <v>75</v>
      </c>
    </row>
    <row r="236" spans="1:17">
      <c r="A236">
        <v>235</v>
      </c>
      <c r="B236" t="s">
        <v>305</v>
      </c>
      <c r="C236" t="s">
        <v>46</v>
      </c>
      <c r="D236">
        <v>38</v>
      </c>
      <c r="E236" t="s">
        <v>41</v>
      </c>
      <c r="F236" t="s">
        <v>42</v>
      </c>
      <c r="G236">
        <v>39000</v>
      </c>
      <c r="H236" s="1">
        <v>44788</v>
      </c>
      <c r="I236">
        <v>4.0999999999999996</v>
      </c>
      <c r="J236" t="s">
        <v>98</v>
      </c>
      <c r="K236">
        <v>79.900000000000006</v>
      </c>
      <c r="L236">
        <v>91.9</v>
      </c>
      <c r="M236">
        <v>21</v>
      </c>
      <c r="N236" s="3">
        <v>1</v>
      </c>
      <c r="O236" s="3" t="s">
        <v>32</v>
      </c>
      <c r="P236" s="5"/>
      <c r="Q236" s="4" t="s">
        <v>33</v>
      </c>
    </row>
    <row r="237" spans="1:17">
      <c r="A237">
        <v>236</v>
      </c>
      <c r="B237" t="s">
        <v>306</v>
      </c>
      <c r="C237" t="s">
        <v>28</v>
      </c>
      <c r="D237">
        <v>28</v>
      </c>
      <c r="E237" t="s">
        <v>35</v>
      </c>
      <c r="F237" t="s">
        <v>81</v>
      </c>
      <c r="G237">
        <v>45000</v>
      </c>
      <c r="H237" s="1">
        <v>44113</v>
      </c>
      <c r="I237">
        <v>6</v>
      </c>
      <c r="J237" t="s">
        <v>37</v>
      </c>
      <c r="K237">
        <v>74</v>
      </c>
      <c r="L237">
        <v>82</v>
      </c>
      <c r="M237">
        <v>22</v>
      </c>
      <c r="N237" s="3">
        <v>4</v>
      </c>
      <c r="O237" s="3" t="s">
        <v>32</v>
      </c>
      <c r="P237" s="5"/>
      <c r="Q237" s="4" t="s">
        <v>39</v>
      </c>
    </row>
    <row r="238" spans="1:17">
      <c r="A238">
        <v>237</v>
      </c>
      <c r="B238" t="s">
        <v>307</v>
      </c>
      <c r="C238" t="s">
        <v>28</v>
      </c>
      <c r="D238">
        <v>44</v>
      </c>
      <c r="E238" t="s">
        <v>51</v>
      </c>
      <c r="F238" t="s">
        <v>55</v>
      </c>
      <c r="G238">
        <v>53000</v>
      </c>
      <c r="H238" s="1">
        <v>44491</v>
      </c>
      <c r="I238">
        <v>5</v>
      </c>
      <c r="J238" t="s">
        <v>49</v>
      </c>
      <c r="K238">
        <v>82.9</v>
      </c>
      <c r="L238">
        <v>82.9</v>
      </c>
      <c r="M238">
        <v>22</v>
      </c>
      <c r="N238" s="3">
        <v>7</v>
      </c>
      <c r="O238" s="3" t="s">
        <v>32</v>
      </c>
      <c r="P238" s="5"/>
      <c r="Q238" s="4" t="s">
        <v>75</v>
      </c>
    </row>
    <row r="239" spans="1:17">
      <c r="A239">
        <v>238</v>
      </c>
      <c r="B239" t="s">
        <v>308</v>
      </c>
      <c r="C239" t="s">
        <v>28</v>
      </c>
      <c r="D239">
        <v>21</v>
      </c>
      <c r="E239" t="s">
        <v>29</v>
      </c>
      <c r="F239" t="s">
        <v>30</v>
      </c>
      <c r="G239">
        <v>53000</v>
      </c>
      <c r="H239" s="1">
        <v>44340</v>
      </c>
      <c r="I239">
        <v>5.4</v>
      </c>
      <c r="J239" t="s">
        <v>31</v>
      </c>
      <c r="K239">
        <v>75.5</v>
      </c>
      <c r="L239">
        <v>84.3</v>
      </c>
      <c r="M239">
        <v>21</v>
      </c>
      <c r="N239" s="3">
        <v>14</v>
      </c>
      <c r="O239" s="3" t="s">
        <v>32</v>
      </c>
      <c r="P239" s="5"/>
      <c r="Q239" s="4" t="s">
        <v>33</v>
      </c>
    </row>
    <row r="240" spans="1:17">
      <c r="A240">
        <v>239</v>
      </c>
      <c r="B240" t="s">
        <v>309</v>
      </c>
      <c r="C240" t="s">
        <v>28</v>
      </c>
      <c r="D240">
        <v>48</v>
      </c>
      <c r="E240" t="s">
        <v>35</v>
      </c>
      <c r="F240" t="s">
        <v>101</v>
      </c>
      <c r="G240">
        <v>46000</v>
      </c>
      <c r="H240" s="1">
        <v>44007</v>
      </c>
      <c r="I240">
        <v>6.3</v>
      </c>
      <c r="J240" t="s">
        <v>98</v>
      </c>
      <c r="K240">
        <v>58.8</v>
      </c>
      <c r="L240">
        <v>96.1</v>
      </c>
      <c r="M240">
        <v>11</v>
      </c>
      <c r="N240" s="3">
        <v>9</v>
      </c>
      <c r="O240" s="3" t="s">
        <v>32</v>
      </c>
      <c r="P240" s="5"/>
      <c r="Q240" s="4" t="s">
        <v>60</v>
      </c>
    </row>
    <row r="241" spans="1:17">
      <c r="A241">
        <v>240</v>
      </c>
      <c r="B241" t="s">
        <v>310</v>
      </c>
      <c r="C241" t="s">
        <v>28</v>
      </c>
      <c r="D241">
        <v>25</v>
      </c>
      <c r="E241" t="s">
        <v>58</v>
      </c>
      <c r="F241" t="s">
        <v>136</v>
      </c>
      <c r="G241">
        <v>53000</v>
      </c>
      <c r="H241" s="1">
        <v>45638</v>
      </c>
      <c r="I241">
        <v>1.8</v>
      </c>
      <c r="J241" t="s">
        <v>53</v>
      </c>
      <c r="K241">
        <v>79.2</v>
      </c>
      <c r="L241">
        <v>92.7</v>
      </c>
      <c r="M241">
        <v>11</v>
      </c>
      <c r="N241" s="3">
        <v>6</v>
      </c>
      <c r="O241" s="3" t="s">
        <v>32</v>
      </c>
      <c r="P241" s="5"/>
      <c r="Q241" s="4" t="s">
        <v>60</v>
      </c>
    </row>
    <row r="242" spans="1:17">
      <c r="A242">
        <v>241</v>
      </c>
      <c r="B242" t="s">
        <v>311</v>
      </c>
      <c r="C242" t="s">
        <v>46</v>
      </c>
      <c r="D242">
        <v>34</v>
      </c>
      <c r="E242" t="s">
        <v>58</v>
      </c>
      <c r="F242" t="s">
        <v>78</v>
      </c>
      <c r="G242">
        <v>57000</v>
      </c>
      <c r="H242" s="1">
        <v>43821</v>
      </c>
      <c r="I242">
        <v>6.8</v>
      </c>
      <c r="J242" t="s">
        <v>53</v>
      </c>
      <c r="K242">
        <v>60.3</v>
      </c>
      <c r="L242">
        <v>94.8</v>
      </c>
      <c r="M242">
        <v>10</v>
      </c>
      <c r="N242" s="3">
        <v>4</v>
      </c>
      <c r="O242" s="3" t="s">
        <v>32</v>
      </c>
      <c r="P242" s="5"/>
      <c r="Q242" s="4" t="s">
        <v>60</v>
      </c>
    </row>
    <row r="243" spans="1:17">
      <c r="A243">
        <v>242</v>
      </c>
      <c r="B243" t="s">
        <v>312</v>
      </c>
      <c r="C243" t="s">
        <v>28</v>
      </c>
      <c r="D243">
        <v>36</v>
      </c>
      <c r="E243" t="s">
        <v>47</v>
      </c>
      <c r="F243" t="s">
        <v>64</v>
      </c>
      <c r="G243">
        <v>41000</v>
      </c>
      <c r="H243" s="1">
        <v>45732</v>
      </c>
      <c r="I243">
        <v>1.6</v>
      </c>
      <c r="J243" t="s">
        <v>49</v>
      </c>
      <c r="K243">
        <v>80.8</v>
      </c>
      <c r="L243">
        <v>94.6</v>
      </c>
      <c r="M243">
        <v>0</v>
      </c>
      <c r="N243" s="3">
        <v>9</v>
      </c>
      <c r="O243" s="3" t="s">
        <v>32</v>
      </c>
      <c r="P243" s="5"/>
      <c r="Q243" s="4" t="s">
        <v>60</v>
      </c>
    </row>
    <row r="244" spans="1:17">
      <c r="A244">
        <v>243</v>
      </c>
      <c r="B244" t="s">
        <v>313</v>
      </c>
      <c r="C244" t="s">
        <v>28</v>
      </c>
      <c r="D244">
        <v>46</v>
      </c>
      <c r="E244" t="s">
        <v>85</v>
      </c>
      <c r="F244" t="s">
        <v>108</v>
      </c>
      <c r="G244">
        <v>32000</v>
      </c>
      <c r="H244" s="1">
        <v>44676</v>
      </c>
      <c r="I244">
        <v>4.5</v>
      </c>
      <c r="J244" t="s">
        <v>43</v>
      </c>
      <c r="K244">
        <v>89.1</v>
      </c>
      <c r="L244">
        <v>86.2</v>
      </c>
      <c r="M244">
        <v>7</v>
      </c>
      <c r="N244" s="3">
        <v>15</v>
      </c>
      <c r="O244" s="3" t="s">
        <v>32</v>
      </c>
      <c r="P244" s="5"/>
      <c r="Q244" s="4" t="s">
        <v>44</v>
      </c>
    </row>
    <row r="245" spans="1:17">
      <c r="A245">
        <v>244</v>
      </c>
      <c r="B245" t="s">
        <v>314</v>
      </c>
      <c r="C245" t="s">
        <v>46</v>
      </c>
      <c r="D245">
        <v>41</v>
      </c>
      <c r="E245" t="s">
        <v>35</v>
      </c>
      <c r="F245" t="s">
        <v>69</v>
      </c>
      <c r="G245">
        <v>38000</v>
      </c>
      <c r="H245" s="1">
        <v>44006</v>
      </c>
      <c r="I245">
        <v>6.3</v>
      </c>
      <c r="J245" t="s">
        <v>98</v>
      </c>
      <c r="K245">
        <v>71.599999999999994</v>
      </c>
      <c r="L245">
        <v>96.7</v>
      </c>
      <c r="M245">
        <v>17</v>
      </c>
      <c r="N245" s="3">
        <v>5</v>
      </c>
      <c r="O245" s="3" t="s">
        <v>32</v>
      </c>
      <c r="P245" s="5"/>
      <c r="Q245" s="4" t="s">
        <v>75</v>
      </c>
    </row>
    <row r="246" spans="1:17">
      <c r="A246">
        <v>245</v>
      </c>
      <c r="B246" t="s">
        <v>315</v>
      </c>
      <c r="C246" t="s">
        <v>28</v>
      </c>
      <c r="D246">
        <v>58</v>
      </c>
      <c r="E246" t="s">
        <v>41</v>
      </c>
      <c r="F246" t="s">
        <v>42</v>
      </c>
      <c r="G246">
        <v>41000</v>
      </c>
      <c r="H246" s="1">
        <v>43742</v>
      </c>
      <c r="I246">
        <v>7</v>
      </c>
      <c r="J246" t="s">
        <v>31</v>
      </c>
      <c r="K246">
        <v>94.7</v>
      </c>
      <c r="L246">
        <v>98.6</v>
      </c>
      <c r="M246">
        <v>9</v>
      </c>
      <c r="N246" s="3">
        <v>16</v>
      </c>
      <c r="O246" s="3" t="s">
        <v>32</v>
      </c>
      <c r="P246" s="5"/>
      <c r="Q246" s="4" t="s">
        <v>75</v>
      </c>
    </row>
    <row r="247" spans="1:17">
      <c r="A247">
        <v>246</v>
      </c>
      <c r="B247" t="s">
        <v>316</v>
      </c>
      <c r="C247" t="s">
        <v>46</v>
      </c>
      <c r="D247">
        <v>26</v>
      </c>
      <c r="E247" t="s">
        <v>58</v>
      </c>
      <c r="F247" t="s">
        <v>78</v>
      </c>
      <c r="G247">
        <v>52000</v>
      </c>
      <c r="H247" s="1">
        <v>46089</v>
      </c>
      <c r="I247">
        <v>0.6</v>
      </c>
      <c r="J247" t="s">
        <v>43</v>
      </c>
      <c r="K247">
        <v>78.099999999999994</v>
      </c>
      <c r="L247">
        <v>92.8</v>
      </c>
      <c r="M247">
        <v>9</v>
      </c>
      <c r="N247" s="3">
        <v>2</v>
      </c>
      <c r="O247" s="3" t="s">
        <v>32</v>
      </c>
      <c r="P247" s="5"/>
      <c r="Q247" s="4" t="s">
        <v>44</v>
      </c>
    </row>
    <row r="248" spans="1:17">
      <c r="A248">
        <v>247</v>
      </c>
      <c r="B248" t="s">
        <v>317</v>
      </c>
      <c r="C248" t="s">
        <v>46</v>
      </c>
      <c r="D248">
        <v>46</v>
      </c>
      <c r="E248" t="s">
        <v>51</v>
      </c>
      <c r="F248" t="s">
        <v>73</v>
      </c>
      <c r="G248">
        <v>30000</v>
      </c>
      <c r="H248" s="1">
        <v>45868</v>
      </c>
      <c r="I248">
        <v>1.2</v>
      </c>
      <c r="J248" t="s">
        <v>49</v>
      </c>
      <c r="K248">
        <v>84.3</v>
      </c>
      <c r="L248">
        <v>83.2</v>
      </c>
      <c r="M248">
        <v>7</v>
      </c>
      <c r="N248" s="3">
        <v>1</v>
      </c>
      <c r="O248" s="3" t="s">
        <v>32</v>
      </c>
      <c r="P248" s="5"/>
      <c r="Q248" s="4" t="s">
        <v>60</v>
      </c>
    </row>
    <row r="249" spans="1:17">
      <c r="A249">
        <v>248</v>
      </c>
      <c r="B249" t="s">
        <v>318</v>
      </c>
      <c r="C249" t="s">
        <v>28</v>
      </c>
      <c r="D249">
        <v>50</v>
      </c>
      <c r="E249" t="s">
        <v>35</v>
      </c>
      <c r="F249" t="s">
        <v>81</v>
      </c>
      <c r="G249">
        <v>37000</v>
      </c>
      <c r="H249" s="1">
        <v>45973</v>
      </c>
      <c r="I249">
        <v>0.9</v>
      </c>
      <c r="J249" t="s">
        <v>43</v>
      </c>
      <c r="K249">
        <v>81.2</v>
      </c>
      <c r="L249">
        <v>87.4</v>
      </c>
      <c r="M249">
        <v>0</v>
      </c>
      <c r="N249" s="3">
        <v>4</v>
      </c>
      <c r="O249" s="3" t="s">
        <v>32</v>
      </c>
      <c r="P249" s="5"/>
      <c r="Q249" s="4" t="s">
        <v>33</v>
      </c>
    </row>
    <row r="250" spans="1:17">
      <c r="A250">
        <v>249</v>
      </c>
      <c r="B250" t="s">
        <v>319</v>
      </c>
      <c r="C250" t="s">
        <v>46</v>
      </c>
      <c r="D250">
        <v>54</v>
      </c>
      <c r="E250" t="s">
        <v>51</v>
      </c>
      <c r="F250" t="s">
        <v>55</v>
      </c>
      <c r="G250">
        <v>45000</v>
      </c>
      <c r="H250" s="1">
        <v>45584</v>
      </c>
      <c r="I250">
        <v>2</v>
      </c>
      <c r="J250" t="s">
        <v>49</v>
      </c>
      <c r="K250">
        <v>62.2</v>
      </c>
      <c r="L250">
        <v>84.2</v>
      </c>
      <c r="M250">
        <v>3</v>
      </c>
      <c r="N250" s="3">
        <v>0</v>
      </c>
      <c r="O250" s="3" t="s">
        <v>32</v>
      </c>
      <c r="P250" s="5"/>
      <c r="Q250" s="4" t="s">
        <v>39</v>
      </c>
    </row>
    <row r="251" spans="1:17">
      <c r="A251">
        <v>250</v>
      </c>
      <c r="B251" t="s">
        <v>320</v>
      </c>
      <c r="C251" t="s">
        <v>46</v>
      </c>
      <c r="D251">
        <v>54</v>
      </c>
      <c r="E251" t="s">
        <v>41</v>
      </c>
      <c r="F251" t="s">
        <v>96</v>
      </c>
      <c r="G251">
        <v>23000</v>
      </c>
      <c r="H251" s="1">
        <v>43727</v>
      </c>
      <c r="I251">
        <v>7</v>
      </c>
      <c r="J251" t="s">
        <v>53</v>
      </c>
      <c r="K251">
        <v>66.3</v>
      </c>
      <c r="L251">
        <v>99.1</v>
      </c>
      <c r="M251">
        <v>14</v>
      </c>
      <c r="N251" s="3">
        <v>16</v>
      </c>
      <c r="O251" s="3" t="s">
        <v>32</v>
      </c>
      <c r="P251" s="5"/>
      <c r="Q251" s="4" t="s">
        <v>39</v>
      </c>
    </row>
    <row r="252" spans="1:17">
      <c r="A252">
        <v>251</v>
      </c>
      <c r="B252" t="s">
        <v>321</v>
      </c>
      <c r="C252" t="s">
        <v>28</v>
      </c>
      <c r="D252">
        <v>44</v>
      </c>
      <c r="E252" t="s">
        <v>35</v>
      </c>
      <c r="F252" t="s">
        <v>81</v>
      </c>
      <c r="G252">
        <v>54000</v>
      </c>
      <c r="H252" s="1">
        <v>44110</v>
      </c>
      <c r="I252">
        <v>6</v>
      </c>
      <c r="J252" t="s">
        <v>49</v>
      </c>
      <c r="K252">
        <v>79.7</v>
      </c>
      <c r="L252">
        <v>94.6</v>
      </c>
      <c r="M252">
        <v>16</v>
      </c>
      <c r="N252" s="3">
        <v>0</v>
      </c>
      <c r="O252" s="3" t="s">
        <v>32</v>
      </c>
      <c r="P252" s="5"/>
      <c r="Q252" s="4" t="s">
        <v>33</v>
      </c>
    </row>
    <row r="253" spans="1:17">
      <c r="A253">
        <v>252</v>
      </c>
      <c r="B253" t="s">
        <v>322</v>
      </c>
      <c r="C253" t="s">
        <v>28</v>
      </c>
      <c r="D253">
        <v>23</v>
      </c>
      <c r="E253" t="s">
        <v>41</v>
      </c>
      <c r="F253" t="s">
        <v>42</v>
      </c>
      <c r="G253">
        <v>39000</v>
      </c>
      <c r="H253" s="1">
        <v>45398</v>
      </c>
      <c r="I253">
        <v>2.5</v>
      </c>
      <c r="J253" t="s">
        <v>43</v>
      </c>
      <c r="K253">
        <v>70.7</v>
      </c>
      <c r="L253">
        <v>98.1</v>
      </c>
      <c r="M253">
        <v>17</v>
      </c>
      <c r="N253" s="3">
        <v>13</v>
      </c>
      <c r="O253" s="3" t="s">
        <v>32</v>
      </c>
      <c r="P253" s="5"/>
      <c r="Q253" s="4" t="s">
        <v>60</v>
      </c>
    </row>
    <row r="254" spans="1:17">
      <c r="A254">
        <v>253</v>
      </c>
      <c r="B254" t="s">
        <v>323</v>
      </c>
      <c r="C254" t="s">
        <v>46</v>
      </c>
      <c r="D254">
        <v>41</v>
      </c>
      <c r="E254" t="s">
        <v>47</v>
      </c>
      <c r="F254" t="s">
        <v>48</v>
      </c>
      <c r="G254">
        <v>50000</v>
      </c>
      <c r="H254" s="1">
        <v>44577</v>
      </c>
      <c r="I254">
        <v>4.7</v>
      </c>
      <c r="J254" t="s">
        <v>37</v>
      </c>
      <c r="K254">
        <v>60.1</v>
      </c>
      <c r="L254">
        <v>93.8</v>
      </c>
      <c r="M254">
        <v>7</v>
      </c>
      <c r="N254" s="3">
        <v>16</v>
      </c>
      <c r="O254" s="3" t="s">
        <v>32</v>
      </c>
      <c r="P254" s="5"/>
      <c r="Q254" s="4" t="s">
        <v>33</v>
      </c>
    </row>
    <row r="255" spans="1:17">
      <c r="A255">
        <v>254</v>
      </c>
      <c r="B255" t="s">
        <v>324</v>
      </c>
      <c r="C255" t="s">
        <v>46</v>
      </c>
      <c r="D255">
        <v>39</v>
      </c>
      <c r="E255" t="s">
        <v>58</v>
      </c>
      <c r="F255" t="s">
        <v>136</v>
      </c>
      <c r="G255">
        <v>38000</v>
      </c>
      <c r="H255" s="1">
        <v>44738</v>
      </c>
      <c r="I255">
        <v>4.3</v>
      </c>
      <c r="J255" t="s">
        <v>98</v>
      </c>
      <c r="K255">
        <v>69.099999999999994</v>
      </c>
      <c r="L255">
        <v>91.7</v>
      </c>
      <c r="M255">
        <v>6</v>
      </c>
      <c r="N255" s="3">
        <v>9</v>
      </c>
      <c r="O255" s="3" t="s">
        <v>32</v>
      </c>
      <c r="P255" s="5"/>
      <c r="Q255" s="4" t="s">
        <v>44</v>
      </c>
    </row>
    <row r="256" spans="1:17">
      <c r="A256">
        <v>255</v>
      </c>
      <c r="B256" t="s">
        <v>325</v>
      </c>
      <c r="C256" t="s">
        <v>28</v>
      </c>
      <c r="D256">
        <v>50</v>
      </c>
      <c r="E256" t="s">
        <v>41</v>
      </c>
      <c r="F256" t="s">
        <v>96</v>
      </c>
      <c r="G256">
        <v>28000</v>
      </c>
      <c r="H256" s="1">
        <v>44974</v>
      </c>
      <c r="I256">
        <v>3.6</v>
      </c>
      <c r="J256" t="s">
        <v>37</v>
      </c>
      <c r="K256">
        <v>88.2</v>
      </c>
      <c r="L256">
        <v>85.4</v>
      </c>
      <c r="M256">
        <v>0</v>
      </c>
      <c r="N256" s="3">
        <v>13</v>
      </c>
      <c r="O256" s="3" t="s">
        <v>38</v>
      </c>
      <c r="P256" s="5">
        <v>46050</v>
      </c>
      <c r="Q256" s="4" t="s">
        <v>33</v>
      </c>
    </row>
    <row r="257" spans="1:17">
      <c r="A257">
        <v>256</v>
      </c>
      <c r="B257" t="s">
        <v>326</v>
      </c>
      <c r="C257" t="s">
        <v>46</v>
      </c>
      <c r="D257">
        <v>21</v>
      </c>
      <c r="E257" t="s">
        <v>51</v>
      </c>
      <c r="F257" t="s">
        <v>52</v>
      </c>
      <c r="G257">
        <v>36000</v>
      </c>
      <c r="H257" s="1">
        <v>44838</v>
      </c>
      <c r="I257">
        <v>4</v>
      </c>
      <c r="J257" t="s">
        <v>43</v>
      </c>
      <c r="K257">
        <v>55.1</v>
      </c>
      <c r="L257">
        <v>93.5</v>
      </c>
      <c r="M257">
        <v>6</v>
      </c>
      <c r="N257" s="3">
        <v>16</v>
      </c>
      <c r="O257" s="3" t="s">
        <v>32</v>
      </c>
      <c r="P257" s="5"/>
      <c r="Q257" s="4" t="s">
        <v>60</v>
      </c>
    </row>
    <row r="258" spans="1:17">
      <c r="A258">
        <v>257</v>
      </c>
      <c r="B258" t="s">
        <v>327</v>
      </c>
      <c r="C258" t="s">
        <v>28</v>
      </c>
      <c r="D258">
        <v>30</v>
      </c>
      <c r="E258" t="s">
        <v>58</v>
      </c>
      <c r="F258" t="s">
        <v>59</v>
      </c>
      <c r="G258">
        <v>73000</v>
      </c>
      <c r="H258" s="1">
        <v>44612</v>
      </c>
      <c r="I258">
        <v>4.5999999999999996</v>
      </c>
      <c r="J258" t="s">
        <v>53</v>
      </c>
      <c r="K258">
        <v>93.6</v>
      </c>
      <c r="L258">
        <v>91.1</v>
      </c>
      <c r="M258">
        <v>23</v>
      </c>
      <c r="N258" s="3">
        <v>2</v>
      </c>
      <c r="O258" s="3" t="s">
        <v>32</v>
      </c>
      <c r="P258" s="5"/>
      <c r="Q258" s="4" t="s">
        <v>44</v>
      </c>
    </row>
    <row r="259" spans="1:17">
      <c r="A259">
        <v>258</v>
      </c>
      <c r="B259" t="s">
        <v>328</v>
      </c>
      <c r="C259" t="s">
        <v>46</v>
      </c>
      <c r="D259">
        <v>25</v>
      </c>
      <c r="E259" t="s">
        <v>35</v>
      </c>
      <c r="F259" t="s">
        <v>36</v>
      </c>
      <c r="G259">
        <v>70000</v>
      </c>
      <c r="H259" s="1">
        <v>45890</v>
      </c>
      <c r="I259">
        <v>1.1000000000000001</v>
      </c>
      <c r="J259" t="s">
        <v>37</v>
      </c>
      <c r="K259">
        <v>79.400000000000006</v>
      </c>
      <c r="L259">
        <v>89.6</v>
      </c>
      <c r="M259">
        <v>9</v>
      </c>
      <c r="N259" s="3">
        <v>8</v>
      </c>
      <c r="O259" s="3" t="s">
        <v>32</v>
      </c>
      <c r="P259" s="5"/>
      <c r="Q259" s="4" t="s">
        <v>39</v>
      </c>
    </row>
    <row r="260" spans="1:17">
      <c r="A260">
        <v>259</v>
      </c>
      <c r="B260" t="s">
        <v>329</v>
      </c>
      <c r="C260" t="s">
        <v>46</v>
      </c>
      <c r="D260">
        <v>41</v>
      </c>
      <c r="E260" t="s">
        <v>41</v>
      </c>
      <c r="F260" t="s">
        <v>96</v>
      </c>
      <c r="G260">
        <v>35000</v>
      </c>
      <c r="H260" s="1">
        <v>45320</v>
      </c>
      <c r="I260">
        <v>2.7</v>
      </c>
      <c r="J260" t="s">
        <v>37</v>
      </c>
      <c r="K260">
        <v>63.7</v>
      </c>
      <c r="L260">
        <v>95.6</v>
      </c>
      <c r="M260">
        <v>3</v>
      </c>
      <c r="N260" s="3">
        <v>5</v>
      </c>
      <c r="O260" s="3" t="s">
        <v>38</v>
      </c>
      <c r="P260" s="5">
        <v>46190</v>
      </c>
      <c r="Q260" s="4" t="s">
        <v>75</v>
      </c>
    </row>
    <row r="261" spans="1:17">
      <c r="A261">
        <v>260</v>
      </c>
      <c r="B261" t="s">
        <v>330</v>
      </c>
      <c r="C261" t="s">
        <v>46</v>
      </c>
      <c r="D261">
        <v>28</v>
      </c>
      <c r="E261" t="s">
        <v>58</v>
      </c>
      <c r="F261" t="s">
        <v>59</v>
      </c>
      <c r="G261">
        <v>56000</v>
      </c>
      <c r="H261" s="1">
        <v>45661</v>
      </c>
      <c r="I261">
        <v>1.8</v>
      </c>
      <c r="J261" t="s">
        <v>98</v>
      </c>
      <c r="K261">
        <v>70.400000000000006</v>
      </c>
      <c r="L261">
        <v>95.5</v>
      </c>
      <c r="M261">
        <v>14</v>
      </c>
      <c r="N261" s="3">
        <v>8</v>
      </c>
      <c r="O261" s="3" t="s">
        <v>32</v>
      </c>
      <c r="P261" s="5"/>
      <c r="Q261" s="4" t="s">
        <v>33</v>
      </c>
    </row>
    <row r="262" spans="1:17">
      <c r="A262">
        <v>261</v>
      </c>
      <c r="B262" t="s">
        <v>331</v>
      </c>
      <c r="C262" t="s">
        <v>46</v>
      </c>
      <c r="D262">
        <v>23</v>
      </c>
      <c r="E262" t="s">
        <v>35</v>
      </c>
      <c r="F262" t="s">
        <v>36</v>
      </c>
      <c r="G262">
        <v>60000</v>
      </c>
      <c r="H262" s="1">
        <v>44346</v>
      </c>
      <c r="I262">
        <v>5.4</v>
      </c>
      <c r="J262" t="s">
        <v>53</v>
      </c>
      <c r="K262">
        <v>58.9</v>
      </c>
      <c r="L262">
        <v>86.3</v>
      </c>
      <c r="M262">
        <v>16</v>
      </c>
      <c r="N262" s="3">
        <v>1</v>
      </c>
      <c r="O262" s="3" t="s">
        <v>32</v>
      </c>
      <c r="P262" s="5"/>
      <c r="Q262" s="4" t="s">
        <v>39</v>
      </c>
    </row>
    <row r="263" spans="1:17">
      <c r="A263">
        <v>262</v>
      </c>
      <c r="B263" t="s">
        <v>332</v>
      </c>
      <c r="C263" t="s">
        <v>28</v>
      </c>
      <c r="D263">
        <v>46</v>
      </c>
      <c r="E263" t="s">
        <v>47</v>
      </c>
      <c r="F263" t="s">
        <v>48</v>
      </c>
      <c r="G263">
        <v>37000</v>
      </c>
      <c r="H263" s="1">
        <v>45318</v>
      </c>
      <c r="I263">
        <v>2.7</v>
      </c>
      <c r="J263" t="s">
        <v>53</v>
      </c>
      <c r="K263">
        <v>78.900000000000006</v>
      </c>
      <c r="L263">
        <v>91.6</v>
      </c>
      <c r="M263">
        <v>3</v>
      </c>
      <c r="N263" s="3">
        <v>4</v>
      </c>
      <c r="O263" s="3" t="s">
        <v>32</v>
      </c>
      <c r="P263" s="5"/>
      <c r="Q263" s="4" t="s">
        <v>33</v>
      </c>
    </row>
    <row r="264" spans="1:17">
      <c r="A264">
        <v>263</v>
      </c>
      <c r="B264" t="s">
        <v>333</v>
      </c>
      <c r="C264" t="s">
        <v>28</v>
      </c>
      <c r="D264">
        <v>29</v>
      </c>
      <c r="E264" t="s">
        <v>35</v>
      </c>
      <c r="F264" t="s">
        <v>69</v>
      </c>
      <c r="G264">
        <v>60000</v>
      </c>
      <c r="H264" s="1">
        <v>44277</v>
      </c>
      <c r="I264">
        <v>5.5</v>
      </c>
      <c r="J264" t="s">
        <v>98</v>
      </c>
      <c r="K264">
        <v>82.1</v>
      </c>
      <c r="L264">
        <v>93.3</v>
      </c>
      <c r="M264">
        <v>2</v>
      </c>
      <c r="N264" s="3">
        <v>0</v>
      </c>
      <c r="O264" s="3" t="s">
        <v>38</v>
      </c>
      <c r="P264" s="5">
        <v>45701</v>
      </c>
      <c r="Q264" s="4" t="s">
        <v>33</v>
      </c>
    </row>
    <row r="265" spans="1:17">
      <c r="A265">
        <v>264</v>
      </c>
      <c r="B265" t="s">
        <v>334</v>
      </c>
      <c r="C265" t="s">
        <v>46</v>
      </c>
      <c r="D265">
        <v>29</v>
      </c>
      <c r="E265" t="s">
        <v>51</v>
      </c>
      <c r="F265" t="s">
        <v>52</v>
      </c>
      <c r="G265">
        <v>34000</v>
      </c>
      <c r="H265" s="1">
        <v>43842</v>
      </c>
      <c r="I265">
        <v>6.7</v>
      </c>
      <c r="J265" t="s">
        <v>43</v>
      </c>
      <c r="K265">
        <v>93.9</v>
      </c>
      <c r="L265">
        <v>96.5</v>
      </c>
      <c r="M265">
        <v>1</v>
      </c>
      <c r="N265" s="3">
        <v>14</v>
      </c>
      <c r="O265" s="3" t="s">
        <v>32</v>
      </c>
      <c r="P265" s="5"/>
      <c r="Q265" s="4" t="s">
        <v>33</v>
      </c>
    </row>
    <row r="266" spans="1:17">
      <c r="A266">
        <v>265</v>
      </c>
      <c r="B266" t="s">
        <v>335</v>
      </c>
      <c r="C266" t="s">
        <v>46</v>
      </c>
      <c r="D266">
        <v>46</v>
      </c>
      <c r="E266" t="s">
        <v>51</v>
      </c>
      <c r="F266" t="s">
        <v>52</v>
      </c>
      <c r="G266">
        <v>55000</v>
      </c>
      <c r="H266" s="1">
        <v>45498</v>
      </c>
      <c r="I266">
        <v>2.2000000000000002</v>
      </c>
      <c r="J266" t="s">
        <v>98</v>
      </c>
      <c r="K266">
        <v>62.4</v>
      </c>
      <c r="L266">
        <v>85.8</v>
      </c>
      <c r="M266">
        <v>8</v>
      </c>
      <c r="N266" s="3">
        <v>14</v>
      </c>
      <c r="O266" s="3" t="s">
        <v>32</v>
      </c>
      <c r="P266" s="5"/>
      <c r="Q266" s="4" t="s">
        <v>60</v>
      </c>
    </row>
    <row r="267" spans="1:17">
      <c r="A267">
        <v>266</v>
      </c>
      <c r="B267" t="s">
        <v>336</v>
      </c>
      <c r="C267" t="s">
        <v>46</v>
      </c>
      <c r="D267">
        <v>52</v>
      </c>
      <c r="E267" t="s">
        <v>35</v>
      </c>
      <c r="F267" t="s">
        <v>36</v>
      </c>
      <c r="G267">
        <v>58000</v>
      </c>
      <c r="H267" s="1">
        <v>45153</v>
      </c>
      <c r="I267">
        <v>3.1</v>
      </c>
      <c r="J267" t="s">
        <v>98</v>
      </c>
      <c r="K267">
        <v>93</v>
      </c>
      <c r="L267">
        <v>90.4</v>
      </c>
      <c r="M267">
        <v>12</v>
      </c>
      <c r="N267" s="3">
        <v>4</v>
      </c>
      <c r="O267" s="3" t="s">
        <v>32</v>
      </c>
      <c r="P267" s="5"/>
      <c r="Q267" s="4" t="s">
        <v>75</v>
      </c>
    </row>
    <row r="268" spans="1:17">
      <c r="A268">
        <v>267</v>
      </c>
      <c r="B268" t="s">
        <v>337</v>
      </c>
      <c r="C268" t="s">
        <v>28</v>
      </c>
      <c r="D268">
        <v>55</v>
      </c>
      <c r="E268" t="s">
        <v>51</v>
      </c>
      <c r="F268" t="s">
        <v>52</v>
      </c>
      <c r="G268">
        <v>58000</v>
      </c>
      <c r="H268" s="1">
        <v>43545</v>
      </c>
      <c r="I268">
        <v>7.5</v>
      </c>
      <c r="J268" t="s">
        <v>98</v>
      </c>
      <c r="K268">
        <v>70.400000000000006</v>
      </c>
      <c r="L268">
        <v>91.5</v>
      </c>
      <c r="M268">
        <v>18</v>
      </c>
      <c r="N268" s="3">
        <v>16</v>
      </c>
      <c r="O268" s="3" t="s">
        <v>32</v>
      </c>
      <c r="P268" s="5"/>
      <c r="Q268" s="4" t="s">
        <v>39</v>
      </c>
    </row>
    <row r="269" spans="1:17">
      <c r="A269">
        <v>268</v>
      </c>
      <c r="B269" t="s">
        <v>338</v>
      </c>
      <c r="C269" t="s">
        <v>28</v>
      </c>
      <c r="D269">
        <v>22</v>
      </c>
      <c r="E269" t="s">
        <v>58</v>
      </c>
      <c r="F269" t="s">
        <v>59</v>
      </c>
      <c r="G269">
        <v>50000</v>
      </c>
      <c r="H269" s="1">
        <v>44772</v>
      </c>
      <c r="I269">
        <v>4.2</v>
      </c>
      <c r="J269" t="s">
        <v>43</v>
      </c>
      <c r="K269">
        <v>80.7</v>
      </c>
      <c r="L269">
        <v>82.5</v>
      </c>
      <c r="M269">
        <v>15</v>
      </c>
      <c r="N269" s="3">
        <v>16</v>
      </c>
      <c r="O269" s="3" t="s">
        <v>32</v>
      </c>
      <c r="P269" s="5"/>
      <c r="Q269" s="4" t="s">
        <v>39</v>
      </c>
    </row>
    <row r="270" spans="1:17">
      <c r="A270">
        <v>269</v>
      </c>
      <c r="B270" t="s">
        <v>339</v>
      </c>
      <c r="C270" t="s">
        <v>28</v>
      </c>
      <c r="D270">
        <v>31</v>
      </c>
      <c r="E270" t="s">
        <v>41</v>
      </c>
      <c r="F270" t="s">
        <v>71</v>
      </c>
      <c r="G270">
        <v>36000</v>
      </c>
      <c r="H270" s="1">
        <v>43876</v>
      </c>
      <c r="I270">
        <v>6.6</v>
      </c>
      <c r="J270" t="s">
        <v>37</v>
      </c>
      <c r="K270">
        <v>77.900000000000006</v>
      </c>
      <c r="L270">
        <v>95.8</v>
      </c>
      <c r="M270">
        <v>18</v>
      </c>
      <c r="N270" s="3">
        <v>12</v>
      </c>
      <c r="O270" s="3" t="s">
        <v>32</v>
      </c>
      <c r="P270" s="5"/>
      <c r="Q270" s="4" t="s">
        <v>39</v>
      </c>
    </row>
    <row r="271" spans="1:17">
      <c r="A271">
        <v>270</v>
      </c>
      <c r="B271" t="s">
        <v>340</v>
      </c>
      <c r="C271" t="s">
        <v>28</v>
      </c>
      <c r="D271">
        <v>36</v>
      </c>
      <c r="E271" t="s">
        <v>41</v>
      </c>
      <c r="F271" t="s">
        <v>42</v>
      </c>
      <c r="G271">
        <v>41000</v>
      </c>
      <c r="H271" s="1">
        <v>45892</v>
      </c>
      <c r="I271">
        <v>1.1000000000000001</v>
      </c>
      <c r="J271" t="s">
        <v>31</v>
      </c>
      <c r="K271">
        <v>68.7</v>
      </c>
      <c r="L271">
        <v>94.9</v>
      </c>
      <c r="M271">
        <v>0</v>
      </c>
      <c r="N271" s="3">
        <v>11</v>
      </c>
      <c r="O271" s="3" t="s">
        <v>32</v>
      </c>
      <c r="P271" s="5"/>
      <c r="Q271" s="4" t="s">
        <v>44</v>
      </c>
    </row>
    <row r="272" spans="1:17">
      <c r="A272">
        <v>271</v>
      </c>
      <c r="B272" t="s">
        <v>341</v>
      </c>
      <c r="C272" t="s">
        <v>28</v>
      </c>
      <c r="D272">
        <v>52</v>
      </c>
      <c r="E272" t="s">
        <v>85</v>
      </c>
      <c r="F272" t="s">
        <v>103</v>
      </c>
      <c r="G272">
        <v>39000</v>
      </c>
      <c r="H272" s="1">
        <v>45686</v>
      </c>
      <c r="I272">
        <v>1.7</v>
      </c>
      <c r="J272" t="s">
        <v>43</v>
      </c>
      <c r="K272">
        <v>58.9</v>
      </c>
      <c r="L272">
        <v>86.1</v>
      </c>
      <c r="M272">
        <v>16</v>
      </c>
      <c r="N272" s="3">
        <v>15</v>
      </c>
      <c r="O272" s="3" t="s">
        <v>32</v>
      </c>
      <c r="P272" s="5"/>
      <c r="Q272" s="4" t="s">
        <v>33</v>
      </c>
    </row>
    <row r="273" spans="1:17">
      <c r="A273">
        <v>272</v>
      </c>
      <c r="B273" t="s">
        <v>342</v>
      </c>
      <c r="C273" t="s">
        <v>28</v>
      </c>
      <c r="D273">
        <v>29</v>
      </c>
      <c r="E273" t="s">
        <v>47</v>
      </c>
      <c r="F273" t="s">
        <v>64</v>
      </c>
      <c r="G273">
        <v>55000</v>
      </c>
      <c r="H273" s="1">
        <v>44861</v>
      </c>
      <c r="I273">
        <v>3.9</v>
      </c>
      <c r="J273" t="s">
        <v>43</v>
      </c>
      <c r="K273">
        <v>85.8</v>
      </c>
      <c r="L273">
        <v>98.1</v>
      </c>
      <c r="M273">
        <v>0</v>
      </c>
      <c r="N273" s="3">
        <v>4</v>
      </c>
      <c r="O273" s="3" t="s">
        <v>32</v>
      </c>
      <c r="P273" s="5"/>
      <c r="Q273" s="4" t="s">
        <v>44</v>
      </c>
    </row>
    <row r="274" spans="1:17">
      <c r="A274">
        <v>273</v>
      </c>
      <c r="B274" t="s">
        <v>343</v>
      </c>
      <c r="C274" t="s">
        <v>28</v>
      </c>
      <c r="D274">
        <v>54</v>
      </c>
      <c r="E274" t="s">
        <v>29</v>
      </c>
      <c r="F274" t="s">
        <v>30</v>
      </c>
      <c r="G274">
        <v>55000</v>
      </c>
      <c r="H274" s="1">
        <v>44960</v>
      </c>
      <c r="I274">
        <v>3.7</v>
      </c>
      <c r="J274" t="s">
        <v>98</v>
      </c>
      <c r="K274">
        <v>95.5</v>
      </c>
      <c r="L274">
        <v>88.9</v>
      </c>
      <c r="M274">
        <v>9</v>
      </c>
      <c r="N274" s="3">
        <v>10</v>
      </c>
      <c r="O274" s="3" t="s">
        <v>32</v>
      </c>
      <c r="P274" s="5"/>
      <c r="Q274" s="4" t="s">
        <v>60</v>
      </c>
    </row>
    <row r="275" spans="1:17">
      <c r="A275">
        <v>274</v>
      </c>
      <c r="B275" t="s">
        <v>344</v>
      </c>
      <c r="C275" t="s">
        <v>46</v>
      </c>
      <c r="D275">
        <v>52</v>
      </c>
      <c r="E275" t="s">
        <v>51</v>
      </c>
      <c r="F275" t="s">
        <v>52</v>
      </c>
      <c r="G275">
        <v>39000</v>
      </c>
      <c r="H275" s="1">
        <v>46125</v>
      </c>
      <c r="I275">
        <v>0.5</v>
      </c>
      <c r="J275" t="s">
        <v>49</v>
      </c>
      <c r="K275">
        <v>68.599999999999994</v>
      </c>
      <c r="L275">
        <v>94.4</v>
      </c>
      <c r="M275">
        <v>19</v>
      </c>
      <c r="N275" s="3">
        <v>11</v>
      </c>
      <c r="O275" s="3" t="s">
        <v>32</v>
      </c>
      <c r="P275" s="5"/>
      <c r="Q275" s="4" t="s">
        <v>60</v>
      </c>
    </row>
    <row r="276" spans="1:17">
      <c r="A276">
        <v>275</v>
      </c>
      <c r="B276" t="s">
        <v>345</v>
      </c>
      <c r="C276" t="s">
        <v>28</v>
      </c>
      <c r="D276">
        <v>45</v>
      </c>
      <c r="E276" t="s">
        <v>29</v>
      </c>
      <c r="F276" t="s">
        <v>66</v>
      </c>
      <c r="G276">
        <v>45000</v>
      </c>
      <c r="H276" s="1">
        <v>44722</v>
      </c>
      <c r="I276">
        <v>4.3</v>
      </c>
      <c r="J276" t="s">
        <v>31</v>
      </c>
      <c r="K276">
        <v>62.6</v>
      </c>
      <c r="L276">
        <v>82</v>
      </c>
      <c r="M276">
        <v>1</v>
      </c>
      <c r="N276" s="3">
        <v>5</v>
      </c>
      <c r="O276" s="3" t="s">
        <v>38</v>
      </c>
      <c r="P276" s="5">
        <v>45901</v>
      </c>
      <c r="Q276" s="4" t="s">
        <v>44</v>
      </c>
    </row>
    <row r="277" spans="1:17">
      <c r="A277">
        <v>276</v>
      </c>
      <c r="B277" t="s">
        <v>346</v>
      </c>
      <c r="C277" t="s">
        <v>28</v>
      </c>
      <c r="D277">
        <v>57</v>
      </c>
      <c r="E277" t="s">
        <v>47</v>
      </c>
      <c r="F277" t="s">
        <v>64</v>
      </c>
      <c r="G277">
        <v>36000</v>
      </c>
      <c r="H277" s="1">
        <v>43892</v>
      </c>
      <c r="I277">
        <v>6.6</v>
      </c>
      <c r="J277" t="s">
        <v>37</v>
      </c>
      <c r="K277">
        <v>95.3</v>
      </c>
      <c r="L277">
        <v>84.5</v>
      </c>
      <c r="M277">
        <v>11</v>
      </c>
      <c r="N277" s="3">
        <v>10</v>
      </c>
      <c r="O277" s="3" t="s">
        <v>32</v>
      </c>
      <c r="P277" s="5"/>
      <c r="Q277" s="4" t="s">
        <v>60</v>
      </c>
    </row>
    <row r="278" spans="1:17">
      <c r="A278">
        <v>277</v>
      </c>
      <c r="B278" t="s">
        <v>347</v>
      </c>
      <c r="C278" t="s">
        <v>46</v>
      </c>
      <c r="D278">
        <v>49</v>
      </c>
      <c r="E278" t="s">
        <v>29</v>
      </c>
      <c r="F278" t="s">
        <v>30</v>
      </c>
      <c r="G278">
        <v>45000</v>
      </c>
      <c r="H278" s="1">
        <v>43512</v>
      </c>
      <c r="I278">
        <v>7.6</v>
      </c>
      <c r="J278" t="s">
        <v>49</v>
      </c>
      <c r="K278">
        <v>57.9</v>
      </c>
      <c r="L278">
        <v>86.5</v>
      </c>
      <c r="M278">
        <v>0</v>
      </c>
      <c r="N278" s="3">
        <v>1</v>
      </c>
      <c r="O278" s="3" t="s">
        <v>32</v>
      </c>
      <c r="P278" s="5"/>
      <c r="Q278" s="4" t="s">
        <v>75</v>
      </c>
    </row>
    <row r="279" spans="1:17">
      <c r="A279">
        <v>278</v>
      </c>
      <c r="B279" t="s">
        <v>348</v>
      </c>
      <c r="C279" t="s">
        <v>46</v>
      </c>
      <c r="D279">
        <v>31</v>
      </c>
      <c r="E279" t="s">
        <v>58</v>
      </c>
      <c r="F279" t="s">
        <v>78</v>
      </c>
      <c r="G279">
        <v>60000</v>
      </c>
      <c r="H279" s="1">
        <v>45161</v>
      </c>
      <c r="I279">
        <v>3.1</v>
      </c>
      <c r="J279" t="s">
        <v>43</v>
      </c>
      <c r="K279">
        <v>76.2</v>
      </c>
      <c r="L279">
        <v>88.6</v>
      </c>
      <c r="M279">
        <v>15</v>
      </c>
      <c r="N279" s="3">
        <v>18</v>
      </c>
      <c r="O279" s="3" t="s">
        <v>38</v>
      </c>
      <c r="P279" s="5">
        <v>45917</v>
      </c>
      <c r="Q279" s="4" t="s">
        <v>60</v>
      </c>
    </row>
    <row r="280" spans="1:17">
      <c r="A280">
        <v>279</v>
      </c>
      <c r="B280" t="s">
        <v>349</v>
      </c>
      <c r="C280" t="s">
        <v>28</v>
      </c>
      <c r="D280">
        <v>23</v>
      </c>
      <c r="E280" t="s">
        <v>51</v>
      </c>
      <c r="F280" t="s">
        <v>55</v>
      </c>
      <c r="G280">
        <v>49000</v>
      </c>
      <c r="H280" s="1">
        <v>44673</v>
      </c>
      <c r="I280">
        <v>4.5</v>
      </c>
      <c r="J280" t="s">
        <v>37</v>
      </c>
      <c r="K280">
        <v>59.5</v>
      </c>
      <c r="L280">
        <v>88</v>
      </c>
      <c r="M280">
        <v>23</v>
      </c>
      <c r="N280" s="3">
        <v>2</v>
      </c>
      <c r="O280" s="3" t="s">
        <v>32</v>
      </c>
      <c r="P280" s="5"/>
      <c r="Q280" s="4" t="s">
        <v>44</v>
      </c>
    </row>
    <row r="281" spans="1:17">
      <c r="A281">
        <v>280</v>
      </c>
      <c r="B281" t="s">
        <v>350</v>
      </c>
      <c r="C281" t="s">
        <v>46</v>
      </c>
      <c r="D281">
        <v>22</v>
      </c>
      <c r="E281" t="s">
        <v>35</v>
      </c>
      <c r="F281" t="s">
        <v>101</v>
      </c>
      <c r="G281">
        <v>56000</v>
      </c>
      <c r="H281" s="1">
        <v>45232</v>
      </c>
      <c r="I281">
        <v>2.9</v>
      </c>
      <c r="J281" t="s">
        <v>37</v>
      </c>
      <c r="K281">
        <v>95.5</v>
      </c>
      <c r="L281">
        <v>84.9</v>
      </c>
      <c r="M281">
        <v>1</v>
      </c>
      <c r="N281" s="3">
        <v>3</v>
      </c>
      <c r="O281" s="3" t="s">
        <v>32</v>
      </c>
      <c r="P281" s="5"/>
      <c r="Q281" s="4" t="s">
        <v>39</v>
      </c>
    </row>
    <row r="282" spans="1:17">
      <c r="A282">
        <v>281</v>
      </c>
      <c r="B282" t="s">
        <v>351</v>
      </c>
      <c r="C282" t="s">
        <v>46</v>
      </c>
      <c r="D282">
        <v>56</v>
      </c>
      <c r="E282" t="s">
        <v>51</v>
      </c>
      <c r="F282" t="s">
        <v>73</v>
      </c>
      <c r="G282">
        <v>41000</v>
      </c>
      <c r="H282" s="1">
        <v>45678</v>
      </c>
      <c r="I282">
        <v>1.7</v>
      </c>
      <c r="J282" t="s">
        <v>53</v>
      </c>
      <c r="K282">
        <v>65.2</v>
      </c>
      <c r="L282">
        <v>82.9</v>
      </c>
      <c r="M282">
        <v>4</v>
      </c>
      <c r="N282" s="3">
        <v>1</v>
      </c>
      <c r="O282" s="3" t="s">
        <v>38</v>
      </c>
      <c r="P282" s="5">
        <v>45739</v>
      </c>
      <c r="Q282" s="4" t="s">
        <v>39</v>
      </c>
    </row>
    <row r="283" spans="1:17">
      <c r="A283">
        <v>282</v>
      </c>
      <c r="B283" t="s">
        <v>352</v>
      </c>
      <c r="C283" t="s">
        <v>28</v>
      </c>
      <c r="D283">
        <v>39</v>
      </c>
      <c r="E283" t="s">
        <v>35</v>
      </c>
      <c r="F283" t="s">
        <v>81</v>
      </c>
      <c r="G283">
        <v>64000</v>
      </c>
      <c r="H283" s="1">
        <v>46177</v>
      </c>
      <c r="I283">
        <v>0.3</v>
      </c>
      <c r="J283" t="s">
        <v>43</v>
      </c>
      <c r="K283">
        <v>81.900000000000006</v>
      </c>
      <c r="L283">
        <v>90.4</v>
      </c>
      <c r="M283">
        <v>6</v>
      </c>
      <c r="N283" s="3">
        <v>5</v>
      </c>
      <c r="O283" s="3" t="s">
        <v>32</v>
      </c>
      <c r="P283" s="5"/>
      <c r="Q283" s="4" t="s">
        <v>39</v>
      </c>
    </row>
    <row r="284" spans="1:17">
      <c r="A284">
        <v>283</v>
      </c>
      <c r="B284" t="s">
        <v>353</v>
      </c>
      <c r="C284" t="s">
        <v>28</v>
      </c>
      <c r="D284">
        <v>40</v>
      </c>
      <c r="E284" t="s">
        <v>35</v>
      </c>
      <c r="F284" t="s">
        <v>81</v>
      </c>
      <c r="G284">
        <v>29000</v>
      </c>
      <c r="H284" s="1">
        <v>45094</v>
      </c>
      <c r="I284">
        <v>3.3</v>
      </c>
      <c r="J284" t="s">
        <v>37</v>
      </c>
      <c r="K284">
        <v>66.400000000000006</v>
      </c>
      <c r="L284">
        <v>93.2</v>
      </c>
      <c r="M284">
        <v>11</v>
      </c>
      <c r="N284" s="3">
        <v>12</v>
      </c>
      <c r="O284" s="3" t="s">
        <v>32</v>
      </c>
      <c r="P284" s="5"/>
      <c r="Q284" s="4" t="s">
        <v>39</v>
      </c>
    </row>
    <row r="285" spans="1:17">
      <c r="A285">
        <v>284</v>
      </c>
      <c r="B285" t="s">
        <v>354</v>
      </c>
      <c r="C285" t="s">
        <v>28</v>
      </c>
      <c r="D285">
        <v>37</v>
      </c>
      <c r="E285" t="s">
        <v>51</v>
      </c>
      <c r="F285" t="s">
        <v>55</v>
      </c>
      <c r="G285">
        <v>45000</v>
      </c>
      <c r="H285" s="1">
        <v>45267</v>
      </c>
      <c r="I285">
        <v>2.8</v>
      </c>
      <c r="J285" t="s">
        <v>31</v>
      </c>
      <c r="K285">
        <v>75</v>
      </c>
      <c r="L285">
        <v>86</v>
      </c>
      <c r="M285">
        <v>1</v>
      </c>
      <c r="N285" s="3">
        <v>4</v>
      </c>
      <c r="O285" s="3" t="s">
        <v>32</v>
      </c>
      <c r="P285" s="5"/>
      <c r="Q285" s="4" t="s">
        <v>33</v>
      </c>
    </row>
    <row r="286" spans="1:17">
      <c r="A286">
        <v>285</v>
      </c>
      <c r="B286" t="s">
        <v>355</v>
      </c>
      <c r="C286" t="s">
        <v>46</v>
      </c>
      <c r="D286">
        <v>58</v>
      </c>
      <c r="E286" t="s">
        <v>35</v>
      </c>
      <c r="F286" t="s">
        <v>101</v>
      </c>
      <c r="G286">
        <v>33000</v>
      </c>
      <c r="H286" s="1">
        <v>44397</v>
      </c>
      <c r="I286">
        <v>5.2</v>
      </c>
      <c r="J286" t="s">
        <v>31</v>
      </c>
      <c r="K286">
        <v>90.2</v>
      </c>
      <c r="L286">
        <v>89.3</v>
      </c>
      <c r="M286">
        <v>7</v>
      </c>
      <c r="N286" s="3">
        <v>15</v>
      </c>
      <c r="O286" s="3" t="s">
        <v>38</v>
      </c>
      <c r="P286" s="5">
        <v>45815</v>
      </c>
      <c r="Q286" s="4" t="s">
        <v>39</v>
      </c>
    </row>
    <row r="287" spans="1:17">
      <c r="A287">
        <v>286</v>
      </c>
      <c r="B287" t="s">
        <v>356</v>
      </c>
      <c r="C287" t="s">
        <v>28</v>
      </c>
      <c r="D287">
        <v>53</v>
      </c>
      <c r="E287" t="s">
        <v>35</v>
      </c>
      <c r="F287" t="s">
        <v>81</v>
      </c>
      <c r="G287">
        <v>47000</v>
      </c>
      <c r="H287" s="1">
        <v>45805</v>
      </c>
      <c r="I287">
        <v>1.4</v>
      </c>
      <c r="J287" t="s">
        <v>43</v>
      </c>
      <c r="K287">
        <v>93.7</v>
      </c>
      <c r="L287">
        <v>96</v>
      </c>
      <c r="M287">
        <v>24</v>
      </c>
      <c r="N287" s="3">
        <v>14</v>
      </c>
      <c r="O287" s="3" t="s">
        <v>38</v>
      </c>
      <c r="P287" s="5">
        <v>46151</v>
      </c>
      <c r="Q287" s="4" t="s">
        <v>60</v>
      </c>
    </row>
    <row r="288" spans="1:17">
      <c r="A288">
        <v>287</v>
      </c>
      <c r="B288" t="s">
        <v>357</v>
      </c>
      <c r="C288" t="s">
        <v>28</v>
      </c>
      <c r="D288">
        <v>29</v>
      </c>
      <c r="E288" t="s">
        <v>51</v>
      </c>
      <c r="F288" t="s">
        <v>73</v>
      </c>
      <c r="G288">
        <v>18000</v>
      </c>
      <c r="H288" s="1">
        <v>43640</v>
      </c>
      <c r="I288">
        <v>7.3</v>
      </c>
      <c r="J288" t="s">
        <v>31</v>
      </c>
      <c r="K288">
        <v>73.7</v>
      </c>
      <c r="L288">
        <v>99.5</v>
      </c>
      <c r="M288">
        <v>8</v>
      </c>
      <c r="N288" s="3">
        <v>10</v>
      </c>
      <c r="O288" s="3" t="s">
        <v>32</v>
      </c>
      <c r="P288" s="5"/>
      <c r="Q288" s="4" t="s">
        <v>33</v>
      </c>
    </row>
    <row r="289" spans="1:17">
      <c r="A289">
        <v>288</v>
      </c>
      <c r="B289" t="s">
        <v>358</v>
      </c>
      <c r="C289" t="s">
        <v>46</v>
      </c>
      <c r="D289">
        <v>56</v>
      </c>
      <c r="E289" t="s">
        <v>35</v>
      </c>
      <c r="F289" t="s">
        <v>81</v>
      </c>
      <c r="G289">
        <v>71000</v>
      </c>
      <c r="H289" s="1">
        <v>44801</v>
      </c>
      <c r="I289">
        <v>4.0999999999999996</v>
      </c>
      <c r="J289" t="s">
        <v>49</v>
      </c>
      <c r="K289">
        <v>91.8</v>
      </c>
      <c r="L289">
        <v>91.1</v>
      </c>
      <c r="M289">
        <v>19</v>
      </c>
      <c r="N289" s="3">
        <v>18</v>
      </c>
      <c r="O289" s="3" t="s">
        <v>32</v>
      </c>
      <c r="P289" s="5"/>
      <c r="Q289" s="4" t="s">
        <v>44</v>
      </c>
    </row>
    <row r="290" spans="1:17">
      <c r="A290">
        <v>289</v>
      </c>
      <c r="B290" t="s">
        <v>359</v>
      </c>
      <c r="C290" t="s">
        <v>28</v>
      </c>
      <c r="D290">
        <v>47</v>
      </c>
      <c r="E290" t="s">
        <v>41</v>
      </c>
      <c r="F290" t="s">
        <v>96</v>
      </c>
      <c r="G290">
        <v>42000</v>
      </c>
      <c r="H290" s="1">
        <v>44078</v>
      </c>
      <c r="I290">
        <v>6.1</v>
      </c>
      <c r="J290" t="s">
        <v>31</v>
      </c>
      <c r="K290">
        <v>87.6</v>
      </c>
      <c r="L290">
        <v>98.4</v>
      </c>
      <c r="M290">
        <v>24</v>
      </c>
      <c r="N290" s="3">
        <v>3</v>
      </c>
      <c r="O290" s="3" t="s">
        <v>32</v>
      </c>
      <c r="P290" s="5"/>
      <c r="Q290" s="4" t="s">
        <v>39</v>
      </c>
    </row>
    <row r="291" spans="1:17">
      <c r="A291">
        <v>290</v>
      </c>
      <c r="B291" t="s">
        <v>360</v>
      </c>
      <c r="C291" t="s">
        <v>46</v>
      </c>
      <c r="D291">
        <v>47</v>
      </c>
      <c r="E291" t="s">
        <v>41</v>
      </c>
      <c r="F291" t="s">
        <v>71</v>
      </c>
      <c r="G291">
        <v>44000</v>
      </c>
      <c r="H291" s="1">
        <v>44547</v>
      </c>
      <c r="I291">
        <v>4.8</v>
      </c>
      <c r="J291" t="s">
        <v>43</v>
      </c>
      <c r="K291">
        <v>71.5</v>
      </c>
      <c r="L291">
        <v>90.5</v>
      </c>
      <c r="M291">
        <v>5</v>
      </c>
      <c r="N291" s="3">
        <v>8</v>
      </c>
      <c r="O291" s="3" t="s">
        <v>38</v>
      </c>
      <c r="P291" s="5">
        <v>45817</v>
      </c>
      <c r="Q291" s="4" t="s">
        <v>75</v>
      </c>
    </row>
    <row r="292" spans="1:17">
      <c r="A292">
        <v>291</v>
      </c>
      <c r="B292" t="s">
        <v>361</v>
      </c>
      <c r="C292" t="s">
        <v>46</v>
      </c>
      <c r="D292">
        <v>23</v>
      </c>
      <c r="E292" t="s">
        <v>51</v>
      </c>
      <c r="F292" t="s">
        <v>52</v>
      </c>
      <c r="G292">
        <v>48000</v>
      </c>
      <c r="H292" s="1">
        <v>45087</v>
      </c>
      <c r="I292">
        <v>3.3</v>
      </c>
      <c r="J292" t="s">
        <v>98</v>
      </c>
      <c r="K292">
        <v>65.2</v>
      </c>
      <c r="L292">
        <v>95.1</v>
      </c>
      <c r="M292">
        <v>0</v>
      </c>
      <c r="N292" s="3">
        <v>10</v>
      </c>
      <c r="O292" s="3" t="s">
        <v>32</v>
      </c>
      <c r="P292" s="5"/>
      <c r="Q292" s="4" t="s">
        <v>39</v>
      </c>
    </row>
    <row r="293" spans="1:17">
      <c r="A293">
        <v>292</v>
      </c>
      <c r="B293" t="s">
        <v>362</v>
      </c>
      <c r="C293" t="s">
        <v>46</v>
      </c>
      <c r="D293">
        <v>27</v>
      </c>
      <c r="E293" t="s">
        <v>47</v>
      </c>
      <c r="F293" t="s">
        <v>89</v>
      </c>
      <c r="G293">
        <v>39000</v>
      </c>
      <c r="H293" s="1">
        <v>44399</v>
      </c>
      <c r="I293">
        <v>5.2</v>
      </c>
      <c r="J293" t="s">
        <v>98</v>
      </c>
      <c r="K293">
        <v>60.8</v>
      </c>
      <c r="L293">
        <v>99</v>
      </c>
      <c r="M293">
        <v>8</v>
      </c>
      <c r="N293" s="3">
        <v>13</v>
      </c>
      <c r="O293" s="3" t="s">
        <v>32</v>
      </c>
      <c r="P293" s="5"/>
      <c r="Q293" s="4" t="s">
        <v>44</v>
      </c>
    </row>
    <row r="294" spans="1:17">
      <c r="A294">
        <v>293</v>
      </c>
      <c r="B294" t="s">
        <v>363</v>
      </c>
      <c r="C294" t="s">
        <v>28</v>
      </c>
      <c r="D294">
        <v>49</v>
      </c>
      <c r="E294" t="s">
        <v>29</v>
      </c>
      <c r="F294" t="s">
        <v>30</v>
      </c>
      <c r="G294">
        <v>54000</v>
      </c>
      <c r="H294" s="1">
        <v>44331</v>
      </c>
      <c r="I294">
        <v>5.4</v>
      </c>
      <c r="J294" t="s">
        <v>43</v>
      </c>
      <c r="K294">
        <v>75.8</v>
      </c>
      <c r="L294">
        <v>91</v>
      </c>
      <c r="M294">
        <v>16</v>
      </c>
      <c r="N294" s="3">
        <v>5</v>
      </c>
      <c r="O294" s="3" t="s">
        <v>32</v>
      </c>
      <c r="P294" s="5"/>
      <c r="Q294" s="4" t="s">
        <v>33</v>
      </c>
    </row>
    <row r="295" spans="1:17">
      <c r="A295">
        <v>294</v>
      </c>
      <c r="B295" t="s">
        <v>364</v>
      </c>
      <c r="C295" t="s">
        <v>46</v>
      </c>
      <c r="D295">
        <v>29</v>
      </c>
      <c r="E295" t="s">
        <v>47</v>
      </c>
      <c r="F295" t="s">
        <v>64</v>
      </c>
      <c r="G295">
        <v>39000</v>
      </c>
      <c r="H295" s="1">
        <v>45613</v>
      </c>
      <c r="I295">
        <v>1.9</v>
      </c>
      <c r="J295" t="s">
        <v>37</v>
      </c>
      <c r="K295">
        <v>92.8</v>
      </c>
      <c r="L295">
        <v>82.5</v>
      </c>
      <c r="M295">
        <v>1</v>
      </c>
      <c r="N295" s="3">
        <v>7</v>
      </c>
      <c r="O295" s="3" t="s">
        <v>32</v>
      </c>
      <c r="P295" s="5"/>
      <c r="Q295" s="4" t="s">
        <v>33</v>
      </c>
    </row>
    <row r="296" spans="1:17">
      <c r="A296">
        <v>295</v>
      </c>
      <c r="B296" t="s">
        <v>365</v>
      </c>
      <c r="C296" t="s">
        <v>46</v>
      </c>
      <c r="D296">
        <v>33</v>
      </c>
      <c r="E296" t="s">
        <v>58</v>
      </c>
      <c r="F296" t="s">
        <v>136</v>
      </c>
      <c r="G296">
        <v>43000</v>
      </c>
      <c r="H296" s="1">
        <v>44588</v>
      </c>
      <c r="I296">
        <v>4.7</v>
      </c>
      <c r="J296" t="s">
        <v>37</v>
      </c>
      <c r="K296">
        <v>72.099999999999994</v>
      </c>
      <c r="L296">
        <v>98.2</v>
      </c>
      <c r="M296">
        <v>11</v>
      </c>
      <c r="N296" s="3">
        <v>15</v>
      </c>
      <c r="O296" s="3" t="s">
        <v>32</v>
      </c>
      <c r="P296" s="5"/>
      <c r="Q296" s="4" t="s">
        <v>44</v>
      </c>
    </row>
    <row r="297" spans="1:17">
      <c r="A297">
        <v>296</v>
      </c>
      <c r="B297" t="s">
        <v>366</v>
      </c>
      <c r="C297" t="s">
        <v>46</v>
      </c>
      <c r="D297">
        <v>58</v>
      </c>
      <c r="E297" t="s">
        <v>58</v>
      </c>
      <c r="F297" t="s">
        <v>136</v>
      </c>
      <c r="G297">
        <v>61000</v>
      </c>
      <c r="H297" s="1">
        <v>45724</v>
      </c>
      <c r="I297">
        <v>1.6</v>
      </c>
      <c r="J297" t="s">
        <v>49</v>
      </c>
      <c r="K297">
        <v>70</v>
      </c>
      <c r="L297">
        <v>84.9</v>
      </c>
      <c r="M297">
        <v>22</v>
      </c>
      <c r="N297" s="3">
        <v>2</v>
      </c>
      <c r="O297" s="3" t="s">
        <v>32</v>
      </c>
      <c r="P297" s="5"/>
      <c r="Q297" s="4" t="s">
        <v>39</v>
      </c>
    </row>
    <row r="298" spans="1:17">
      <c r="A298">
        <v>297</v>
      </c>
      <c r="B298" t="s">
        <v>367</v>
      </c>
      <c r="C298" t="s">
        <v>28</v>
      </c>
      <c r="D298">
        <v>31</v>
      </c>
      <c r="E298" t="s">
        <v>35</v>
      </c>
      <c r="F298" t="s">
        <v>81</v>
      </c>
      <c r="G298">
        <v>56000</v>
      </c>
      <c r="H298" s="1">
        <v>45809</v>
      </c>
      <c r="I298">
        <v>1.3</v>
      </c>
      <c r="J298" t="s">
        <v>98</v>
      </c>
      <c r="K298">
        <v>64.5</v>
      </c>
      <c r="L298">
        <v>85.9</v>
      </c>
      <c r="M298">
        <v>20</v>
      </c>
      <c r="N298" s="3">
        <v>13</v>
      </c>
      <c r="O298" s="3" t="s">
        <v>32</v>
      </c>
      <c r="P298" s="5"/>
      <c r="Q298" s="4" t="s">
        <v>44</v>
      </c>
    </row>
    <row r="299" spans="1:17">
      <c r="A299">
        <v>298</v>
      </c>
      <c r="B299" t="s">
        <v>368</v>
      </c>
      <c r="C299" t="s">
        <v>46</v>
      </c>
      <c r="D299">
        <v>29</v>
      </c>
      <c r="E299" t="s">
        <v>35</v>
      </c>
      <c r="F299" t="s">
        <v>69</v>
      </c>
      <c r="G299">
        <v>46000</v>
      </c>
      <c r="H299" s="1">
        <v>46117</v>
      </c>
      <c r="I299">
        <v>0.5</v>
      </c>
      <c r="J299" t="s">
        <v>98</v>
      </c>
      <c r="K299">
        <v>62.4</v>
      </c>
      <c r="L299">
        <v>96</v>
      </c>
      <c r="M299">
        <v>19</v>
      </c>
      <c r="N299" s="3">
        <v>9</v>
      </c>
      <c r="O299" s="3" t="s">
        <v>32</v>
      </c>
      <c r="P299" s="5"/>
      <c r="Q299" s="4" t="s">
        <v>39</v>
      </c>
    </row>
    <row r="300" spans="1:17">
      <c r="A300">
        <v>299</v>
      </c>
      <c r="B300" t="s">
        <v>369</v>
      </c>
      <c r="C300" t="s">
        <v>46</v>
      </c>
      <c r="D300">
        <v>50</v>
      </c>
      <c r="E300" t="s">
        <v>58</v>
      </c>
      <c r="F300" t="s">
        <v>59</v>
      </c>
      <c r="G300">
        <v>53000</v>
      </c>
      <c r="H300" s="1">
        <v>44498</v>
      </c>
      <c r="I300">
        <v>4.9000000000000004</v>
      </c>
      <c r="J300" t="s">
        <v>43</v>
      </c>
      <c r="K300">
        <v>77.400000000000006</v>
      </c>
      <c r="L300">
        <v>92.9</v>
      </c>
      <c r="M300">
        <v>16</v>
      </c>
      <c r="N300" s="3">
        <v>11</v>
      </c>
      <c r="O300" s="3" t="s">
        <v>38</v>
      </c>
      <c r="P300" s="5">
        <v>46197</v>
      </c>
      <c r="Q300" s="4" t="s">
        <v>44</v>
      </c>
    </row>
    <row r="301" spans="1:17">
      <c r="A301">
        <v>300</v>
      </c>
      <c r="B301" t="s">
        <v>370</v>
      </c>
      <c r="C301" t="s">
        <v>46</v>
      </c>
      <c r="D301">
        <v>40</v>
      </c>
      <c r="E301" t="s">
        <v>29</v>
      </c>
      <c r="F301" t="s">
        <v>66</v>
      </c>
      <c r="G301">
        <v>54000</v>
      </c>
      <c r="H301" s="1">
        <v>46269</v>
      </c>
      <c r="I301">
        <v>0.1</v>
      </c>
      <c r="J301" t="s">
        <v>49</v>
      </c>
      <c r="K301">
        <v>59.6</v>
      </c>
      <c r="L301">
        <v>83.1</v>
      </c>
      <c r="M301">
        <v>10</v>
      </c>
      <c r="N301" s="3">
        <v>8</v>
      </c>
      <c r="O301" s="3" t="s">
        <v>32</v>
      </c>
      <c r="P301" s="5"/>
      <c r="Q301" s="4" t="s">
        <v>39</v>
      </c>
    </row>
  </sheetData>
  <pageMargins left="0.75" right="0.75" top="1" bottom="1" header="0.5" footer="0.5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9272-6BDF-403D-AB7F-80DEA9402A6E}">
  <dimension ref="A3:B7"/>
  <sheetViews>
    <sheetView workbookViewId="0">
      <selection activeCell="A4" sqref="A3:B7"/>
    </sheetView>
  </sheetViews>
  <sheetFormatPr defaultRowHeight="14.4"/>
  <cols>
    <col min="1" max="1" width="12.5546875" bestFit="1" customWidth="1"/>
    <col min="2" max="2" width="16.5546875" bestFit="1" customWidth="1"/>
  </cols>
  <sheetData>
    <row r="3" spans="1:2">
      <c r="A3" s="8" t="s">
        <v>390</v>
      </c>
      <c r="B3" t="s">
        <v>403</v>
      </c>
    </row>
    <row r="4" spans="1:2">
      <c r="A4" s="9" t="s">
        <v>381</v>
      </c>
      <c r="B4">
        <v>391</v>
      </c>
    </row>
    <row r="5" spans="1:2">
      <c r="A5" s="9" t="s">
        <v>386</v>
      </c>
      <c r="B5">
        <v>119</v>
      </c>
    </row>
    <row r="6" spans="1:2">
      <c r="A6" s="9" t="s">
        <v>385</v>
      </c>
      <c r="B6">
        <v>130</v>
      </c>
    </row>
    <row r="7" spans="1:2">
      <c r="A7" s="9" t="s">
        <v>391</v>
      </c>
      <c r="B7">
        <v>640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41"/>
  <sheetViews>
    <sheetView topLeftCell="F1" workbookViewId="0">
      <pane ySplit="1" topLeftCell="A611" activePane="bottomLeft" state="frozen"/>
      <selection activeCell="C19" sqref="C19"/>
      <selection pane="bottomLeft" activeCell="J1" sqref="J1:J1048576"/>
    </sheetView>
  </sheetViews>
  <sheetFormatPr defaultRowHeight="14.4"/>
  <cols>
    <col min="1" max="1" width="10.5546875" customWidth="1"/>
    <col min="2" max="2" width="14" customWidth="1"/>
    <col min="3" max="3" width="21" customWidth="1"/>
    <col min="4" max="4" width="17" customWidth="1"/>
    <col min="5" max="6" width="12.77734375" customWidth="1"/>
    <col min="7" max="7" width="10" customWidth="1"/>
    <col min="9" max="9" width="14.88671875" bestFit="1" customWidth="1"/>
    <col min="10" max="10" width="14.88671875" customWidth="1"/>
    <col min="11" max="11" width="15.21875" bestFit="1" customWidth="1"/>
    <col min="12" max="12" width="10.44140625" customWidth="1"/>
  </cols>
  <sheetData>
    <row r="1" spans="1:10">
      <c r="A1" s="6" t="s">
        <v>376</v>
      </c>
      <c r="B1" s="6" t="s">
        <v>10</v>
      </c>
      <c r="C1" s="6" t="s">
        <v>377</v>
      </c>
      <c r="D1" s="6" t="s">
        <v>378</v>
      </c>
      <c r="E1" s="6" t="s">
        <v>23</v>
      </c>
      <c r="F1" s="20" t="s">
        <v>14</v>
      </c>
      <c r="G1" s="6" t="s">
        <v>379</v>
      </c>
      <c r="H1" s="6" t="s">
        <v>418</v>
      </c>
      <c r="I1" s="6" t="s">
        <v>419</v>
      </c>
      <c r="J1" s="25"/>
    </row>
    <row r="2" spans="1:10">
      <c r="A2">
        <v>1</v>
      </c>
      <c r="B2">
        <v>1</v>
      </c>
      <c r="C2" s="1">
        <v>46185</v>
      </c>
      <c r="D2" t="s">
        <v>380</v>
      </c>
      <c r="E2">
        <v>4</v>
      </c>
      <c r="F2" t="str">
        <f>_xlfn.XLOOKUP(B2,Employee_Master!A:A,Employee_Master!E:E,"Not Found")</f>
        <v>Marketing</v>
      </c>
      <c r="G2" t="s">
        <v>381</v>
      </c>
      <c r="H2">
        <f t="shared" ref="H2:H65" si="0">AVERAGE(E2:E641)</f>
        <v>2.4624999999999999</v>
      </c>
      <c r="I2">
        <f t="shared" ref="I2:I65" si="1">COUNTIF(G1:G640,"Approved")/COUNTA(G1:G640)*100</f>
        <v>60.9375</v>
      </c>
    </row>
    <row r="3" spans="1:10">
      <c r="A3">
        <v>2</v>
      </c>
      <c r="B3">
        <v>1</v>
      </c>
      <c r="C3" s="1">
        <v>46066</v>
      </c>
      <c r="D3" t="s">
        <v>382</v>
      </c>
      <c r="E3">
        <v>3</v>
      </c>
      <c r="F3" t="str">
        <f>_xlfn.XLOOKUP(B3,Employee_Master!A:A,Employee_Master!E:E,"Not Found")</f>
        <v>Marketing</v>
      </c>
      <c r="G3" t="s">
        <v>381</v>
      </c>
      <c r="H3">
        <f t="shared" si="0"/>
        <v>2.460093896713615</v>
      </c>
      <c r="I3">
        <f t="shared" si="1"/>
        <v>61.09375</v>
      </c>
    </row>
    <row r="4" spans="1:10">
      <c r="A4">
        <v>3</v>
      </c>
      <c r="B4">
        <v>1</v>
      </c>
      <c r="C4" s="1">
        <v>46155</v>
      </c>
      <c r="D4" t="s">
        <v>383</v>
      </c>
      <c r="E4">
        <v>2</v>
      </c>
      <c r="F4" t="str">
        <f>_xlfn.XLOOKUP(B4,Employee_Master!A:A,Employee_Master!E:E,"Not Found")</f>
        <v>Marketing</v>
      </c>
      <c r="G4" t="s">
        <v>381</v>
      </c>
      <c r="H4">
        <f t="shared" si="0"/>
        <v>2.4592476489028212</v>
      </c>
      <c r="I4">
        <f t="shared" si="1"/>
        <v>61.032863849765263</v>
      </c>
    </row>
    <row r="5" spans="1:10">
      <c r="A5">
        <v>4</v>
      </c>
      <c r="B5">
        <v>1</v>
      </c>
      <c r="C5" s="1">
        <v>46096</v>
      </c>
      <c r="D5" t="s">
        <v>384</v>
      </c>
      <c r="E5">
        <v>1</v>
      </c>
      <c r="F5" t="str">
        <f>_xlfn.XLOOKUP(B5,Employee_Master!A:A,Employee_Master!E:E,"Not Found")</f>
        <v>Marketing</v>
      </c>
      <c r="G5" t="s">
        <v>381</v>
      </c>
      <c r="H5">
        <f t="shared" si="0"/>
        <v>2.4599686028257457</v>
      </c>
      <c r="I5">
        <f t="shared" si="1"/>
        <v>60.971786833855802</v>
      </c>
    </row>
    <row r="6" spans="1:10">
      <c r="A6">
        <v>5</v>
      </c>
      <c r="B6">
        <v>2</v>
      </c>
      <c r="C6" s="1">
        <v>46089</v>
      </c>
      <c r="D6" t="s">
        <v>383</v>
      </c>
      <c r="E6">
        <v>2</v>
      </c>
      <c r="F6" t="str">
        <f>_xlfn.XLOOKUP(B6,Employee_Master!A:A,Employee_Master!E:E,"Not Found")</f>
        <v>IT</v>
      </c>
      <c r="G6" t="s">
        <v>385</v>
      </c>
      <c r="H6">
        <f t="shared" si="0"/>
        <v>2.4622641509433962</v>
      </c>
      <c r="I6">
        <f t="shared" si="1"/>
        <v>60.910518053375199</v>
      </c>
    </row>
    <row r="7" spans="1:10">
      <c r="A7">
        <v>6</v>
      </c>
      <c r="B7">
        <v>2</v>
      </c>
      <c r="C7" s="1">
        <v>46247</v>
      </c>
      <c r="D7" t="s">
        <v>384</v>
      </c>
      <c r="E7">
        <v>2</v>
      </c>
      <c r="F7" t="str">
        <f>_xlfn.XLOOKUP(B7,Employee_Master!A:A,Employee_Master!E:E,"Not Found")</f>
        <v>IT</v>
      </c>
      <c r="G7" t="s">
        <v>381</v>
      </c>
      <c r="H7">
        <f t="shared" si="0"/>
        <v>2.4629921259842518</v>
      </c>
      <c r="I7">
        <f t="shared" si="1"/>
        <v>60.84905660377359</v>
      </c>
    </row>
    <row r="8" spans="1:10">
      <c r="A8">
        <v>7</v>
      </c>
      <c r="B8">
        <v>2</v>
      </c>
      <c r="C8" s="1">
        <v>45977</v>
      </c>
      <c r="D8" t="s">
        <v>382</v>
      </c>
      <c r="E8">
        <v>3</v>
      </c>
      <c r="F8" t="str">
        <f>_xlfn.XLOOKUP(B8,Employee_Master!A:A,Employee_Master!E:E,"Not Found")</f>
        <v>IT</v>
      </c>
      <c r="G8" t="s">
        <v>381</v>
      </c>
      <c r="H8">
        <f t="shared" si="0"/>
        <v>2.4637223974763405</v>
      </c>
      <c r="I8">
        <f t="shared" si="1"/>
        <v>60.944881889763778</v>
      </c>
    </row>
    <row r="9" spans="1:10">
      <c r="A9">
        <v>8</v>
      </c>
      <c r="B9">
        <v>2</v>
      </c>
      <c r="C9" s="1">
        <v>46105</v>
      </c>
      <c r="D9" t="s">
        <v>383</v>
      </c>
      <c r="E9">
        <v>4</v>
      </c>
      <c r="F9" t="str">
        <f>_xlfn.XLOOKUP(B9,Employee_Master!A:A,Employee_Master!E:E,"Not Found")</f>
        <v>IT</v>
      </c>
      <c r="G9" t="s">
        <v>381</v>
      </c>
      <c r="H9">
        <f t="shared" si="0"/>
        <v>2.4628751974723539</v>
      </c>
      <c r="I9">
        <f t="shared" si="1"/>
        <v>60.883280757097793</v>
      </c>
    </row>
    <row r="10" spans="1:10">
      <c r="A10">
        <v>9</v>
      </c>
      <c r="B10">
        <v>3</v>
      </c>
      <c r="C10" s="1">
        <v>45984</v>
      </c>
      <c r="D10" t="s">
        <v>383</v>
      </c>
      <c r="E10">
        <v>1</v>
      </c>
      <c r="F10" t="str">
        <f>_xlfn.XLOOKUP(B10,Employee_Master!A:A,Employee_Master!E:E,"Not Found")</f>
        <v>Customer Support</v>
      </c>
      <c r="G10" t="s">
        <v>381</v>
      </c>
      <c r="H10">
        <f t="shared" si="0"/>
        <v>2.4604430379746836</v>
      </c>
      <c r="I10">
        <f t="shared" si="1"/>
        <v>60.821484992101105</v>
      </c>
    </row>
    <row r="11" spans="1:10">
      <c r="A11">
        <v>10</v>
      </c>
      <c r="B11">
        <v>3</v>
      </c>
      <c r="C11" s="1">
        <v>46046</v>
      </c>
      <c r="D11" t="s">
        <v>382</v>
      </c>
      <c r="E11">
        <v>1</v>
      </c>
      <c r="F11" t="str">
        <f>_xlfn.XLOOKUP(B11,Employee_Master!A:A,Employee_Master!E:E,"Not Found")</f>
        <v>Customer Support</v>
      </c>
      <c r="G11" t="s">
        <v>381</v>
      </c>
      <c r="H11">
        <f t="shared" si="0"/>
        <v>2.4627575277337561</v>
      </c>
      <c r="I11">
        <f t="shared" si="1"/>
        <v>60.75949367088608</v>
      </c>
    </row>
    <row r="12" spans="1:10">
      <c r="A12">
        <v>11</v>
      </c>
      <c r="B12">
        <v>3</v>
      </c>
      <c r="C12" s="1">
        <v>46211</v>
      </c>
      <c r="D12" t="s">
        <v>380</v>
      </c>
      <c r="E12">
        <v>3</v>
      </c>
      <c r="F12" t="str">
        <f>_xlfn.XLOOKUP(B12,Employee_Master!A:A,Employee_Master!E:E,"Not Found")</f>
        <v>Customer Support</v>
      </c>
      <c r="G12" t="s">
        <v>381</v>
      </c>
      <c r="H12">
        <f t="shared" si="0"/>
        <v>2.4650793650793652</v>
      </c>
      <c r="I12">
        <f t="shared" si="1"/>
        <v>60.697305863708394</v>
      </c>
    </row>
    <row r="13" spans="1:10">
      <c r="A13">
        <v>12</v>
      </c>
      <c r="B13">
        <v>4</v>
      </c>
      <c r="C13" s="1">
        <v>46045</v>
      </c>
      <c r="D13" t="s">
        <v>380</v>
      </c>
      <c r="E13">
        <v>2</v>
      </c>
      <c r="F13" t="str">
        <f>_xlfn.XLOOKUP(B13,Employee_Master!A:A,Employee_Master!E:E,"Not Found")</f>
        <v>HR</v>
      </c>
      <c r="G13" t="s">
        <v>381</v>
      </c>
      <c r="H13">
        <f t="shared" si="0"/>
        <v>2.4642289348171702</v>
      </c>
      <c r="I13">
        <f t="shared" si="1"/>
        <v>60.634920634920633</v>
      </c>
    </row>
    <row r="14" spans="1:10">
      <c r="A14">
        <v>13</v>
      </c>
      <c r="B14">
        <v>4</v>
      </c>
      <c r="C14" s="1">
        <v>46156</v>
      </c>
      <c r="D14" t="s">
        <v>380</v>
      </c>
      <c r="E14">
        <v>2</v>
      </c>
      <c r="F14" t="str">
        <f>_xlfn.XLOOKUP(B14,Employee_Master!A:A,Employee_Master!E:E,"Not Found")</f>
        <v>HR</v>
      </c>
      <c r="G14" t="s">
        <v>381</v>
      </c>
      <c r="H14">
        <f t="shared" si="0"/>
        <v>2.4649681528662422</v>
      </c>
      <c r="I14">
        <f t="shared" si="1"/>
        <v>60.57233704292527</v>
      </c>
    </row>
    <row r="15" spans="1:10">
      <c r="A15">
        <v>14</v>
      </c>
      <c r="B15">
        <v>4</v>
      </c>
      <c r="C15" s="1">
        <v>46082</v>
      </c>
      <c r="D15" t="s">
        <v>380</v>
      </c>
      <c r="E15">
        <v>1</v>
      </c>
      <c r="F15" t="str">
        <f>_xlfn.XLOOKUP(B15,Employee_Master!A:A,Employee_Master!E:E,"Not Found")</f>
        <v>HR</v>
      </c>
      <c r="G15" t="s">
        <v>386</v>
      </c>
      <c r="H15">
        <f t="shared" si="0"/>
        <v>2.4657097288676235</v>
      </c>
      <c r="I15">
        <f t="shared" si="1"/>
        <v>60.509554140127385</v>
      </c>
    </row>
    <row r="16" spans="1:10">
      <c r="A16">
        <v>15</v>
      </c>
      <c r="B16">
        <v>5</v>
      </c>
      <c r="C16" s="1">
        <v>46155</v>
      </c>
      <c r="D16" t="s">
        <v>382</v>
      </c>
      <c r="E16">
        <v>2</v>
      </c>
      <c r="F16" t="str">
        <f>_xlfn.XLOOKUP(B16,Employee_Master!A:A,Employee_Master!E:E,"Not Found")</f>
        <v>Sales</v>
      </c>
      <c r="G16" t="s">
        <v>385</v>
      </c>
      <c r="H16">
        <f t="shared" si="0"/>
        <v>2.4680511182108624</v>
      </c>
      <c r="I16">
        <f t="shared" si="1"/>
        <v>60.446570972886761</v>
      </c>
    </row>
    <row r="17" spans="1:9">
      <c r="A17">
        <v>16</v>
      </c>
      <c r="B17">
        <v>5</v>
      </c>
      <c r="C17" s="1">
        <v>46026</v>
      </c>
      <c r="D17" t="s">
        <v>382</v>
      </c>
      <c r="E17">
        <v>4</v>
      </c>
      <c r="F17" t="str">
        <f>_xlfn.XLOOKUP(B17,Employee_Master!A:A,Employee_Master!E:E,"Not Found")</f>
        <v>Sales</v>
      </c>
      <c r="G17" t="s">
        <v>381</v>
      </c>
      <c r="H17">
        <f t="shared" si="0"/>
        <v>2.4687999999999999</v>
      </c>
      <c r="I17">
        <f t="shared" si="1"/>
        <v>60.543130990415342</v>
      </c>
    </row>
    <row r="18" spans="1:9">
      <c r="A18">
        <v>17</v>
      </c>
      <c r="B18">
        <v>5</v>
      </c>
      <c r="C18" s="1">
        <v>46292</v>
      </c>
      <c r="D18" t="s">
        <v>383</v>
      </c>
      <c r="E18">
        <v>3</v>
      </c>
      <c r="F18" t="str">
        <f>_xlfn.XLOOKUP(B18,Employee_Master!A:A,Employee_Master!E:E,"Not Found")</f>
        <v>Sales</v>
      </c>
      <c r="G18" t="s">
        <v>385</v>
      </c>
      <c r="H18">
        <f t="shared" si="0"/>
        <v>2.4663461538461537</v>
      </c>
      <c r="I18">
        <f t="shared" si="1"/>
        <v>60.640000000000008</v>
      </c>
    </row>
    <row r="19" spans="1:9">
      <c r="A19">
        <v>18</v>
      </c>
      <c r="B19">
        <v>6</v>
      </c>
      <c r="C19" s="1">
        <v>46117</v>
      </c>
      <c r="D19" t="s">
        <v>380</v>
      </c>
      <c r="E19">
        <v>3</v>
      </c>
      <c r="F19" t="str">
        <f>_xlfn.XLOOKUP(B19,Employee_Master!A:A,Employee_Master!E:E,"Not Found")</f>
        <v>Sales</v>
      </c>
      <c r="G19" t="s">
        <v>386</v>
      </c>
      <c r="H19">
        <f t="shared" si="0"/>
        <v>2.465489566613162</v>
      </c>
      <c r="I19">
        <f t="shared" si="1"/>
        <v>60.576923076923073</v>
      </c>
    </row>
    <row r="20" spans="1:9">
      <c r="A20">
        <v>19</v>
      </c>
      <c r="B20">
        <v>6</v>
      </c>
      <c r="C20" s="1">
        <v>46113</v>
      </c>
      <c r="D20" t="s">
        <v>384</v>
      </c>
      <c r="E20">
        <v>2</v>
      </c>
      <c r="F20" t="str">
        <f>_xlfn.XLOOKUP(B20,Employee_Master!A:A,Employee_Master!E:E,"Not Found")</f>
        <v>Sales</v>
      </c>
      <c r="G20" t="s">
        <v>381</v>
      </c>
      <c r="H20">
        <f t="shared" si="0"/>
        <v>2.464630225080386</v>
      </c>
      <c r="I20">
        <f t="shared" si="1"/>
        <v>60.674157303370791</v>
      </c>
    </row>
    <row r="21" spans="1:9">
      <c r="A21">
        <v>20</v>
      </c>
      <c r="B21">
        <v>7</v>
      </c>
      <c r="C21" s="1">
        <v>46206</v>
      </c>
      <c r="D21" t="s">
        <v>380</v>
      </c>
      <c r="E21">
        <v>1</v>
      </c>
      <c r="F21" t="str">
        <f>_xlfn.XLOOKUP(B21,Employee_Master!A:A,Employee_Master!E:E,"Not Found")</f>
        <v>Marketing</v>
      </c>
      <c r="G21" t="s">
        <v>386</v>
      </c>
      <c r="H21">
        <f t="shared" si="0"/>
        <v>2.4653784219001609</v>
      </c>
      <c r="I21">
        <f t="shared" si="1"/>
        <v>60.771704180064312</v>
      </c>
    </row>
    <row r="22" spans="1:9">
      <c r="A22">
        <v>21</v>
      </c>
      <c r="B22">
        <v>8</v>
      </c>
      <c r="C22" s="1">
        <v>46205</v>
      </c>
      <c r="D22" t="s">
        <v>383</v>
      </c>
      <c r="E22">
        <v>1</v>
      </c>
      <c r="F22" t="str">
        <f>_xlfn.XLOOKUP(B22,Employee_Master!A:A,Employee_Master!E:E,"Not Found")</f>
        <v>Finance</v>
      </c>
      <c r="G22" t="s">
        <v>386</v>
      </c>
      <c r="H22">
        <f t="shared" si="0"/>
        <v>2.467741935483871</v>
      </c>
      <c r="I22">
        <f t="shared" si="1"/>
        <v>60.708534621578103</v>
      </c>
    </row>
    <row r="23" spans="1:9">
      <c r="A23">
        <v>22</v>
      </c>
      <c r="B23">
        <v>8</v>
      </c>
      <c r="C23" s="1">
        <v>46047</v>
      </c>
      <c r="D23" t="s">
        <v>383</v>
      </c>
      <c r="E23">
        <v>2</v>
      </c>
      <c r="F23" t="str">
        <f>_xlfn.XLOOKUP(B23,Employee_Master!A:A,Employee_Master!E:E,"Not Found")</f>
        <v>Finance</v>
      </c>
      <c r="G23" t="s">
        <v>385</v>
      </c>
      <c r="H23">
        <f t="shared" si="0"/>
        <v>2.4701130856219708</v>
      </c>
      <c r="I23">
        <f t="shared" si="1"/>
        <v>60.806451612903224</v>
      </c>
    </row>
    <row r="24" spans="1:9">
      <c r="A24">
        <v>23</v>
      </c>
      <c r="B24">
        <v>8</v>
      </c>
      <c r="C24" s="1">
        <v>46068</v>
      </c>
      <c r="D24" t="s">
        <v>384</v>
      </c>
      <c r="E24">
        <v>4</v>
      </c>
      <c r="F24" t="str">
        <f>_xlfn.XLOOKUP(B24,Employee_Master!A:A,Employee_Master!E:E,"Not Found")</f>
        <v>Finance</v>
      </c>
      <c r="G24" t="s">
        <v>386</v>
      </c>
      <c r="H24">
        <f t="shared" si="0"/>
        <v>2.470873786407767</v>
      </c>
      <c r="I24">
        <f t="shared" si="1"/>
        <v>60.904684975767367</v>
      </c>
    </row>
    <row r="25" spans="1:9">
      <c r="A25">
        <v>24</v>
      </c>
      <c r="B25">
        <v>9</v>
      </c>
      <c r="C25" s="1">
        <v>46185</v>
      </c>
      <c r="D25" t="s">
        <v>382</v>
      </c>
      <c r="E25">
        <v>1</v>
      </c>
      <c r="F25" t="str">
        <f>_xlfn.XLOOKUP(B25,Employee_Master!A:A,Employee_Master!E:E,"Not Found")</f>
        <v>HR</v>
      </c>
      <c r="G25" t="s">
        <v>381</v>
      </c>
      <c r="H25">
        <f t="shared" si="0"/>
        <v>2.4683954619124799</v>
      </c>
      <c r="I25">
        <f t="shared" si="1"/>
        <v>61.003236245954696</v>
      </c>
    </row>
    <row r="26" spans="1:9">
      <c r="A26">
        <v>25</v>
      </c>
      <c r="B26">
        <v>9</v>
      </c>
      <c r="C26" s="1">
        <v>45942</v>
      </c>
      <c r="D26" t="s">
        <v>382</v>
      </c>
      <c r="E26">
        <v>1</v>
      </c>
      <c r="F26" t="str">
        <f>_xlfn.XLOOKUP(B26,Employee_Master!A:A,Employee_Master!E:E,"Not Found")</f>
        <v>HR</v>
      </c>
      <c r="G26" t="s">
        <v>381</v>
      </c>
      <c r="H26">
        <f t="shared" si="0"/>
        <v>2.470779220779221</v>
      </c>
      <c r="I26">
        <f t="shared" si="1"/>
        <v>61.102106969205835</v>
      </c>
    </row>
    <row r="27" spans="1:9">
      <c r="A27">
        <v>26</v>
      </c>
      <c r="B27">
        <v>9</v>
      </c>
      <c r="C27" s="1">
        <v>46175</v>
      </c>
      <c r="D27" t="s">
        <v>380</v>
      </c>
      <c r="E27">
        <v>1</v>
      </c>
      <c r="F27" t="str">
        <f>_xlfn.XLOOKUP(B27,Employee_Master!A:A,Employee_Master!E:E,"Not Found")</f>
        <v>HR</v>
      </c>
      <c r="G27" t="s">
        <v>381</v>
      </c>
      <c r="H27">
        <f t="shared" si="0"/>
        <v>2.473170731707317</v>
      </c>
      <c r="I27">
        <f t="shared" si="1"/>
        <v>61.038961038961034</v>
      </c>
    </row>
    <row r="28" spans="1:9">
      <c r="A28">
        <v>27</v>
      </c>
      <c r="B28">
        <v>11</v>
      </c>
      <c r="C28" s="1">
        <v>46222</v>
      </c>
      <c r="D28" t="s">
        <v>383</v>
      </c>
      <c r="E28">
        <v>1</v>
      </c>
      <c r="F28" t="str">
        <f>_xlfn.XLOOKUP(B28,Employee_Master!A:A,Employee_Master!E:E,"Not Found")</f>
        <v>HR</v>
      </c>
      <c r="G28" t="s">
        <v>386</v>
      </c>
      <c r="H28">
        <f t="shared" si="0"/>
        <v>2.4755700325732901</v>
      </c>
      <c r="I28">
        <f t="shared" si="1"/>
        <v>60.975609756097562</v>
      </c>
    </row>
    <row r="29" spans="1:9">
      <c r="A29">
        <v>28</v>
      </c>
      <c r="B29">
        <v>11</v>
      </c>
      <c r="C29" s="1">
        <v>46182</v>
      </c>
      <c r="D29" t="s">
        <v>382</v>
      </c>
      <c r="E29">
        <v>2</v>
      </c>
      <c r="F29" t="str">
        <f>_xlfn.XLOOKUP(B29,Employee_Master!A:A,Employee_Master!E:E,"Not Found")</f>
        <v>HR</v>
      </c>
      <c r="G29" t="s">
        <v>385</v>
      </c>
      <c r="H29">
        <f t="shared" si="0"/>
        <v>2.4779771615008155</v>
      </c>
      <c r="I29">
        <f t="shared" si="1"/>
        <v>60.912052117263848</v>
      </c>
    </row>
    <row r="30" spans="1:9">
      <c r="A30">
        <v>29</v>
      </c>
      <c r="B30">
        <v>12</v>
      </c>
      <c r="C30" s="1">
        <v>46269</v>
      </c>
      <c r="D30" t="s">
        <v>382</v>
      </c>
      <c r="E30">
        <v>3</v>
      </c>
      <c r="F30" t="str">
        <f>_xlfn.XLOOKUP(B30,Employee_Master!A:A,Employee_Master!E:E,"Not Found")</f>
        <v>Marketing</v>
      </c>
      <c r="G30" t="s">
        <v>386</v>
      </c>
      <c r="H30">
        <f t="shared" si="0"/>
        <v>2.4787581699346406</v>
      </c>
      <c r="I30">
        <f t="shared" si="1"/>
        <v>61.011419249592166</v>
      </c>
    </row>
    <row r="31" spans="1:9">
      <c r="A31">
        <v>30</v>
      </c>
      <c r="B31">
        <v>13</v>
      </c>
      <c r="C31" s="1">
        <v>46100</v>
      </c>
      <c r="D31" t="s">
        <v>380</v>
      </c>
      <c r="E31">
        <v>4</v>
      </c>
      <c r="F31" t="str">
        <f>_xlfn.XLOOKUP(B31,Employee_Master!A:A,Employee_Master!E:E,"Not Found")</f>
        <v>HR</v>
      </c>
      <c r="G31" t="s">
        <v>381</v>
      </c>
      <c r="H31">
        <f t="shared" si="0"/>
        <v>2.4779050736497545</v>
      </c>
      <c r="I31">
        <f t="shared" si="1"/>
        <v>61.111111111111114</v>
      </c>
    </row>
    <row r="32" spans="1:9">
      <c r="A32">
        <v>31</v>
      </c>
      <c r="B32">
        <v>13</v>
      </c>
      <c r="C32" s="1">
        <v>46207</v>
      </c>
      <c r="D32" t="s">
        <v>383</v>
      </c>
      <c r="E32">
        <v>1</v>
      </c>
      <c r="F32" t="str">
        <f>_xlfn.XLOOKUP(B32,Employee_Master!A:A,Employee_Master!E:E,"Not Found")</f>
        <v>HR</v>
      </c>
      <c r="G32" t="s">
        <v>386</v>
      </c>
      <c r="H32">
        <f t="shared" si="0"/>
        <v>2.4754098360655736</v>
      </c>
      <c r="I32">
        <f t="shared" si="1"/>
        <v>61.211129296235676</v>
      </c>
    </row>
    <row r="33" spans="1:9">
      <c r="A33">
        <v>32</v>
      </c>
      <c r="B33">
        <v>15</v>
      </c>
      <c r="C33" s="1">
        <v>46231</v>
      </c>
      <c r="D33" t="s">
        <v>384</v>
      </c>
      <c r="E33">
        <v>1</v>
      </c>
      <c r="F33" t="str">
        <f>_xlfn.XLOOKUP(B33,Employee_Master!A:A,Employee_Master!E:E,"Not Found")</f>
        <v>Customer Support</v>
      </c>
      <c r="G33" t="s">
        <v>386</v>
      </c>
      <c r="H33">
        <f t="shared" si="0"/>
        <v>2.4778325123152709</v>
      </c>
      <c r="I33">
        <f t="shared" si="1"/>
        <v>61.147540983606554</v>
      </c>
    </row>
    <row r="34" spans="1:9">
      <c r="A34">
        <v>33</v>
      </c>
      <c r="B34">
        <v>15</v>
      </c>
      <c r="C34" s="1">
        <v>45963</v>
      </c>
      <c r="D34" t="s">
        <v>382</v>
      </c>
      <c r="E34">
        <v>2</v>
      </c>
      <c r="F34" t="str">
        <f>_xlfn.XLOOKUP(B34,Employee_Master!A:A,Employee_Master!E:E,"Not Found")</f>
        <v>Customer Support</v>
      </c>
      <c r="G34" t="s">
        <v>381</v>
      </c>
      <c r="H34">
        <f t="shared" si="0"/>
        <v>2.4802631578947367</v>
      </c>
      <c r="I34">
        <f t="shared" si="1"/>
        <v>61.247947454844009</v>
      </c>
    </row>
    <row r="35" spans="1:9">
      <c r="A35">
        <v>34</v>
      </c>
      <c r="B35">
        <v>16</v>
      </c>
      <c r="C35" s="1">
        <v>46238</v>
      </c>
      <c r="D35" t="s">
        <v>380</v>
      </c>
      <c r="E35">
        <v>2</v>
      </c>
      <c r="F35" t="str">
        <f>_xlfn.XLOOKUP(B35,Employee_Master!A:A,Employee_Master!E:E,"Not Found")</f>
        <v>Sales</v>
      </c>
      <c r="G35" t="s">
        <v>381</v>
      </c>
      <c r="H35">
        <f t="shared" si="0"/>
        <v>2.4810543657331139</v>
      </c>
      <c r="I35">
        <f t="shared" si="1"/>
        <v>61.348684210526315</v>
      </c>
    </row>
    <row r="36" spans="1:9">
      <c r="A36">
        <v>35</v>
      </c>
      <c r="B36">
        <v>17</v>
      </c>
      <c r="C36" s="1">
        <v>45992</v>
      </c>
      <c r="D36" t="s">
        <v>383</v>
      </c>
      <c r="E36">
        <v>1</v>
      </c>
      <c r="F36" t="str">
        <f>_xlfn.XLOOKUP(B36,Employee_Master!A:A,Employee_Master!E:E,"Not Found")</f>
        <v>IT</v>
      </c>
      <c r="G36" t="s">
        <v>381</v>
      </c>
      <c r="H36">
        <f t="shared" si="0"/>
        <v>2.4818481848184817</v>
      </c>
      <c r="I36">
        <f t="shared" si="1"/>
        <v>61.285008237232283</v>
      </c>
    </row>
    <row r="37" spans="1:9">
      <c r="A37">
        <v>36</v>
      </c>
      <c r="B37">
        <v>17</v>
      </c>
      <c r="C37" s="1">
        <v>46137</v>
      </c>
      <c r="D37" t="s">
        <v>382</v>
      </c>
      <c r="E37">
        <v>4</v>
      </c>
      <c r="F37" t="str">
        <f>_xlfn.XLOOKUP(B37,Employee_Master!A:A,Employee_Master!E:E,"Not Found")</f>
        <v>IT</v>
      </c>
      <c r="G37" t="s">
        <v>385</v>
      </c>
      <c r="H37">
        <f t="shared" si="0"/>
        <v>2.4842975206611571</v>
      </c>
      <c r="I37">
        <f t="shared" si="1"/>
        <v>61.221122112211226</v>
      </c>
    </row>
    <row r="38" spans="1:9">
      <c r="A38">
        <v>37</v>
      </c>
      <c r="B38">
        <v>17</v>
      </c>
      <c r="C38" s="1">
        <v>46287</v>
      </c>
      <c r="D38" t="s">
        <v>382</v>
      </c>
      <c r="E38">
        <v>2</v>
      </c>
      <c r="F38" t="str">
        <f>_xlfn.XLOOKUP(B38,Employee_Master!A:A,Employee_Master!E:E,"Not Found")</f>
        <v>IT</v>
      </c>
      <c r="G38" t="s">
        <v>381</v>
      </c>
      <c r="H38">
        <f t="shared" si="0"/>
        <v>2.4817880794701987</v>
      </c>
      <c r="I38">
        <f t="shared" si="1"/>
        <v>61.157024793388423</v>
      </c>
    </row>
    <row r="39" spans="1:9">
      <c r="A39">
        <v>38</v>
      </c>
      <c r="B39">
        <v>18</v>
      </c>
      <c r="C39" s="1">
        <v>45980</v>
      </c>
      <c r="D39" t="s">
        <v>383</v>
      </c>
      <c r="E39">
        <v>3</v>
      </c>
      <c r="F39" t="str">
        <f>_xlfn.XLOOKUP(B39,Employee_Master!A:A,Employee_Master!E:E,"Not Found")</f>
        <v>Sales</v>
      </c>
      <c r="G39" t="s">
        <v>381</v>
      </c>
      <c r="H39">
        <f t="shared" si="0"/>
        <v>2.4825870646766171</v>
      </c>
      <c r="I39">
        <f t="shared" si="1"/>
        <v>61.258278145695364</v>
      </c>
    </row>
    <row r="40" spans="1:9">
      <c r="A40">
        <v>39</v>
      </c>
      <c r="B40">
        <v>19</v>
      </c>
      <c r="C40" s="1">
        <v>46060</v>
      </c>
      <c r="D40" t="s">
        <v>382</v>
      </c>
      <c r="E40">
        <v>1</v>
      </c>
      <c r="F40" t="str">
        <f>_xlfn.XLOOKUP(B40,Employee_Master!A:A,Employee_Master!E:E,"Not Found")</f>
        <v>Finance</v>
      </c>
      <c r="G40" t="s">
        <v>381</v>
      </c>
      <c r="H40">
        <f t="shared" si="0"/>
        <v>2.4817275747508307</v>
      </c>
      <c r="I40">
        <f t="shared" si="1"/>
        <v>61.194029850746269</v>
      </c>
    </row>
    <row r="41" spans="1:9">
      <c r="A41">
        <v>40</v>
      </c>
      <c r="B41">
        <v>19</v>
      </c>
      <c r="C41" s="1">
        <v>46064</v>
      </c>
      <c r="D41" t="s">
        <v>382</v>
      </c>
      <c r="E41">
        <v>2</v>
      </c>
      <c r="F41" t="str">
        <f>_xlfn.XLOOKUP(B41,Employee_Master!A:A,Employee_Master!E:E,"Not Found")</f>
        <v>Finance</v>
      </c>
      <c r="G41" t="s">
        <v>381</v>
      </c>
      <c r="H41">
        <f t="shared" si="0"/>
        <v>2.4841930116472546</v>
      </c>
      <c r="I41">
        <f t="shared" si="1"/>
        <v>61.129568106312291</v>
      </c>
    </row>
    <row r="42" spans="1:9">
      <c r="A42">
        <v>41</v>
      </c>
      <c r="B42">
        <v>19</v>
      </c>
      <c r="C42" s="1">
        <v>46110</v>
      </c>
      <c r="D42" t="s">
        <v>384</v>
      </c>
      <c r="E42">
        <v>3</v>
      </c>
      <c r="F42" t="str">
        <f>_xlfn.XLOOKUP(B42,Employee_Master!A:A,Employee_Master!E:E,"Not Found")</f>
        <v>Finance</v>
      </c>
      <c r="G42" t="s">
        <v>385</v>
      </c>
      <c r="H42">
        <f t="shared" si="0"/>
        <v>2.4849999999999999</v>
      </c>
      <c r="I42">
        <f t="shared" si="1"/>
        <v>61.064891846921796</v>
      </c>
    </row>
    <row r="43" spans="1:9">
      <c r="A43">
        <v>42</v>
      </c>
      <c r="B43">
        <v>21</v>
      </c>
      <c r="C43" s="1">
        <v>46062</v>
      </c>
      <c r="D43" t="s">
        <v>384</v>
      </c>
      <c r="E43">
        <v>1</v>
      </c>
      <c r="F43" t="str">
        <f>_xlfn.XLOOKUP(B43,Employee_Master!A:A,Employee_Master!E:E,"Not Found")</f>
        <v>IT</v>
      </c>
      <c r="G43" t="s">
        <v>386</v>
      </c>
      <c r="H43">
        <f t="shared" si="0"/>
        <v>2.4841402337228713</v>
      </c>
      <c r="I43">
        <f t="shared" si="1"/>
        <v>61</v>
      </c>
    </row>
    <row r="44" spans="1:9">
      <c r="A44">
        <v>43</v>
      </c>
      <c r="B44">
        <v>21</v>
      </c>
      <c r="C44" s="1">
        <v>45961</v>
      </c>
      <c r="D44" t="s">
        <v>383</v>
      </c>
      <c r="E44">
        <v>1</v>
      </c>
      <c r="F44" t="str">
        <f>_xlfn.XLOOKUP(B44,Employee_Master!A:A,Employee_Master!E:E,"Not Found")</f>
        <v>IT</v>
      </c>
      <c r="G44" t="s">
        <v>381</v>
      </c>
      <c r="H44">
        <f t="shared" si="0"/>
        <v>2.4866220735785953</v>
      </c>
      <c r="I44">
        <f t="shared" si="1"/>
        <v>61.101836393989984</v>
      </c>
    </row>
    <row r="45" spans="1:9">
      <c r="A45">
        <v>44</v>
      </c>
      <c r="B45">
        <v>21</v>
      </c>
      <c r="C45" s="1">
        <v>45931</v>
      </c>
      <c r="D45" t="s">
        <v>384</v>
      </c>
      <c r="E45">
        <v>1</v>
      </c>
      <c r="F45" t="str">
        <f>_xlfn.XLOOKUP(B45,Employee_Master!A:A,Employee_Master!E:E,"Not Found")</f>
        <v>IT</v>
      </c>
      <c r="G45" t="s">
        <v>381</v>
      </c>
      <c r="H45">
        <f t="shared" si="0"/>
        <v>2.4891122278056952</v>
      </c>
      <c r="I45">
        <f t="shared" si="1"/>
        <v>61.204013377926422</v>
      </c>
    </row>
    <row r="46" spans="1:9">
      <c r="A46">
        <v>45</v>
      </c>
      <c r="B46">
        <v>21</v>
      </c>
      <c r="C46" s="1">
        <v>46127</v>
      </c>
      <c r="D46" t="s">
        <v>383</v>
      </c>
      <c r="E46">
        <v>1</v>
      </c>
      <c r="F46" t="str">
        <f>_xlfn.XLOOKUP(B46,Employee_Master!A:A,Employee_Master!E:E,"Not Found")</f>
        <v>IT</v>
      </c>
      <c r="G46" t="s">
        <v>386</v>
      </c>
      <c r="H46">
        <f t="shared" si="0"/>
        <v>2.4916107382550337</v>
      </c>
      <c r="I46">
        <f t="shared" si="1"/>
        <v>61.139028475711889</v>
      </c>
    </row>
    <row r="47" spans="1:9">
      <c r="A47">
        <v>46</v>
      </c>
      <c r="B47">
        <v>22</v>
      </c>
      <c r="C47" s="1">
        <v>46122</v>
      </c>
      <c r="D47" t="s">
        <v>384</v>
      </c>
      <c r="E47">
        <v>2</v>
      </c>
      <c r="F47" t="str">
        <f>_xlfn.XLOOKUP(B47,Employee_Master!A:A,Employee_Master!E:E,"Not Found")</f>
        <v>IT</v>
      </c>
      <c r="G47" t="s">
        <v>381</v>
      </c>
      <c r="H47">
        <f t="shared" si="0"/>
        <v>2.4941176470588236</v>
      </c>
      <c r="I47">
        <f t="shared" si="1"/>
        <v>61.073825503355707</v>
      </c>
    </row>
    <row r="48" spans="1:9">
      <c r="A48">
        <v>47</v>
      </c>
      <c r="B48">
        <v>22</v>
      </c>
      <c r="C48" s="1">
        <v>46256</v>
      </c>
      <c r="D48" t="s">
        <v>382</v>
      </c>
      <c r="E48">
        <v>2</v>
      </c>
      <c r="F48" t="str">
        <f>_xlfn.XLOOKUP(B48,Employee_Master!A:A,Employee_Master!E:E,"Not Found")</f>
        <v>IT</v>
      </c>
      <c r="G48" t="s">
        <v>386</v>
      </c>
      <c r="H48">
        <f t="shared" si="0"/>
        <v>2.4949494949494948</v>
      </c>
      <c r="I48">
        <f t="shared" si="1"/>
        <v>61.176470588235297</v>
      </c>
    </row>
    <row r="49" spans="1:9">
      <c r="A49">
        <v>48</v>
      </c>
      <c r="B49">
        <v>22</v>
      </c>
      <c r="C49" s="1">
        <v>46042</v>
      </c>
      <c r="D49" t="s">
        <v>383</v>
      </c>
      <c r="E49">
        <v>1</v>
      </c>
      <c r="F49" t="str">
        <f>_xlfn.XLOOKUP(B49,Employee_Master!A:A,Employee_Master!E:E,"Not Found")</f>
        <v>IT</v>
      </c>
      <c r="G49" t="s">
        <v>381</v>
      </c>
      <c r="H49">
        <f t="shared" si="0"/>
        <v>2.4957841483979766</v>
      </c>
      <c r="I49">
        <f t="shared" si="1"/>
        <v>61.111111111111114</v>
      </c>
    </row>
    <row r="50" spans="1:9">
      <c r="A50">
        <v>49</v>
      </c>
      <c r="B50">
        <v>22</v>
      </c>
      <c r="C50" s="1">
        <v>46238</v>
      </c>
      <c r="D50" t="s">
        <v>383</v>
      </c>
      <c r="E50">
        <v>2</v>
      </c>
      <c r="F50" t="str">
        <f>_xlfn.XLOOKUP(B50,Employee_Master!A:A,Employee_Master!E:E,"Not Found")</f>
        <v>IT</v>
      </c>
      <c r="G50" t="s">
        <v>385</v>
      </c>
      <c r="H50">
        <f t="shared" si="0"/>
        <v>2.498310810810811</v>
      </c>
      <c r="I50">
        <f t="shared" si="1"/>
        <v>61.214165261382803</v>
      </c>
    </row>
    <row r="51" spans="1:9">
      <c r="A51">
        <v>50</v>
      </c>
      <c r="B51">
        <v>23</v>
      </c>
      <c r="C51" s="1">
        <v>46190</v>
      </c>
      <c r="D51" t="s">
        <v>380</v>
      </c>
      <c r="E51">
        <v>4</v>
      </c>
      <c r="F51" t="str">
        <f>_xlfn.XLOOKUP(B51,Employee_Master!A:A,Employee_Master!E:E,"Not Found")</f>
        <v>IT</v>
      </c>
      <c r="G51" t="s">
        <v>381</v>
      </c>
      <c r="H51">
        <f t="shared" si="0"/>
        <v>2.4991539763113368</v>
      </c>
      <c r="I51">
        <f t="shared" si="1"/>
        <v>61.148648648648653</v>
      </c>
    </row>
    <row r="52" spans="1:9">
      <c r="A52">
        <v>51</v>
      </c>
      <c r="B52">
        <v>24</v>
      </c>
      <c r="C52" s="1">
        <v>45950</v>
      </c>
      <c r="D52" t="s">
        <v>384</v>
      </c>
      <c r="E52">
        <v>3</v>
      </c>
      <c r="F52" t="str">
        <f>_xlfn.XLOOKUP(B52,Employee_Master!A:A,Employee_Master!E:E,"Not Found")</f>
        <v>Operations</v>
      </c>
      <c r="G52" t="s">
        <v>381</v>
      </c>
      <c r="H52">
        <f t="shared" si="0"/>
        <v>2.4966101694915253</v>
      </c>
      <c r="I52">
        <f t="shared" si="1"/>
        <v>61.252115059221659</v>
      </c>
    </row>
    <row r="53" spans="1:9">
      <c r="A53">
        <v>52</v>
      </c>
      <c r="B53">
        <v>24</v>
      </c>
      <c r="C53" s="1">
        <v>45986</v>
      </c>
      <c r="D53" t="s">
        <v>383</v>
      </c>
      <c r="E53">
        <v>2</v>
      </c>
      <c r="F53" t="str">
        <f>_xlfn.XLOOKUP(B53,Employee_Master!A:A,Employee_Master!E:E,"Not Found")</f>
        <v>Operations</v>
      </c>
      <c r="G53" t="s">
        <v>386</v>
      </c>
      <c r="H53">
        <f t="shared" si="0"/>
        <v>2.4957555178268249</v>
      </c>
      <c r="I53">
        <f t="shared" si="1"/>
        <v>61.186440677966104</v>
      </c>
    </row>
    <row r="54" spans="1:9">
      <c r="A54">
        <v>53</v>
      </c>
      <c r="B54">
        <v>24</v>
      </c>
      <c r="C54" s="1">
        <v>46196</v>
      </c>
      <c r="D54" t="s">
        <v>380</v>
      </c>
      <c r="E54">
        <v>1</v>
      </c>
      <c r="F54" t="str">
        <f>_xlfn.XLOOKUP(B54,Employee_Master!A:A,Employee_Master!E:E,"Not Found")</f>
        <v>Operations</v>
      </c>
      <c r="G54" t="s">
        <v>385</v>
      </c>
      <c r="H54">
        <f t="shared" si="0"/>
        <v>2.4965986394557822</v>
      </c>
      <c r="I54">
        <f t="shared" si="1"/>
        <v>61.120543293718164</v>
      </c>
    </row>
    <row r="55" spans="1:9">
      <c r="A55">
        <v>54</v>
      </c>
      <c r="B55">
        <v>24</v>
      </c>
      <c r="C55" s="1">
        <v>46029</v>
      </c>
      <c r="D55" t="s">
        <v>380</v>
      </c>
      <c r="E55">
        <v>3</v>
      </c>
      <c r="F55" t="str">
        <f>_xlfn.XLOOKUP(B55,Employee_Master!A:A,Employee_Master!E:E,"Not Found")</f>
        <v>Operations</v>
      </c>
      <c r="G55" t="s">
        <v>385</v>
      </c>
      <c r="H55">
        <f t="shared" si="0"/>
        <v>2.4991482112436114</v>
      </c>
      <c r="I55">
        <f t="shared" si="1"/>
        <v>61.224489795918366</v>
      </c>
    </row>
    <row r="56" spans="1:9">
      <c r="A56">
        <v>55</v>
      </c>
      <c r="B56">
        <v>25</v>
      </c>
      <c r="C56" s="1">
        <v>46130</v>
      </c>
      <c r="D56" t="s">
        <v>382</v>
      </c>
      <c r="E56">
        <v>1</v>
      </c>
      <c r="F56" t="str">
        <f>_xlfn.XLOOKUP(B56,Employee_Master!A:A,Employee_Master!E:E,"Not Found")</f>
        <v>HR</v>
      </c>
      <c r="G56" t="s">
        <v>386</v>
      </c>
      <c r="H56">
        <f t="shared" si="0"/>
        <v>2.4982935153583616</v>
      </c>
      <c r="I56">
        <f t="shared" si="1"/>
        <v>61.32879045996593</v>
      </c>
    </row>
    <row r="57" spans="1:9">
      <c r="A57">
        <v>56</v>
      </c>
      <c r="B57">
        <v>25</v>
      </c>
      <c r="C57" s="1">
        <v>45964</v>
      </c>
      <c r="D57" t="s">
        <v>383</v>
      </c>
      <c r="E57">
        <v>2</v>
      </c>
      <c r="F57" t="str">
        <f>_xlfn.XLOOKUP(B57,Employee_Master!A:A,Employee_Master!E:E,"Not Found")</f>
        <v>HR</v>
      </c>
      <c r="G57" t="s">
        <v>381</v>
      </c>
      <c r="H57">
        <f t="shared" si="0"/>
        <v>2.5008547008547009</v>
      </c>
      <c r="I57">
        <f t="shared" si="1"/>
        <v>61.43344709897611</v>
      </c>
    </row>
    <row r="58" spans="1:9">
      <c r="A58">
        <v>57</v>
      </c>
      <c r="B58">
        <v>25</v>
      </c>
      <c r="C58" s="1">
        <v>46003</v>
      </c>
      <c r="D58" t="s">
        <v>380</v>
      </c>
      <c r="E58">
        <v>4</v>
      </c>
      <c r="F58" t="str">
        <f>_xlfn.XLOOKUP(B58,Employee_Master!A:A,Employee_Master!E:E,"Not Found")</f>
        <v>HR</v>
      </c>
      <c r="G58" t="s">
        <v>381</v>
      </c>
      <c r="H58">
        <f t="shared" si="0"/>
        <v>2.5017123287671232</v>
      </c>
      <c r="I58">
        <f t="shared" si="1"/>
        <v>61.53846153846154</v>
      </c>
    </row>
    <row r="59" spans="1:9">
      <c r="A59">
        <v>58</v>
      </c>
      <c r="B59">
        <v>25</v>
      </c>
      <c r="C59" s="1">
        <v>46137</v>
      </c>
      <c r="D59" t="s">
        <v>384</v>
      </c>
      <c r="E59">
        <v>3</v>
      </c>
      <c r="F59" t="str">
        <f>_xlfn.XLOOKUP(B59,Employee_Master!A:A,Employee_Master!E:E,"Not Found")</f>
        <v>HR</v>
      </c>
      <c r="G59" t="s">
        <v>381</v>
      </c>
      <c r="H59">
        <f t="shared" si="0"/>
        <v>2.4991423670668955</v>
      </c>
      <c r="I59">
        <f t="shared" si="1"/>
        <v>61.472602739726021</v>
      </c>
    </row>
    <row r="60" spans="1:9">
      <c r="A60">
        <v>59</v>
      </c>
      <c r="B60">
        <v>26</v>
      </c>
      <c r="C60" s="1">
        <v>46268</v>
      </c>
      <c r="D60" t="s">
        <v>384</v>
      </c>
      <c r="E60">
        <v>1</v>
      </c>
      <c r="F60" t="str">
        <f>_xlfn.XLOOKUP(B60,Employee_Master!A:A,Employee_Master!E:E,"Not Found")</f>
        <v>HR</v>
      </c>
      <c r="G60" t="s">
        <v>381</v>
      </c>
      <c r="H60">
        <f t="shared" si="0"/>
        <v>2.4982817869415808</v>
      </c>
      <c r="I60">
        <f t="shared" si="1"/>
        <v>61.406518010291599</v>
      </c>
    </row>
    <row r="61" spans="1:9">
      <c r="A61">
        <v>60</v>
      </c>
      <c r="B61">
        <v>26</v>
      </c>
      <c r="C61" s="1">
        <v>46200</v>
      </c>
      <c r="D61" t="s">
        <v>382</v>
      </c>
      <c r="E61">
        <v>2</v>
      </c>
      <c r="F61" t="str">
        <f>_xlfn.XLOOKUP(B61,Employee_Master!A:A,Employee_Master!E:E,"Not Found")</f>
        <v>HR</v>
      </c>
      <c r="G61" t="s">
        <v>381</v>
      </c>
      <c r="H61">
        <f t="shared" si="0"/>
        <v>2.5008605851979344</v>
      </c>
      <c r="I61">
        <f t="shared" si="1"/>
        <v>61.340206185567013</v>
      </c>
    </row>
    <row r="62" spans="1:9">
      <c r="A62">
        <v>61</v>
      </c>
      <c r="B62">
        <v>26</v>
      </c>
      <c r="C62" s="1">
        <v>46095</v>
      </c>
      <c r="D62" t="s">
        <v>380</v>
      </c>
      <c r="E62">
        <v>4</v>
      </c>
      <c r="F62" t="str">
        <f>_xlfn.XLOOKUP(B62,Employee_Master!A:A,Employee_Master!E:E,"Not Found")</f>
        <v>HR</v>
      </c>
      <c r="G62" t="s">
        <v>381</v>
      </c>
      <c r="H62">
        <f t="shared" si="0"/>
        <v>2.5017241379310344</v>
      </c>
      <c r="I62">
        <f t="shared" si="1"/>
        <v>61.273666092943202</v>
      </c>
    </row>
    <row r="63" spans="1:9">
      <c r="A63">
        <v>62</v>
      </c>
      <c r="B63">
        <v>27</v>
      </c>
      <c r="C63" s="1">
        <v>46251</v>
      </c>
      <c r="D63" t="s">
        <v>382</v>
      </c>
      <c r="E63">
        <v>4</v>
      </c>
      <c r="F63" t="str">
        <f>_xlfn.XLOOKUP(B63,Employee_Master!A:A,Employee_Master!E:E,"Not Found")</f>
        <v>Sales</v>
      </c>
      <c r="G63" t="s">
        <v>385</v>
      </c>
      <c r="H63">
        <f t="shared" si="0"/>
        <v>2.4991364421416233</v>
      </c>
      <c r="I63">
        <f t="shared" si="1"/>
        <v>61.206896551724135</v>
      </c>
    </row>
    <row r="64" spans="1:9">
      <c r="A64">
        <v>63</v>
      </c>
      <c r="B64">
        <v>27</v>
      </c>
      <c r="C64" s="1">
        <v>46124</v>
      </c>
      <c r="D64" t="s">
        <v>384</v>
      </c>
      <c r="E64">
        <v>4</v>
      </c>
      <c r="F64" t="str">
        <f>_xlfn.XLOOKUP(B64,Employee_Master!A:A,Employee_Master!E:E,"Not Found")</f>
        <v>Sales</v>
      </c>
      <c r="G64" t="s">
        <v>381</v>
      </c>
      <c r="H64">
        <f t="shared" si="0"/>
        <v>2.4965397923875434</v>
      </c>
      <c r="I64">
        <f t="shared" si="1"/>
        <v>61.139896373056992</v>
      </c>
    </row>
    <row r="65" spans="1:9">
      <c r="A65">
        <v>64</v>
      </c>
      <c r="B65">
        <v>28</v>
      </c>
      <c r="C65" s="1">
        <v>45984</v>
      </c>
      <c r="D65" t="s">
        <v>383</v>
      </c>
      <c r="E65">
        <v>4</v>
      </c>
      <c r="F65" t="str">
        <f>_xlfn.XLOOKUP(B65,Employee_Master!A:A,Employee_Master!E:E,"Not Found")</f>
        <v>IT</v>
      </c>
      <c r="G65" t="s">
        <v>386</v>
      </c>
      <c r="H65">
        <f t="shared" si="0"/>
        <v>2.4939341421143846</v>
      </c>
      <c r="I65">
        <f t="shared" si="1"/>
        <v>61.245674740484425</v>
      </c>
    </row>
    <row r="66" spans="1:9">
      <c r="A66">
        <v>65</v>
      </c>
      <c r="B66">
        <v>28</v>
      </c>
      <c r="C66" s="1">
        <v>46130</v>
      </c>
      <c r="D66" t="s">
        <v>383</v>
      </c>
      <c r="E66">
        <v>4</v>
      </c>
      <c r="F66" t="str">
        <f>_xlfn.XLOOKUP(B66,Employee_Master!A:A,Employee_Master!E:E,"Not Found")</f>
        <v>IT</v>
      </c>
      <c r="G66" t="s">
        <v>381</v>
      </c>
      <c r="H66">
        <f t="shared" ref="H66:H129" si="2">AVERAGE(E66:E705)</f>
        <v>2.4913194444444446</v>
      </c>
      <c r="I66">
        <f t="shared" ref="I66:I129" si="3">COUNTIF(G65:G704,"Approved")/COUNTA(G65:G704)*100</f>
        <v>61.178509532062385</v>
      </c>
    </row>
    <row r="67" spans="1:9">
      <c r="A67">
        <v>66</v>
      </c>
      <c r="B67">
        <v>28</v>
      </c>
      <c r="C67" s="1">
        <v>46281</v>
      </c>
      <c r="D67" t="s">
        <v>384</v>
      </c>
      <c r="E67">
        <v>1</v>
      </c>
      <c r="F67" t="str">
        <f>_xlfn.XLOOKUP(B67,Employee_Master!A:A,Employee_Master!E:E,"Not Found")</f>
        <v>IT</v>
      </c>
      <c r="G67" t="s">
        <v>381</v>
      </c>
      <c r="H67">
        <f t="shared" si="2"/>
        <v>2.488695652173913</v>
      </c>
      <c r="I67">
        <f t="shared" si="3"/>
        <v>61.284722222222221</v>
      </c>
    </row>
    <row r="68" spans="1:9">
      <c r="A68">
        <v>67</v>
      </c>
      <c r="B68">
        <v>30</v>
      </c>
      <c r="C68" s="1">
        <v>46231</v>
      </c>
      <c r="D68" t="s">
        <v>380</v>
      </c>
      <c r="E68">
        <v>3</v>
      </c>
      <c r="F68" t="str">
        <f>_xlfn.XLOOKUP(B68,Employee_Master!A:A,Employee_Master!E:E,"Not Found")</f>
        <v>Sales</v>
      </c>
      <c r="G68" t="s">
        <v>381</v>
      </c>
      <c r="H68">
        <f t="shared" si="2"/>
        <v>2.491289198606272</v>
      </c>
      <c r="I68">
        <f t="shared" si="3"/>
        <v>61.217391304347821</v>
      </c>
    </row>
    <row r="69" spans="1:9">
      <c r="A69">
        <v>68</v>
      </c>
      <c r="B69">
        <v>30</v>
      </c>
      <c r="C69" s="1">
        <v>46204</v>
      </c>
      <c r="D69" t="s">
        <v>384</v>
      </c>
      <c r="E69">
        <v>1</v>
      </c>
      <c r="F69" t="str">
        <f>_xlfn.XLOOKUP(B69,Employee_Master!A:A,Employee_Master!E:E,"Not Found")</f>
        <v>Sales</v>
      </c>
      <c r="G69" t="s">
        <v>381</v>
      </c>
      <c r="H69">
        <f t="shared" si="2"/>
        <v>2.4904013961605584</v>
      </c>
      <c r="I69">
        <f t="shared" si="3"/>
        <v>61.149825783972119</v>
      </c>
    </row>
    <row r="70" spans="1:9">
      <c r="A70">
        <v>69</v>
      </c>
      <c r="B70">
        <v>31</v>
      </c>
      <c r="C70" s="1">
        <v>46027</v>
      </c>
      <c r="D70" t="s">
        <v>383</v>
      </c>
      <c r="E70">
        <v>1</v>
      </c>
      <c r="F70" t="str">
        <f>_xlfn.XLOOKUP(B70,Employee_Master!A:A,Employee_Master!E:E,"Not Found")</f>
        <v>Customer Support</v>
      </c>
      <c r="G70" t="s">
        <v>385</v>
      </c>
      <c r="H70">
        <f t="shared" si="2"/>
        <v>2.4930069930069929</v>
      </c>
      <c r="I70">
        <f t="shared" si="3"/>
        <v>61.082024432809781</v>
      </c>
    </row>
    <row r="71" spans="1:9">
      <c r="A71">
        <v>70</v>
      </c>
      <c r="B71">
        <v>31</v>
      </c>
      <c r="C71" s="1">
        <v>46191</v>
      </c>
      <c r="D71" t="s">
        <v>380</v>
      </c>
      <c r="E71">
        <v>3</v>
      </c>
      <c r="F71" t="str">
        <f>_xlfn.XLOOKUP(B71,Employee_Master!A:A,Employee_Master!E:E,"Not Found")</f>
        <v>Customer Support</v>
      </c>
      <c r="G71" t="s">
        <v>381</v>
      </c>
      <c r="H71">
        <f t="shared" si="2"/>
        <v>2.4956217162872156</v>
      </c>
      <c r="I71">
        <f t="shared" si="3"/>
        <v>61.013986013986013</v>
      </c>
    </row>
    <row r="72" spans="1:9">
      <c r="A72">
        <v>71</v>
      </c>
      <c r="B72">
        <v>31</v>
      </c>
      <c r="C72" s="1">
        <v>46040</v>
      </c>
      <c r="D72" t="s">
        <v>384</v>
      </c>
      <c r="E72">
        <v>4</v>
      </c>
      <c r="F72" t="str">
        <f>_xlfn.XLOOKUP(B72,Employee_Master!A:A,Employee_Master!E:E,"Not Found")</f>
        <v>Customer Support</v>
      </c>
      <c r="G72" t="s">
        <v>381</v>
      </c>
      <c r="H72">
        <f t="shared" si="2"/>
        <v>2.4947368421052634</v>
      </c>
      <c r="I72">
        <f t="shared" si="3"/>
        <v>61.120840630472848</v>
      </c>
    </row>
    <row r="73" spans="1:9">
      <c r="A73">
        <v>72</v>
      </c>
      <c r="B73">
        <v>32</v>
      </c>
      <c r="C73" s="1">
        <v>46295</v>
      </c>
      <c r="D73" t="s">
        <v>383</v>
      </c>
      <c r="E73">
        <v>1</v>
      </c>
      <c r="F73" t="str">
        <f>_xlfn.XLOOKUP(B73,Employee_Master!A:A,Employee_Master!E:E,"Not Found")</f>
        <v>Sales</v>
      </c>
      <c r="G73" t="s">
        <v>381</v>
      </c>
      <c r="H73">
        <f t="shared" si="2"/>
        <v>2.492091388400703</v>
      </c>
      <c r="I73">
        <f t="shared" si="3"/>
        <v>61.05263157894737</v>
      </c>
    </row>
    <row r="74" spans="1:9">
      <c r="A74">
        <v>73</v>
      </c>
      <c r="B74">
        <v>33</v>
      </c>
      <c r="C74" s="1">
        <v>46036</v>
      </c>
      <c r="D74" t="s">
        <v>384</v>
      </c>
      <c r="E74">
        <v>1</v>
      </c>
      <c r="F74" t="str">
        <f>_xlfn.XLOOKUP(B74,Employee_Master!A:A,Employee_Master!E:E,"Not Found")</f>
        <v>IT</v>
      </c>
      <c r="G74" t="s">
        <v>385</v>
      </c>
      <c r="H74">
        <f t="shared" si="2"/>
        <v>2.494718309859155</v>
      </c>
      <c r="I74">
        <f t="shared" si="3"/>
        <v>60.984182776801411</v>
      </c>
    </row>
    <row r="75" spans="1:9">
      <c r="A75">
        <v>74</v>
      </c>
      <c r="B75">
        <v>33</v>
      </c>
      <c r="C75" s="1">
        <v>46036</v>
      </c>
      <c r="D75" t="s">
        <v>384</v>
      </c>
      <c r="E75">
        <v>3</v>
      </c>
      <c r="F75" t="str">
        <f>_xlfn.XLOOKUP(B75,Employee_Master!A:A,Employee_Master!E:E,"Not Found")</f>
        <v>IT</v>
      </c>
      <c r="G75" t="s">
        <v>381</v>
      </c>
      <c r="H75">
        <f t="shared" si="2"/>
        <v>2.4973544973544972</v>
      </c>
      <c r="I75">
        <f t="shared" si="3"/>
        <v>60.915492957746473</v>
      </c>
    </row>
    <row r="76" spans="1:9">
      <c r="A76">
        <v>75</v>
      </c>
      <c r="B76">
        <v>33</v>
      </c>
      <c r="C76" s="1">
        <v>46054</v>
      </c>
      <c r="D76" t="s">
        <v>383</v>
      </c>
      <c r="E76">
        <v>2</v>
      </c>
      <c r="F76" t="str">
        <f>_xlfn.XLOOKUP(B76,Employee_Master!A:A,Employee_Master!E:E,"Not Found")</f>
        <v>IT</v>
      </c>
      <c r="G76" t="s">
        <v>385</v>
      </c>
      <c r="H76">
        <f t="shared" si="2"/>
        <v>2.4964664310954063</v>
      </c>
      <c r="I76">
        <f t="shared" si="3"/>
        <v>61.022927689594354</v>
      </c>
    </row>
    <row r="77" spans="1:9">
      <c r="A77">
        <v>76</v>
      </c>
      <c r="B77">
        <v>34</v>
      </c>
      <c r="C77" s="1">
        <v>46121</v>
      </c>
      <c r="D77" t="s">
        <v>382</v>
      </c>
      <c r="E77">
        <v>1</v>
      </c>
      <c r="F77" t="str">
        <f>_xlfn.XLOOKUP(B77,Employee_Master!A:A,Employee_Master!E:E,"Not Found")</f>
        <v>IT</v>
      </c>
      <c r="G77" t="s">
        <v>381</v>
      </c>
      <c r="H77">
        <f t="shared" si="2"/>
        <v>2.4973451327433627</v>
      </c>
      <c r="I77">
        <f t="shared" si="3"/>
        <v>60.954063604240282</v>
      </c>
    </row>
    <row r="78" spans="1:9">
      <c r="A78">
        <v>77</v>
      </c>
      <c r="B78">
        <v>35</v>
      </c>
      <c r="C78" s="1">
        <v>46237</v>
      </c>
      <c r="D78" t="s">
        <v>380</v>
      </c>
      <c r="E78">
        <v>3</v>
      </c>
      <c r="F78" t="str">
        <f>_xlfn.XLOOKUP(B78,Employee_Master!A:A,Employee_Master!E:E,"Not Found")</f>
        <v>Operations</v>
      </c>
      <c r="G78" t="s">
        <v>385</v>
      </c>
      <c r="H78">
        <f t="shared" si="2"/>
        <v>2.5</v>
      </c>
      <c r="I78">
        <f t="shared" si="3"/>
        <v>61.06194690265486</v>
      </c>
    </row>
    <row r="79" spans="1:9">
      <c r="A79">
        <v>78</v>
      </c>
      <c r="B79">
        <v>36</v>
      </c>
      <c r="C79" s="1">
        <v>46294</v>
      </c>
      <c r="D79" t="s">
        <v>383</v>
      </c>
      <c r="E79">
        <v>2</v>
      </c>
      <c r="F79" t="str">
        <f>_xlfn.XLOOKUP(B79,Employee_Master!A:A,Employee_Master!E:E,"Not Found")</f>
        <v>Marketing</v>
      </c>
      <c r="G79" t="s">
        <v>381</v>
      </c>
      <c r="H79">
        <f t="shared" si="2"/>
        <v>2.4991119005328595</v>
      </c>
      <c r="I79">
        <f t="shared" si="3"/>
        <v>60.99290780141844</v>
      </c>
    </row>
    <row r="80" spans="1:9">
      <c r="A80">
        <v>79</v>
      </c>
      <c r="B80">
        <v>36</v>
      </c>
      <c r="C80" s="1">
        <v>46140</v>
      </c>
      <c r="D80" t="s">
        <v>384</v>
      </c>
      <c r="E80">
        <v>4</v>
      </c>
      <c r="F80" t="str">
        <f>_xlfn.XLOOKUP(B80,Employee_Master!A:A,Employee_Master!E:E,"Not Found")</f>
        <v>Marketing</v>
      </c>
      <c r="G80" t="s">
        <v>385</v>
      </c>
      <c r="H80">
        <f t="shared" si="2"/>
        <v>2.5</v>
      </c>
      <c r="I80">
        <f t="shared" si="3"/>
        <v>61.101243339253998</v>
      </c>
    </row>
    <row r="81" spans="1:9">
      <c r="A81">
        <v>80</v>
      </c>
      <c r="B81">
        <v>36</v>
      </c>
      <c r="C81" s="1">
        <v>46124</v>
      </c>
      <c r="D81" t="s">
        <v>383</v>
      </c>
      <c r="E81">
        <v>2</v>
      </c>
      <c r="F81" t="str">
        <f>_xlfn.XLOOKUP(B81,Employee_Master!A:A,Employee_Master!E:E,"Not Found")</f>
        <v>Marketing</v>
      </c>
      <c r="G81" t="s">
        <v>385</v>
      </c>
      <c r="H81">
        <f t="shared" si="2"/>
        <v>2.4973262032085564</v>
      </c>
      <c r="I81">
        <f t="shared" si="3"/>
        <v>61.032028469750884</v>
      </c>
    </row>
    <row r="82" spans="1:9">
      <c r="A82">
        <v>81</v>
      </c>
      <c r="B82">
        <v>36</v>
      </c>
      <c r="C82" s="1">
        <v>46060</v>
      </c>
      <c r="D82" t="s">
        <v>384</v>
      </c>
      <c r="E82">
        <v>4</v>
      </c>
      <c r="F82" t="str">
        <f>_xlfn.XLOOKUP(B82,Employee_Master!A:A,Employee_Master!E:E,"Not Found")</f>
        <v>Marketing</v>
      </c>
      <c r="G82" t="s">
        <v>381</v>
      </c>
      <c r="H82">
        <f t="shared" si="2"/>
        <v>2.4982142857142855</v>
      </c>
      <c r="I82">
        <f t="shared" si="3"/>
        <v>61.140819964349383</v>
      </c>
    </row>
    <row r="83" spans="1:9">
      <c r="A83">
        <v>82</v>
      </c>
      <c r="B83">
        <v>37</v>
      </c>
      <c r="C83" s="1">
        <v>45996</v>
      </c>
      <c r="D83" t="s">
        <v>380</v>
      </c>
      <c r="E83">
        <v>1</v>
      </c>
      <c r="F83" t="str">
        <f>_xlfn.XLOOKUP(B83,Employee_Master!A:A,Employee_Master!E:E,"Not Found")</f>
        <v>Sales</v>
      </c>
      <c r="G83" t="s">
        <v>381</v>
      </c>
      <c r="H83">
        <f t="shared" si="2"/>
        <v>2.4955277280858676</v>
      </c>
      <c r="I83">
        <f t="shared" si="3"/>
        <v>61.250000000000007</v>
      </c>
    </row>
    <row r="84" spans="1:9">
      <c r="A84">
        <v>83</v>
      </c>
      <c r="B84">
        <v>37</v>
      </c>
      <c r="C84" s="1">
        <v>45990</v>
      </c>
      <c r="D84" t="s">
        <v>380</v>
      </c>
      <c r="E84">
        <v>4</v>
      </c>
      <c r="F84" t="str">
        <f>_xlfn.XLOOKUP(B84,Employee_Master!A:A,Employee_Master!E:E,"Not Found")</f>
        <v>Sales</v>
      </c>
      <c r="G84" t="s">
        <v>381</v>
      </c>
      <c r="H84">
        <f t="shared" si="2"/>
        <v>2.4982078853046596</v>
      </c>
      <c r="I84">
        <f t="shared" si="3"/>
        <v>61.180679785330952</v>
      </c>
    </row>
    <row r="85" spans="1:9">
      <c r="A85">
        <v>84</v>
      </c>
      <c r="B85">
        <v>37</v>
      </c>
      <c r="C85" s="1">
        <v>46024</v>
      </c>
      <c r="D85" t="s">
        <v>383</v>
      </c>
      <c r="E85">
        <v>2</v>
      </c>
      <c r="F85" t="str">
        <f>_xlfn.XLOOKUP(B85,Employee_Master!A:A,Employee_Master!E:E,"Not Found")</f>
        <v>Sales</v>
      </c>
      <c r="G85" t="s">
        <v>381</v>
      </c>
      <c r="H85">
        <f t="shared" si="2"/>
        <v>2.495511669658887</v>
      </c>
      <c r="I85">
        <f t="shared" si="3"/>
        <v>61.111111111111114</v>
      </c>
    </row>
    <row r="86" spans="1:9">
      <c r="A86">
        <v>85</v>
      </c>
      <c r="B86">
        <v>38</v>
      </c>
      <c r="C86" s="1">
        <v>46076</v>
      </c>
      <c r="D86" t="s">
        <v>383</v>
      </c>
      <c r="E86">
        <v>3</v>
      </c>
      <c r="F86" t="str">
        <f>_xlfn.XLOOKUP(B86,Employee_Master!A:A,Employee_Master!E:E,"Not Found")</f>
        <v>Customer Support</v>
      </c>
      <c r="G86" t="s">
        <v>386</v>
      </c>
      <c r="H86">
        <f t="shared" si="2"/>
        <v>2.4964028776978417</v>
      </c>
      <c r="I86">
        <f t="shared" si="3"/>
        <v>61.041292639138248</v>
      </c>
    </row>
    <row r="87" spans="1:9">
      <c r="A87">
        <v>86</v>
      </c>
      <c r="B87">
        <v>38</v>
      </c>
      <c r="C87" s="1">
        <v>46064</v>
      </c>
      <c r="D87" t="s">
        <v>384</v>
      </c>
      <c r="E87">
        <v>1</v>
      </c>
      <c r="F87" t="str">
        <f>_xlfn.XLOOKUP(B87,Employee_Master!A:A,Employee_Master!E:E,"Not Found")</f>
        <v>Customer Support</v>
      </c>
      <c r="G87" t="s">
        <v>385</v>
      </c>
      <c r="H87">
        <f t="shared" si="2"/>
        <v>2.4954954954954953</v>
      </c>
      <c r="I87">
        <f t="shared" si="3"/>
        <v>60.97122302158273</v>
      </c>
    </row>
    <row r="88" spans="1:9">
      <c r="A88">
        <v>87</v>
      </c>
      <c r="B88">
        <v>38</v>
      </c>
      <c r="C88" s="1">
        <v>46034</v>
      </c>
      <c r="D88" t="s">
        <v>384</v>
      </c>
      <c r="E88">
        <v>4</v>
      </c>
      <c r="F88" t="str">
        <f>_xlfn.XLOOKUP(B88,Employee_Master!A:A,Employee_Master!E:E,"Not Found")</f>
        <v>Customer Support</v>
      </c>
      <c r="G88" t="s">
        <v>381</v>
      </c>
      <c r="H88">
        <f t="shared" si="2"/>
        <v>2.4981949458483754</v>
      </c>
      <c r="I88">
        <f t="shared" si="3"/>
        <v>61.081081081081081</v>
      </c>
    </row>
    <row r="89" spans="1:9">
      <c r="A89">
        <v>88</v>
      </c>
      <c r="B89">
        <v>39</v>
      </c>
      <c r="C89" s="1">
        <v>46196</v>
      </c>
      <c r="D89" t="s">
        <v>384</v>
      </c>
      <c r="E89">
        <v>4</v>
      </c>
      <c r="F89" t="str">
        <f>_xlfn.XLOOKUP(B89,Employee_Master!A:A,Employee_Master!E:E,"Not Found")</f>
        <v>Operations</v>
      </c>
      <c r="G89" t="s">
        <v>385</v>
      </c>
      <c r="H89">
        <f t="shared" si="2"/>
        <v>2.4954792043399636</v>
      </c>
      <c r="I89">
        <f t="shared" si="3"/>
        <v>61.191335740072205</v>
      </c>
    </row>
    <row r="90" spans="1:9">
      <c r="A90">
        <v>89</v>
      </c>
      <c r="B90">
        <v>42</v>
      </c>
      <c r="C90" s="1">
        <v>45950</v>
      </c>
      <c r="D90" t="s">
        <v>382</v>
      </c>
      <c r="E90">
        <v>2</v>
      </c>
      <c r="F90" t="str">
        <f>_xlfn.XLOOKUP(B90,Employee_Master!A:A,Employee_Master!E:E,"Not Found")</f>
        <v>Customer Support</v>
      </c>
      <c r="G90" t="s">
        <v>381</v>
      </c>
      <c r="H90">
        <f t="shared" si="2"/>
        <v>2.4927536231884058</v>
      </c>
      <c r="I90">
        <f t="shared" si="3"/>
        <v>61.121157323688969</v>
      </c>
    </row>
    <row r="91" spans="1:9">
      <c r="A91">
        <v>90</v>
      </c>
      <c r="B91">
        <v>44</v>
      </c>
      <c r="C91" s="1">
        <v>46154</v>
      </c>
      <c r="D91" t="s">
        <v>383</v>
      </c>
      <c r="E91">
        <v>4</v>
      </c>
      <c r="F91" t="str">
        <f>_xlfn.XLOOKUP(B91,Employee_Master!A:A,Employee_Master!E:E,"Not Found")</f>
        <v>Marketing</v>
      </c>
      <c r="G91" t="s">
        <v>381</v>
      </c>
      <c r="H91">
        <f t="shared" si="2"/>
        <v>2.4936479128856623</v>
      </c>
      <c r="I91">
        <f t="shared" si="3"/>
        <v>61.231884057971023</v>
      </c>
    </row>
    <row r="92" spans="1:9">
      <c r="A92">
        <v>91</v>
      </c>
      <c r="B92">
        <v>45</v>
      </c>
      <c r="C92" s="1">
        <v>46236</v>
      </c>
      <c r="D92" t="s">
        <v>384</v>
      </c>
      <c r="E92">
        <v>2</v>
      </c>
      <c r="F92" t="str">
        <f>_xlfn.XLOOKUP(B92,Employee_Master!A:A,Employee_Master!E:E,"Not Found")</f>
        <v>Customer Support</v>
      </c>
      <c r="G92" t="s">
        <v>381</v>
      </c>
      <c r="H92">
        <f t="shared" si="2"/>
        <v>2.4909090909090907</v>
      </c>
      <c r="I92">
        <f t="shared" si="3"/>
        <v>61.16152450090744</v>
      </c>
    </row>
    <row r="93" spans="1:9">
      <c r="A93">
        <v>92</v>
      </c>
      <c r="B93">
        <v>45</v>
      </c>
      <c r="C93" s="1">
        <v>46093</v>
      </c>
      <c r="D93" t="s">
        <v>384</v>
      </c>
      <c r="E93">
        <v>1</v>
      </c>
      <c r="F93" t="str">
        <f>_xlfn.XLOOKUP(B93,Employee_Master!A:A,Employee_Master!E:E,"Not Found")</f>
        <v>Customer Support</v>
      </c>
      <c r="G93" t="s">
        <v>381</v>
      </c>
      <c r="H93">
        <f t="shared" si="2"/>
        <v>2.4918032786885247</v>
      </c>
      <c r="I93">
        <f t="shared" si="3"/>
        <v>61.090909090909093</v>
      </c>
    </row>
    <row r="94" spans="1:9">
      <c r="A94">
        <v>93</v>
      </c>
      <c r="B94">
        <v>45</v>
      </c>
      <c r="C94" s="1">
        <v>46105</v>
      </c>
      <c r="D94" t="s">
        <v>383</v>
      </c>
      <c r="E94">
        <v>2</v>
      </c>
      <c r="F94" t="str">
        <f>_xlfn.XLOOKUP(B94,Employee_Master!A:A,Employee_Master!E:E,"Not Found")</f>
        <v>Customer Support</v>
      </c>
      <c r="G94" t="s">
        <v>381</v>
      </c>
      <c r="H94">
        <f t="shared" si="2"/>
        <v>2.4945255474452557</v>
      </c>
      <c r="I94">
        <f t="shared" si="3"/>
        <v>61.020036429872491</v>
      </c>
    </row>
    <row r="95" spans="1:9">
      <c r="A95">
        <v>94</v>
      </c>
      <c r="B95">
        <v>46</v>
      </c>
      <c r="C95" s="1">
        <v>46033</v>
      </c>
      <c r="D95" t="s">
        <v>384</v>
      </c>
      <c r="E95">
        <v>4</v>
      </c>
      <c r="F95" t="str">
        <f>_xlfn.XLOOKUP(B95,Employee_Master!A:A,Employee_Master!E:E,"Not Found")</f>
        <v>Sales</v>
      </c>
      <c r="G95" t="s">
        <v>385</v>
      </c>
      <c r="H95">
        <f t="shared" si="2"/>
        <v>2.4954296160877512</v>
      </c>
      <c r="I95">
        <f t="shared" si="3"/>
        <v>60.948905109489047</v>
      </c>
    </row>
    <row r="96" spans="1:9">
      <c r="A96">
        <v>95</v>
      </c>
      <c r="B96">
        <v>46</v>
      </c>
      <c r="C96" s="1">
        <v>46009</v>
      </c>
      <c r="D96" t="s">
        <v>383</v>
      </c>
      <c r="E96">
        <v>1</v>
      </c>
      <c r="F96" t="str">
        <f>_xlfn.XLOOKUP(B96,Employee_Master!A:A,Employee_Master!E:E,"Not Found")</f>
        <v>Sales</v>
      </c>
      <c r="G96" t="s">
        <v>381</v>
      </c>
      <c r="H96">
        <f t="shared" si="2"/>
        <v>2.4926739926739927</v>
      </c>
      <c r="I96">
        <f t="shared" si="3"/>
        <v>60.877513711151735</v>
      </c>
    </row>
    <row r="97" spans="1:9">
      <c r="A97">
        <v>96</v>
      </c>
      <c r="B97">
        <v>46</v>
      </c>
      <c r="C97" s="1">
        <v>46025</v>
      </c>
      <c r="D97" t="s">
        <v>380</v>
      </c>
      <c r="E97">
        <v>3</v>
      </c>
      <c r="F97" t="str">
        <f>_xlfn.XLOOKUP(B97,Employee_Master!A:A,Employee_Master!E:E,"Not Found")</f>
        <v>Sales</v>
      </c>
      <c r="G97" t="s">
        <v>385</v>
      </c>
      <c r="H97">
        <f t="shared" si="2"/>
        <v>2.4954128440366974</v>
      </c>
      <c r="I97">
        <f t="shared" si="3"/>
        <v>60.989010989010993</v>
      </c>
    </row>
    <row r="98" spans="1:9">
      <c r="A98">
        <v>97</v>
      </c>
      <c r="B98">
        <v>48</v>
      </c>
      <c r="C98" s="1">
        <v>45966</v>
      </c>
      <c r="D98" t="s">
        <v>380</v>
      </c>
      <c r="E98">
        <v>3</v>
      </c>
      <c r="F98" t="str">
        <f>_xlfn.XLOOKUP(B98,Employee_Master!A:A,Employee_Master!E:E,"Not Found")</f>
        <v>HR</v>
      </c>
      <c r="G98" t="s">
        <v>386</v>
      </c>
      <c r="H98">
        <f t="shared" si="2"/>
        <v>2.4944852941176472</v>
      </c>
      <c r="I98">
        <f t="shared" si="3"/>
        <v>60.917431192660551</v>
      </c>
    </row>
    <row r="99" spans="1:9">
      <c r="A99">
        <v>98</v>
      </c>
      <c r="B99">
        <v>48</v>
      </c>
      <c r="C99" s="1">
        <v>46013</v>
      </c>
      <c r="D99" t="s">
        <v>380</v>
      </c>
      <c r="E99">
        <v>3</v>
      </c>
      <c r="F99" t="str">
        <f>_xlfn.XLOOKUP(B99,Employee_Master!A:A,Employee_Master!E:E,"Not Found")</f>
        <v>HR</v>
      </c>
      <c r="G99" t="s">
        <v>381</v>
      </c>
      <c r="H99">
        <f t="shared" si="2"/>
        <v>2.4935543278084715</v>
      </c>
      <c r="I99">
        <f t="shared" si="3"/>
        <v>61.029411764705884</v>
      </c>
    </row>
    <row r="100" spans="1:9">
      <c r="A100">
        <v>99</v>
      </c>
      <c r="B100">
        <v>48</v>
      </c>
      <c r="C100" s="1">
        <v>45988</v>
      </c>
      <c r="D100" t="s">
        <v>384</v>
      </c>
      <c r="E100">
        <v>4</v>
      </c>
      <c r="F100" t="str">
        <f>_xlfn.XLOOKUP(B100,Employee_Master!A:A,Employee_Master!E:E,"Not Found")</f>
        <v>HR</v>
      </c>
      <c r="G100" t="s">
        <v>386</v>
      </c>
      <c r="H100">
        <f t="shared" si="2"/>
        <v>2.4926199261992621</v>
      </c>
      <c r="I100">
        <f t="shared" si="3"/>
        <v>61.141804788213626</v>
      </c>
    </row>
    <row r="101" spans="1:9">
      <c r="A101">
        <v>100</v>
      </c>
      <c r="B101">
        <v>49</v>
      </c>
      <c r="C101" s="1">
        <v>45939</v>
      </c>
      <c r="D101" t="s">
        <v>380</v>
      </c>
      <c r="E101">
        <v>3</v>
      </c>
      <c r="F101" t="str">
        <f>_xlfn.XLOOKUP(B101,Employee_Master!A:A,Employee_Master!E:E,"Not Found")</f>
        <v>Marketing</v>
      </c>
      <c r="G101" t="s">
        <v>381</v>
      </c>
      <c r="H101">
        <f t="shared" si="2"/>
        <v>2.4898336414048061</v>
      </c>
      <c r="I101">
        <f t="shared" si="3"/>
        <v>61.070110701107019</v>
      </c>
    </row>
    <row r="102" spans="1:9">
      <c r="A102">
        <v>101</v>
      </c>
      <c r="B102">
        <v>49</v>
      </c>
      <c r="C102" s="1">
        <v>45950</v>
      </c>
      <c r="D102" t="s">
        <v>380</v>
      </c>
      <c r="E102">
        <v>1</v>
      </c>
      <c r="F102" t="str">
        <f>_xlfn.XLOOKUP(B102,Employee_Master!A:A,Employee_Master!E:E,"Not Found")</f>
        <v>Marketing</v>
      </c>
      <c r="G102" t="s">
        <v>381</v>
      </c>
      <c r="H102">
        <f t="shared" si="2"/>
        <v>2.4888888888888889</v>
      </c>
      <c r="I102">
        <f t="shared" si="3"/>
        <v>61.182994454713494</v>
      </c>
    </row>
    <row r="103" spans="1:9">
      <c r="A103">
        <v>102</v>
      </c>
      <c r="B103">
        <v>49</v>
      </c>
      <c r="C103" s="1">
        <v>45934</v>
      </c>
      <c r="D103" t="s">
        <v>382</v>
      </c>
      <c r="E103">
        <v>1</v>
      </c>
      <c r="F103" t="str">
        <f>_xlfn.XLOOKUP(B103,Employee_Master!A:A,Employee_Master!E:E,"Not Found")</f>
        <v>Marketing</v>
      </c>
      <c r="G103" t="s">
        <v>386</v>
      </c>
      <c r="H103">
        <f t="shared" si="2"/>
        <v>2.49165120593692</v>
      </c>
      <c r="I103">
        <f t="shared" si="3"/>
        <v>61.111111111111114</v>
      </c>
    </row>
    <row r="104" spans="1:9">
      <c r="A104">
        <v>103</v>
      </c>
      <c r="B104">
        <v>49</v>
      </c>
      <c r="C104" s="1">
        <v>45960</v>
      </c>
      <c r="D104" t="s">
        <v>382</v>
      </c>
      <c r="E104">
        <v>1</v>
      </c>
      <c r="F104" t="str">
        <f>_xlfn.XLOOKUP(B104,Employee_Master!A:A,Employee_Master!E:E,"Not Found")</f>
        <v>Marketing</v>
      </c>
      <c r="G104" t="s">
        <v>381</v>
      </c>
      <c r="H104">
        <f t="shared" si="2"/>
        <v>2.4944237918215615</v>
      </c>
      <c r="I104">
        <f t="shared" si="3"/>
        <v>61.038961038961034</v>
      </c>
    </row>
    <row r="105" spans="1:9">
      <c r="A105">
        <v>104</v>
      </c>
      <c r="B105">
        <v>51</v>
      </c>
      <c r="C105" s="1">
        <v>46210</v>
      </c>
      <c r="D105" t="s">
        <v>384</v>
      </c>
      <c r="E105">
        <v>1</v>
      </c>
      <c r="F105" t="str">
        <f>_xlfn.XLOOKUP(B105,Employee_Master!A:A,Employee_Master!E:E,"Not Found")</f>
        <v>HR</v>
      </c>
      <c r="G105" t="s">
        <v>385</v>
      </c>
      <c r="H105">
        <f t="shared" si="2"/>
        <v>2.4972067039106145</v>
      </c>
      <c r="I105">
        <f t="shared" si="3"/>
        <v>61.152416356877325</v>
      </c>
    </row>
    <row r="106" spans="1:9">
      <c r="A106">
        <v>105</v>
      </c>
      <c r="B106">
        <v>51</v>
      </c>
      <c r="C106" s="1">
        <v>46223</v>
      </c>
      <c r="D106" t="s">
        <v>382</v>
      </c>
      <c r="E106">
        <v>3</v>
      </c>
      <c r="F106" t="str">
        <f>_xlfn.XLOOKUP(B106,Employee_Master!A:A,Employee_Master!E:E,"Not Found")</f>
        <v>HR</v>
      </c>
      <c r="G106" t="s">
        <v>386</v>
      </c>
      <c r="H106">
        <f t="shared" si="2"/>
        <v>2.5</v>
      </c>
      <c r="I106">
        <f t="shared" si="3"/>
        <v>61.080074487895722</v>
      </c>
    </row>
    <row r="107" spans="1:9">
      <c r="A107">
        <v>106</v>
      </c>
      <c r="B107">
        <v>51</v>
      </c>
      <c r="C107" s="1">
        <v>46129</v>
      </c>
      <c r="D107" t="s">
        <v>382</v>
      </c>
      <c r="E107">
        <v>2</v>
      </c>
      <c r="F107" t="str">
        <f>_xlfn.XLOOKUP(B107,Employee_Master!A:A,Employee_Master!E:E,"Not Found")</f>
        <v>HR</v>
      </c>
      <c r="G107" t="s">
        <v>385</v>
      </c>
      <c r="H107">
        <f t="shared" si="2"/>
        <v>2.4990654205607479</v>
      </c>
      <c r="I107">
        <f t="shared" si="3"/>
        <v>61.194029850746269</v>
      </c>
    </row>
    <row r="108" spans="1:9">
      <c r="A108">
        <v>107</v>
      </c>
      <c r="B108">
        <v>51</v>
      </c>
      <c r="C108" s="1">
        <v>46244</v>
      </c>
      <c r="D108" t="s">
        <v>383</v>
      </c>
      <c r="E108">
        <v>3</v>
      </c>
      <c r="F108" t="str">
        <f>_xlfn.XLOOKUP(B108,Employee_Master!A:A,Employee_Master!E:E,"Not Found")</f>
        <v>HR</v>
      </c>
      <c r="G108" t="s">
        <v>385</v>
      </c>
      <c r="H108">
        <f t="shared" si="2"/>
        <v>2.5</v>
      </c>
      <c r="I108">
        <f t="shared" si="3"/>
        <v>61.308411214953274</v>
      </c>
    </row>
    <row r="109" spans="1:9">
      <c r="A109">
        <v>108</v>
      </c>
      <c r="B109">
        <v>52</v>
      </c>
      <c r="C109" s="1">
        <v>46009</v>
      </c>
      <c r="D109" t="s">
        <v>382</v>
      </c>
      <c r="E109">
        <v>3</v>
      </c>
      <c r="F109" t="str">
        <f>_xlfn.XLOOKUP(B109,Employee_Master!A:A,Employee_Master!E:E,"Not Found")</f>
        <v>Marketing</v>
      </c>
      <c r="G109" t="s">
        <v>381</v>
      </c>
      <c r="H109">
        <f t="shared" si="2"/>
        <v>2.4990619136960599</v>
      </c>
      <c r="I109">
        <f t="shared" si="3"/>
        <v>61.423220973782769</v>
      </c>
    </row>
    <row r="110" spans="1:9">
      <c r="A110">
        <v>109</v>
      </c>
      <c r="B110">
        <v>52</v>
      </c>
      <c r="C110" s="1">
        <v>46004</v>
      </c>
      <c r="D110" t="s">
        <v>383</v>
      </c>
      <c r="E110">
        <v>2</v>
      </c>
      <c r="F110" t="str">
        <f>_xlfn.XLOOKUP(B110,Employee_Master!A:A,Employee_Master!E:E,"Not Found")</f>
        <v>Marketing</v>
      </c>
      <c r="G110" t="s">
        <v>385</v>
      </c>
      <c r="H110">
        <f t="shared" si="2"/>
        <v>2.4981203007518795</v>
      </c>
      <c r="I110">
        <f t="shared" si="3"/>
        <v>61.53846153846154</v>
      </c>
    </row>
    <row r="111" spans="1:9">
      <c r="A111">
        <v>110</v>
      </c>
      <c r="B111">
        <v>52</v>
      </c>
      <c r="C111" s="1">
        <v>46062</v>
      </c>
      <c r="D111" t="s">
        <v>380</v>
      </c>
      <c r="E111">
        <v>3</v>
      </c>
      <c r="F111" t="str">
        <f>_xlfn.XLOOKUP(B111,Employee_Master!A:A,Employee_Master!E:E,"Not Found")</f>
        <v>Marketing</v>
      </c>
      <c r="G111" t="s">
        <v>381</v>
      </c>
      <c r="H111">
        <f t="shared" si="2"/>
        <v>2.4990583804143127</v>
      </c>
      <c r="I111">
        <f t="shared" si="3"/>
        <v>61.466165413533837</v>
      </c>
    </row>
    <row r="112" spans="1:9">
      <c r="A112">
        <v>111</v>
      </c>
      <c r="B112">
        <v>53</v>
      </c>
      <c r="C112" s="1">
        <v>46084</v>
      </c>
      <c r="D112" t="s">
        <v>380</v>
      </c>
      <c r="E112">
        <v>1</v>
      </c>
      <c r="F112" t="str">
        <f>_xlfn.XLOOKUP(B112,Employee_Master!A:A,Employee_Master!E:E,"Not Found")</f>
        <v>Customer Support</v>
      </c>
      <c r="G112" t="s">
        <v>385</v>
      </c>
      <c r="H112">
        <f t="shared" si="2"/>
        <v>2.4981132075471697</v>
      </c>
      <c r="I112">
        <f t="shared" si="3"/>
        <v>61.581920903954803</v>
      </c>
    </row>
    <row r="113" spans="1:9">
      <c r="A113">
        <v>112</v>
      </c>
      <c r="B113">
        <v>53</v>
      </c>
      <c r="C113" s="1">
        <v>46141</v>
      </c>
      <c r="D113" t="s">
        <v>380</v>
      </c>
      <c r="E113">
        <v>4</v>
      </c>
      <c r="F113" t="str">
        <f>_xlfn.XLOOKUP(B113,Employee_Master!A:A,Employee_Master!E:E,"Not Found")</f>
        <v>Customer Support</v>
      </c>
      <c r="G113" t="s">
        <v>381</v>
      </c>
      <c r="H113">
        <f t="shared" si="2"/>
        <v>2.5009451795841211</v>
      </c>
      <c r="I113">
        <f t="shared" si="3"/>
        <v>61.509433962264147</v>
      </c>
    </row>
    <row r="114" spans="1:9">
      <c r="A114">
        <v>113</v>
      </c>
      <c r="B114">
        <v>53</v>
      </c>
      <c r="C114" s="1">
        <v>46251</v>
      </c>
      <c r="D114" t="s">
        <v>383</v>
      </c>
      <c r="E114">
        <v>2</v>
      </c>
      <c r="F114" t="str">
        <f>_xlfn.XLOOKUP(B114,Employee_Master!A:A,Employee_Master!E:E,"Not Found")</f>
        <v>Customer Support</v>
      </c>
      <c r="G114" t="s">
        <v>385</v>
      </c>
      <c r="H114">
        <f t="shared" si="2"/>
        <v>2.4981060606060606</v>
      </c>
      <c r="I114">
        <f t="shared" si="3"/>
        <v>61.625708884688088</v>
      </c>
    </row>
    <row r="115" spans="1:9">
      <c r="A115">
        <v>114</v>
      </c>
      <c r="B115">
        <v>54</v>
      </c>
      <c r="C115" s="1">
        <v>46144</v>
      </c>
      <c r="D115" t="s">
        <v>382</v>
      </c>
      <c r="E115">
        <v>4</v>
      </c>
      <c r="F115" t="str">
        <f>_xlfn.XLOOKUP(B115,Employee_Master!A:A,Employee_Master!E:E,"Not Found")</f>
        <v>Operations</v>
      </c>
      <c r="G115" t="s">
        <v>385</v>
      </c>
      <c r="H115">
        <f t="shared" si="2"/>
        <v>2.4990512333965844</v>
      </c>
      <c r="I115">
        <f t="shared" si="3"/>
        <v>61.553030303030297</v>
      </c>
    </row>
    <row r="116" spans="1:9">
      <c r="A116">
        <v>115</v>
      </c>
      <c r="B116">
        <v>54</v>
      </c>
      <c r="C116" s="1">
        <v>46129</v>
      </c>
      <c r="D116" t="s">
        <v>382</v>
      </c>
      <c r="E116">
        <v>3</v>
      </c>
      <c r="F116" t="str">
        <f>_xlfn.XLOOKUP(B116,Employee_Master!A:A,Employee_Master!E:E,"Not Found")</f>
        <v>Operations</v>
      </c>
      <c r="G116" t="s">
        <v>381</v>
      </c>
      <c r="H116">
        <f t="shared" si="2"/>
        <v>2.4961977186311786</v>
      </c>
      <c r="I116">
        <f t="shared" si="3"/>
        <v>61.669829222011387</v>
      </c>
    </row>
    <row r="117" spans="1:9">
      <c r="A117">
        <v>116</v>
      </c>
      <c r="B117">
        <v>54</v>
      </c>
      <c r="C117" s="1">
        <v>46097</v>
      </c>
      <c r="D117" t="s">
        <v>382</v>
      </c>
      <c r="E117">
        <v>2</v>
      </c>
      <c r="F117" t="str">
        <f>_xlfn.XLOOKUP(B117,Employee_Master!A:A,Employee_Master!E:E,"Not Found")</f>
        <v>Operations</v>
      </c>
      <c r="G117" t="s">
        <v>386</v>
      </c>
      <c r="H117">
        <f t="shared" si="2"/>
        <v>2.4952380952380953</v>
      </c>
      <c r="I117">
        <f t="shared" si="3"/>
        <v>61.78707224334601</v>
      </c>
    </row>
    <row r="118" spans="1:9">
      <c r="A118">
        <v>117</v>
      </c>
      <c r="B118">
        <v>55</v>
      </c>
      <c r="C118" s="1">
        <v>46056</v>
      </c>
      <c r="D118" t="s">
        <v>380</v>
      </c>
      <c r="E118">
        <v>2</v>
      </c>
      <c r="F118" t="str">
        <f>_xlfn.XLOOKUP(B118,Employee_Master!A:A,Employee_Master!E:E,"Not Found")</f>
        <v>Sales</v>
      </c>
      <c r="G118" t="s">
        <v>386</v>
      </c>
      <c r="H118">
        <f t="shared" si="2"/>
        <v>2.4961832061068701</v>
      </c>
      <c r="I118">
        <f t="shared" si="3"/>
        <v>61.714285714285708</v>
      </c>
    </row>
    <row r="119" spans="1:9">
      <c r="A119">
        <v>118</v>
      </c>
      <c r="B119">
        <v>56</v>
      </c>
      <c r="C119" s="1">
        <v>46268</v>
      </c>
      <c r="D119" t="s">
        <v>383</v>
      </c>
      <c r="E119">
        <v>4</v>
      </c>
      <c r="F119" t="str">
        <f>_xlfn.XLOOKUP(B119,Employee_Master!A:A,Employee_Master!E:E,"Not Found")</f>
        <v>IT</v>
      </c>
      <c r="G119" t="s">
        <v>386</v>
      </c>
      <c r="H119">
        <f t="shared" si="2"/>
        <v>2.497131931166348</v>
      </c>
      <c r="I119">
        <f t="shared" si="3"/>
        <v>61.832061068702295</v>
      </c>
    </row>
    <row r="120" spans="1:9">
      <c r="A120">
        <v>119</v>
      </c>
      <c r="B120">
        <v>57</v>
      </c>
      <c r="C120" s="1">
        <v>46122</v>
      </c>
      <c r="D120" t="s">
        <v>383</v>
      </c>
      <c r="E120">
        <v>2</v>
      </c>
      <c r="F120" t="str">
        <f>_xlfn.XLOOKUP(B120,Employee_Master!A:A,Employee_Master!E:E,"Not Found")</f>
        <v>Customer Support</v>
      </c>
      <c r="G120" t="s">
        <v>385</v>
      </c>
      <c r="H120">
        <f t="shared" si="2"/>
        <v>2.4942528735632186</v>
      </c>
      <c r="I120">
        <f t="shared" si="3"/>
        <v>61.950286806883369</v>
      </c>
    </row>
    <row r="121" spans="1:9">
      <c r="A121">
        <v>120</v>
      </c>
      <c r="B121">
        <v>57</v>
      </c>
      <c r="C121" s="1">
        <v>46003</v>
      </c>
      <c r="D121" t="s">
        <v>382</v>
      </c>
      <c r="E121">
        <v>1</v>
      </c>
      <c r="F121" t="str">
        <f>_xlfn.XLOOKUP(B121,Employee_Master!A:A,Employee_Master!E:E,"Not Found")</f>
        <v>Customer Support</v>
      </c>
      <c r="G121" t="s">
        <v>386</v>
      </c>
      <c r="H121">
        <f t="shared" si="2"/>
        <v>2.4952015355086372</v>
      </c>
      <c r="I121">
        <f t="shared" si="3"/>
        <v>62.068965517241381</v>
      </c>
    </row>
    <row r="122" spans="1:9">
      <c r="A122">
        <v>121</v>
      </c>
      <c r="B122">
        <v>57</v>
      </c>
      <c r="C122" s="1">
        <v>46264</v>
      </c>
      <c r="D122" t="s">
        <v>382</v>
      </c>
      <c r="E122">
        <v>3</v>
      </c>
      <c r="F122" t="str">
        <f>_xlfn.XLOOKUP(B122,Employee_Master!A:A,Employee_Master!E:E,"Not Found")</f>
        <v>Customer Support</v>
      </c>
      <c r="G122" t="s">
        <v>386</v>
      </c>
      <c r="H122">
        <f t="shared" si="2"/>
        <v>2.4980769230769231</v>
      </c>
      <c r="I122">
        <f t="shared" si="3"/>
        <v>62.188099808061423</v>
      </c>
    </row>
    <row r="123" spans="1:9">
      <c r="A123">
        <v>122</v>
      </c>
      <c r="B123">
        <v>58</v>
      </c>
      <c r="C123" s="1">
        <v>45957</v>
      </c>
      <c r="D123" t="s">
        <v>380</v>
      </c>
      <c r="E123">
        <v>2</v>
      </c>
      <c r="F123" t="str">
        <f>_xlfn.XLOOKUP(B123,Employee_Master!A:A,Employee_Master!E:E,"Not Found")</f>
        <v>HR</v>
      </c>
      <c r="G123" t="s">
        <v>381</v>
      </c>
      <c r="H123">
        <f t="shared" si="2"/>
        <v>2.4971098265895955</v>
      </c>
      <c r="I123">
        <f t="shared" si="3"/>
        <v>62.307692307692307</v>
      </c>
    </row>
    <row r="124" spans="1:9">
      <c r="A124">
        <v>123</v>
      </c>
      <c r="B124">
        <v>58</v>
      </c>
      <c r="C124" s="1">
        <v>46213</v>
      </c>
      <c r="D124" t="s">
        <v>380</v>
      </c>
      <c r="E124">
        <v>4</v>
      </c>
      <c r="F124" t="str">
        <f>_xlfn.XLOOKUP(B124,Employee_Master!A:A,Employee_Master!E:E,"Not Found")</f>
        <v>HR</v>
      </c>
      <c r="G124" t="s">
        <v>386</v>
      </c>
      <c r="H124">
        <f t="shared" si="2"/>
        <v>2.4980694980694982</v>
      </c>
      <c r="I124">
        <f t="shared" si="3"/>
        <v>62.427745664739888</v>
      </c>
    </row>
    <row r="125" spans="1:9">
      <c r="A125">
        <v>124</v>
      </c>
      <c r="B125">
        <v>58</v>
      </c>
      <c r="C125" s="1">
        <v>46152</v>
      </c>
      <c r="D125" t="s">
        <v>380</v>
      </c>
      <c r="E125">
        <v>4</v>
      </c>
      <c r="F125" t="str">
        <f>_xlfn.XLOOKUP(B125,Employee_Master!A:A,Employee_Master!E:E,"Not Found")</f>
        <v>HR</v>
      </c>
      <c r="G125" t="s">
        <v>381</v>
      </c>
      <c r="H125">
        <f t="shared" si="2"/>
        <v>2.495164410058027</v>
      </c>
      <c r="I125">
        <f t="shared" si="3"/>
        <v>62.355212355212352</v>
      </c>
    </row>
    <row r="126" spans="1:9">
      <c r="A126">
        <v>125</v>
      </c>
      <c r="B126">
        <v>59</v>
      </c>
      <c r="C126" s="1">
        <v>46128</v>
      </c>
      <c r="D126" t="s">
        <v>380</v>
      </c>
      <c r="E126">
        <v>3</v>
      </c>
      <c r="F126" t="str">
        <f>_xlfn.XLOOKUP(B126,Employee_Master!A:A,Employee_Master!E:E,"Not Found")</f>
        <v>Sales</v>
      </c>
      <c r="G126" t="s">
        <v>386</v>
      </c>
      <c r="H126">
        <f t="shared" si="2"/>
        <v>2.4922480620155039</v>
      </c>
      <c r="I126">
        <f t="shared" si="3"/>
        <v>62.475822050290134</v>
      </c>
    </row>
    <row r="127" spans="1:9">
      <c r="A127">
        <v>126</v>
      </c>
      <c r="B127">
        <v>60</v>
      </c>
      <c r="C127" s="1">
        <v>46259</v>
      </c>
      <c r="D127" t="s">
        <v>382</v>
      </c>
      <c r="E127">
        <v>2</v>
      </c>
      <c r="F127" t="str">
        <f>_xlfn.XLOOKUP(B127,Employee_Master!A:A,Employee_Master!E:E,"Not Found")</f>
        <v>HR</v>
      </c>
      <c r="G127" t="s">
        <v>381</v>
      </c>
      <c r="H127">
        <f t="shared" si="2"/>
        <v>2.4912621359223301</v>
      </c>
      <c r="I127">
        <f t="shared" si="3"/>
        <v>62.403100775193799</v>
      </c>
    </row>
    <row r="128" spans="1:9">
      <c r="A128">
        <v>127</v>
      </c>
      <c r="B128">
        <v>61</v>
      </c>
      <c r="C128" s="1">
        <v>46093</v>
      </c>
      <c r="D128" t="s">
        <v>382</v>
      </c>
      <c r="E128">
        <v>2</v>
      </c>
      <c r="F128" t="str">
        <f>_xlfn.XLOOKUP(B128,Employee_Master!A:A,Employee_Master!E:E,"Not Found")</f>
        <v>Customer Support</v>
      </c>
      <c r="G128" t="s">
        <v>381</v>
      </c>
      <c r="H128">
        <f t="shared" si="2"/>
        <v>2.4922178988326849</v>
      </c>
      <c r="I128">
        <f t="shared" si="3"/>
        <v>62.524271844660198</v>
      </c>
    </row>
    <row r="129" spans="1:9">
      <c r="A129">
        <v>128</v>
      </c>
      <c r="B129">
        <v>61</v>
      </c>
      <c r="C129" s="1">
        <v>46180</v>
      </c>
      <c r="D129" t="s">
        <v>383</v>
      </c>
      <c r="E129">
        <v>1</v>
      </c>
      <c r="F129" t="str">
        <f>_xlfn.XLOOKUP(B129,Employee_Master!A:A,Employee_Master!E:E,"Not Found")</f>
        <v>Customer Support</v>
      </c>
      <c r="G129" t="s">
        <v>381</v>
      </c>
      <c r="H129">
        <f t="shared" si="2"/>
        <v>2.4931773879142298</v>
      </c>
      <c r="I129">
        <f t="shared" si="3"/>
        <v>62.451361867704279</v>
      </c>
    </row>
    <row r="130" spans="1:9">
      <c r="A130">
        <v>129</v>
      </c>
      <c r="B130">
        <v>61</v>
      </c>
      <c r="C130" s="1">
        <v>45964</v>
      </c>
      <c r="D130" t="s">
        <v>384</v>
      </c>
      <c r="E130">
        <v>1</v>
      </c>
      <c r="F130" t="str">
        <f>_xlfn.XLOOKUP(B130,Employee_Master!A:A,Employee_Master!E:E,"Not Found")</f>
        <v>Customer Support</v>
      </c>
      <c r="G130" t="s">
        <v>381</v>
      </c>
      <c r="H130">
        <f t="shared" ref="H130:H193" si="4">AVERAGE(E130:E769)</f>
        <v>2.49609375</v>
      </c>
      <c r="I130">
        <f t="shared" ref="I130:I193" si="5">COUNTIF(G129:G768,"Approved")/COUNTA(G129:G768)*100</f>
        <v>62.378167641325533</v>
      </c>
    </row>
    <row r="131" spans="1:9">
      <c r="A131">
        <v>130</v>
      </c>
      <c r="B131">
        <v>63</v>
      </c>
      <c r="C131" s="1">
        <v>45977</v>
      </c>
      <c r="D131" t="s">
        <v>383</v>
      </c>
      <c r="E131">
        <v>3</v>
      </c>
      <c r="F131" t="str">
        <f>_xlfn.XLOOKUP(B131,Employee_Master!A:A,Employee_Master!E:E,"Not Found")</f>
        <v>Operations</v>
      </c>
      <c r="G131" t="s">
        <v>381</v>
      </c>
      <c r="H131">
        <f t="shared" si="4"/>
        <v>2.4990215264187867</v>
      </c>
      <c r="I131">
        <f t="shared" si="5"/>
        <v>62.3046875</v>
      </c>
    </row>
    <row r="132" spans="1:9">
      <c r="A132">
        <v>131</v>
      </c>
      <c r="B132">
        <v>63</v>
      </c>
      <c r="C132" s="1">
        <v>46008</v>
      </c>
      <c r="D132" t="s">
        <v>380</v>
      </c>
      <c r="E132">
        <v>3</v>
      </c>
      <c r="F132" t="str">
        <f>_xlfn.XLOOKUP(B132,Employee_Master!A:A,Employee_Master!E:E,"Not Found")</f>
        <v>Operations</v>
      </c>
      <c r="G132" t="s">
        <v>381</v>
      </c>
      <c r="H132">
        <f t="shared" si="4"/>
        <v>2.4980392156862745</v>
      </c>
      <c r="I132">
        <f t="shared" si="5"/>
        <v>62.230919765166334</v>
      </c>
    </row>
    <row r="133" spans="1:9">
      <c r="A133">
        <v>132</v>
      </c>
      <c r="B133">
        <v>64</v>
      </c>
      <c r="C133" s="1">
        <v>46250</v>
      </c>
      <c r="D133" t="s">
        <v>383</v>
      </c>
      <c r="E133">
        <v>4</v>
      </c>
      <c r="F133" t="str">
        <f>_xlfn.XLOOKUP(B133,Employee_Master!A:A,Employee_Master!E:E,"Not Found")</f>
        <v>Marketing</v>
      </c>
      <c r="G133" t="s">
        <v>385</v>
      </c>
      <c r="H133">
        <f t="shared" si="4"/>
        <v>2.4970530451866404</v>
      </c>
      <c r="I133">
        <f t="shared" si="5"/>
        <v>62.156862745098039</v>
      </c>
    </row>
    <row r="134" spans="1:9">
      <c r="A134">
        <v>133</v>
      </c>
      <c r="B134">
        <v>64</v>
      </c>
      <c r="C134" s="1">
        <v>46104</v>
      </c>
      <c r="D134" t="s">
        <v>380</v>
      </c>
      <c r="E134">
        <v>3</v>
      </c>
      <c r="F134" t="str">
        <f>_xlfn.XLOOKUP(B134,Employee_Master!A:A,Employee_Master!E:E,"Not Found")</f>
        <v>Marketing</v>
      </c>
      <c r="G134" t="s">
        <v>381</v>
      </c>
      <c r="H134">
        <f t="shared" si="4"/>
        <v>2.4940944881889764</v>
      </c>
      <c r="I134">
        <f t="shared" si="5"/>
        <v>62.082514734774065</v>
      </c>
    </row>
    <row r="135" spans="1:9">
      <c r="A135">
        <v>134</v>
      </c>
      <c r="B135">
        <v>66</v>
      </c>
      <c r="C135" s="1">
        <v>46012</v>
      </c>
      <c r="D135" t="s">
        <v>380</v>
      </c>
      <c r="E135">
        <v>2</v>
      </c>
      <c r="F135" t="str">
        <f>_xlfn.XLOOKUP(B135,Employee_Master!A:A,Employee_Master!E:E,"Not Found")</f>
        <v>Finance</v>
      </c>
      <c r="G135" t="s">
        <v>385</v>
      </c>
      <c r="H135">
        <f t="shared" si="4"/>
        <v>2.4930966469428006</v>
      </c>
      <c r="I135">
        <f t="shared" si="5"/>
        <v>62.204724409448822</v>
      </c>
    </row>
    <row r="136" spans="1:9">
      <c r="A136">
        <v>135</v>
      </c>
      <c r="B136">
        <v>66</v>
      </c>
      <c r="C136" s="1">
        <v>45991</v>
      </c>
      <c r="D136" t="s">
        <v>382</v>
      </c>
      <c r="E136">
        <v>2</v>
      </c>
      <c r="F136" t="str">
        <f>_xlfn.XLOOKUP(B136,Employee_Master!A:A,Employee_Master!E:E,"Not Found")</f>
        <v>Finance</v>
      </c>
      <c r="G136" t="s">
        <v>386</v>
      </c>
      <c r="H136">
        <f t="shared" si="4"/>
        <v>2.4940711462450591</v>
      </c>
      <c r="I136">
        <f t="shared" si="5"/>
        <v>62.130177514792898</v>
      </c>
    </row>
    <row r="137" spans="1:9">
      <c r="A137">
        <v>136</v>
      </c>
      <c r="B137">
        <v>66</v>
      </c>
      <c r="C137" s="1">
        <v>46213</v>
      </c>
      <c r="D137" t="s">
        <v>382</v>
      </c>
      <c r="E137">
        <v>3</v>
      </c>
      <c r="F137" t="str">
        <f>_xlfn.XLOOKUP(B137,Employee_Master!A:A,Employee_Master!E:E,"Not Found")</f>
        <v>Finance</v>
      </c>
      <c r="G137" t="s">
        <v>381</v>
      </c>
      <c r="H137">
        <f t="shared" si="4"/>
        <v>2.495049504950495</v>
      </c>
      <c r="I137">
        <f t="shared" si="5"/>
        <v>62.252964426877469</v>
      </c>
    </row>
    <row r="138" spans="1:9">
      <c r="A138">
        <v>137</v>
      </c>
      <c r="B138">
        <v>66</v>
      </c>
      <c r="C138" s="1">
        <v>45989</v>
      </c>
      <c r="D138" t="s">
        <v>380</v>
      </c>
      <c r="E138">
        <v>4</v>
      </c>
      <c r="F138" t="str">
        <f>_xlfn.XLOOKUP(B138,Employee_Master!A:A,Employee_Master!E:E,"Not Found")</f>
        <v>Finance</v>
      </c>
      <c r="G138" t="s">
        <v>381</v>
      </c>
      <c r="H138">
        <f t="shared" si="4"/>
        <v>2.4940476190476191</v>
      </c>
      <c r="I138">
        <f t="shared" si="5"/>
        <v>62.376237623762378</v>
      </c>
    </row>
    <row r="139" spans="1:9">
      <c r="A139">
        <v>138</v>
      </c>
      <c r="B139">
        <v>68</v>
      </c>
      <c r="C139" s="1">
        <v>46126</v>
      </c>
      <c r="D139" t="s">
        <v>382</v>
      </c>
      <c r="E139">
        <v>4</v>
      </c>
      <c r="F139" t="str">
        <f>_xlfn.XLOOKUP(B139,Employee_Master!A:A,Employee_Master!E:E,"Not Found")</f>
        <v>HR</v>
      </c>
      <c r="G139" t="s">
        <v>385</v>
      </c>
      <c r="H139">
        <f t="shared" si="4"/>
        <v>2.4910536779324057</v>
      </c>
      <c r="I139">
        <f t="shared" si="5"/>
        <v>62.301587301587304</v>
      </c>
    </row>
    <row r="140" spans="1:9">
      <c r="A140">
        <v>139</v>
      </c>
      <c r="B140">
        <v>69</v>
      </c>
      <c r="C140" s="1">
        <v>45941</v>
      </c>
      <c r="D140" t="s">
        <v>383</v>
      </c>
      <c r="E140">
        <v>4</v>
      </c>
      <c r="F140" t="str">
        <f>_xlfn.XLOOKUP(B140,Employee_Master!A:A,Employee_Master!E:E,"Not Found")</f>
        <v>Customer Support</v>
      </c>
      <c r="G140" t="s">
        <v>386</v>
      </c>
      <c r="H140">
        <f t="shared" si="4"/>
        <v>2.4880478087649402</v>
      </c>
      <c r="I140">
        <f t="shared" si="5"/>
        <v>62.226640159045722</v>
      </c>
    </row>
    <row r="141" spans="1:9">
      <c r="A141">
        <v>140</v>
      </c>
      <c r="B141">
        <v>70</v>
      </c>
      <c r="C141" s="1">
        <v>46024</v>
      </c>
      <c r="D141" t="s">
        <v>382</v>
      </c>
      <c r="E141">
        <v>1</v>
      </c>
      <c r="F141" t="str">
        <f>_xlfn.XLOOKUP(B141,Employee_Master!A:A,Employee_Master!E:E,"Not Found")</f>
        <v>HR</v>
      </c>
      <c r="G141" t="s">
        <v>385</v>
      </c>
      <c r="H141">
        <f t="shared" si="4"/>
        <v>2.4850299401197606</v>
      </c>
      <c r="I141">
        <f t="shared" si="5"/>
        <v>62.350597609561753</v>
      </c>
    </row>
    <row r="142" spans="1:9">
      <c r="A142">
        <v>141</v>
      </c>
      <c r="B142">
        <v>70</v>
      </c>
      <c r="C142" s="1">
        <v>46274</v>
      </c>
      <c r="D142" t="s">
        <v>383</v>
      </c>
      <c r="E142">
        <v>3</v>
      </c>
      <c r="F142" t="str">
        <f>_xlfn.XLOOKUP(B142,Employee_Master!A:A,Employee_Master!E:E,"Not Found")</f>
        <v>HR</v>
      </c>
      <c r="G142" t="s">
        <v>381</v>
      </c>
      <c r="H142">
        <f t="shared" si="4"/>
        <v>2.488</v>
      </c>
      <c r="I142">
        <f t="shared" si="5"/>
        <v>62.4750499001996</v>
      </c>
    </row>
    <row r="143" spans="1:9">
      <c r="A143">
        <v>142</v>
      </c>
      <c r="B143">
        <v>70</v>
      </c>
      <c r="C143" s="1">
        <v>46120</v>
      </c>
      <c r="D143" t="s">
        <v>384</v>
      </c>
      <c r="E143">
        <v>2</v>
      </c>
      <c r="F143" t="str">
        <f>_xlfn.XLOOKUP(B143,Employee_Master!A:A,Employee_Master!E:E,"Not Found")</f>
        <v>HR</v>
      </c>
      <c r="G143" t="s">
        <v>381</v>
      </c>
      <c r="H143">
        <f t="shared" si="4"/>
        <v>2.4869739478957915</v>
      </c>
      <c r="I143">
        <f t="shared" si="5"/>
        <v>62.6</v>
      </c>
    </row>
    <row r="144" spans="1:9">
      <c r="A144">
        <v>143</v>
      </c>
      <c r="B144">
        <v>70</v>
      </c>
      <c r="C144" s="1">
        <v>46250</v>
      </c>
      <c r="D144" t="s">
        <v>383</v>
      </c>
      <c r="E144">
        <v>4</v>
      </c>
      <c r="F144" t="str">
        <f>_xlfn.XLOOKUP(B144,Employee_Master!A:A,Employee_Master!E:E,"Not Found")</f>
        <v>HR</v>
      </c>
      <c r="G144" t="s">
        <v>381</v>
      </c>
      <c r="H144">
        <f t="shared" si="4"/>
        <v>2.4879518072289155</v>
      </c>
      <c r="I144">
        <f t="shared" si="5"/>
        <v>62.525050100200396</v>
      </c>
    </row>
    <row r="145" spans="1:9">
      <c r="A145">
        <v>144</v>
      </c>
      <c r="B145">
        <v>72</v>
      </c>
      <c r="C145" s="1">
        <v>46255</v>
      </c>
      <c r="D145" t="s">
        <v>383</v>
      </c>
      <c r="E145">
        <v>3</v>
      </c>
      <c r="F145" t="str">
        <f>_xlfn.XLOOKUP(B145,Employee_Master!A:A,Employee_Master!E:E,"Not Found")</f>
        <v>HR</v>
      </c>
      <c r="G145" t="s">
        <v>381</v>
      </c>
      <c r="H145">
        <f t="shared" si="4"/>
        <v>2.4849094567404428</v>
      </c>
      <c r="I145">
        <f t="shared" si="5"/>
        <v>62.449799196787147</v>
      </c>
    </row>
    <row r="146" spans="1:9">
      <c r="A146">
        <v>145</v>
      </c>
      <c r="B146">
        <v>73</v>
      </c>
      <c r="C146" s="1">
        <v>46239</v>
      </c>
      <c r="D146" t="s">
        <v>382</v>
      </c>
      <c r="E146">
        <v>1</v>
      </c>
      <c r="F146" t="str">
        <f>_xlfn.XLOOKUP(B146,Employee_Master!A:A,Employee_Master!E:E,"Not Found")</f>
        <v>IT</v>
      </c>
      <c r="G146" t="s">
        <v>386</v>
      </c>
      <c r="H146">
        <f t="shared" si="4"/>
        <v>2.4838709677419355</v>
      </c>
      <c r="I146">
        <f t="shared" si="5"/>
        <v>62.374245472837018</v>
      </c>
    </row>
    <row r="147" spans="1:9">
      <c r="A147">
        <v>146</v>
      </c>
      <c r="B147">
        <v>73</v>
      </c>
      <c r="C147" s="1">
        <v>46233</v>
      </c>
      <c r="D147" t="s">
        <v>382</v>
      </c>
      <c r="E147">
        <v>2</v>
      </c>
      <c r="F147" t="str">
        <f>_xlfn.XLOOKUP(B147,Employee_Master!A:A,Employee_Master!E:E,"Not Found")</f>
        <v>IT</v>
      </c>
      <c r="G147" t="s">
        <v>381</v>
      </c>
      <c r="H147">
        <f t="shared" si="4"/>
        <v>2.4868686868686867</v>
      </c>
      <c r="I147">
        <f t="shared" si="5"/>
        <v>62.298387096774185</v>
      </c>
    </row>
    <row r="148" spans="1:9">
      <c r="A148">
        <v>147</v>
      </c>
      <c r="B148">
        <v>74</v>
      </c>
      <c r="C148" s="1">
        <v>46029</v>
      </c>
      <c r="D148" t="s">
        <v>383</v>
      </c>
      <c r="E148">
        <v>1</v>
      </c>
      <c r="F148" t="str">
        <f>_xlfn.XLOOKUP(B148,Employee_Master!A:A,Employee_Master!E:E,"Not Found")</f>
        <v>Marketing</v>
      </c>
      <c r="G148" t="s">
        <v>385</v>
      </c>
      <c r="H148">
        <f t="shared" si="4"/>
        <v>2.4878542510121457</v>
      </c>
      <c r="I148">
        <f t="shared" si="5"/>
        <v>62.424242424242429</v>
      </c>
    </row>
    <row r="149" spans="1:9">
      <c r="A149">
        <v>148</v>
      </c>
      <c r="B149">
        <v>74</v>
      </c>
      <c r="C149" s="1">
        <v>46094</v>
      </c>
      <c r="D149" t="s">
        <v>380</v>
      </c>
      <c r="E149">
        <v>1</v>
      </c>
      <c r="F149" t="str">
        <f>_xlfn.XLOOKUP(B149,Employee_Master!A:A,Employee_Master!E:E,"Not Found")</f>
        <v>Marketing</v>
      </c>
      <c r="G149" t="s">
        <v>381</v>
      </c>
      <c r="H149">
        <f t="shared" si="4"/>
        <v>2.4908722109533468</v>
      </c>
      <c r="I149">
        <f t="shared" si="5"/>
        <v>62.348178137651821</v>
      </c>
    </row>
    <row r="150" spans="1:9">
      <c r="A150">
        <v>149</v>
      </c>
      <c r="B150">
        <v>75</v>
      </c>
      <c r="C150" s="1">
        <v>46065</v>
      </c>
      <c r="D150" t="s">
        <v>382</v>
      </c>
      <c r="E150">
        <v>4</v>
      </c>
      <c r="F150" t="str">
        <f>_xlfn.XLOOKUP(B150,Employee_Master!A:A,Employee_Master!E:E,"Not Found")</f>
        <v>Customer Support</v>
      </c>
      <c r="G150" t="s">
        <v>381</v>
      </c>
      <c r="H150">
        <f t="shared" si="4"/>
        <v>2.4939024390243905</v>
      </c>
      <c r="I150">
        <f t="shared" si="5"/>
        <v>62.474645030425968</v>
      </c>
    </row>
    <row r="151" spans="1:9">
      <c r="A151">
        <v>150</v>
      </c>
      <c r="B151">
        <v>75</v>
      </c>
      <c r="C151" s="1">
        <v>45951</v>
      </c>
      <c r="D151" t="s">
        <v>383</v>
      </c>
      <c r="E151">
        <v>4</v>
      </c>
      <c r="F151" t="str">
        <f>_xlfn.XLOOKUP(B151,Employee_Master!A:A,Employee_Master!E:E,"Not Found")</f>
        <v>Customer Support</v>
      </c>
      <c r="G151" t="s">
        <v>381</v>
      </c>
      <c r="H151">
        <f t="shared" si="4"/>
        <v>2.4908350305498983</v>
      </c>
      <c r="I151">
        <f t="shared" si="5"/>
        <v>62.398373983739845</v>
      </c>
    </row>
    <row r="152" spans="1:9">
      <c r="A152">
        <v>151</v>
      </c>
      <c r="B152">
        <v>76</v>
      </c>
      <c r="C152" s="1">
        <v>46213</v>
      </c>
      <c r="D152" t="s">
        <v>384</v>
      </c>
      <c r="E152">
        <v>2</v>
      </c>
      <c r="F152" t="str">
        <f>_xlfn.XLOOKUP(B152,Employee_Master!A:A,Employee_Master!E:E,"Not Found")</f>
        <v>Finance</v>
      </c>
      <c r="G152" t="s">
        <v>386</v>
      </c>
      <c r="H152">
        <f t="shared" si="4"/>
        <v>2.4877551020408162</v>
      </c>
      <c r="I152">
        <f t="shared" si="5"/>
        <v>62.321792260692469</v>
      </c>
    </row>
    <row r="153" spans="1:9">
      <c r="A153">
        <v>152</v>
      </c>
      <c r="B153">
        <v>76</v>
      </c>
      <c r="C153" s="1">
        <v>45936</v>
      </c>
      <c r="D153" t="s">
        <v>384</v>
      </c>
      <c r="E153">
        <v>3</v>
      </c>
      <c r="F153" t="str">
        <f>_xlfn.XLOOKUP(B153,Employee_Master!A:A,Employee_Master!E:E,"Not Found")</f>
        <v>Finance</v>
      </c>
      <c r="G153" t="s">
        <v>385</v>
      </c>
      <c r="H153">
        <f t="shared" si="4"/>
        <v>2.4887525562372188</v>
      </c>
      <c r="I153">
        <f t="shared" si="5"/>
        <v>62.244897959183675</v>
      </c>
    </row>
    <row r="154" spans="1:9">
      <c r="A154">
        <v>153</v>
      </c>
      <c r="B154">
        <v>77</v>
      </c>
      <c r="C154" s="1">
        <v>46171</v>
      </c>
      <c r="D154" t="s">
        <v>382</v>
      </c>
      <c r="E154">
        <v>4</v>
      </c>
      <c r="F154" t="str">
        <f>_xlfn.XLOOKUP(B154,Employee_Master!A:A,Employee_Master!E:E,"Not Found")</f>
        <v>Finance</v>
      </c>
      <c r="G154" t="s">
        <v>381</v>
      </c>
      <c r="H154">
        <f t="shared" si="4"/>
        <v>2.487704918032787</v>
      </c>
      <c r="I154">
        <f t="shared" si="5"/>
        <v>62.372188139059304</v>
      </c>
    </row>
    <row r="155" spans="1:9">
      <c r="A155">
        <v>154</v>
      </c>
      <c r="B155">
        <v>78</v>
      </c>
      <c r="C155" s="1">
        <v>46287</v>
      </c>
      <c r="D155" t="s">
        <v>382</v>
      </c>
      <c r="E155">
        <v>3</v>
      </c>
      <c r="F155" t="str">
        <f>_xlfn.XLOOKUP(B155,Employee_Master!A:A,Employee_Master!E:E,"Not Found")</f>
        <v>Operations</v>
      </c>
      <c r="G155" t="s">
        <v>381</v>
      </c>
      <c r="H155">
        <f t="shared" si="4"/>
        <v>2.4845995893223818</v>
      </c>
      <c r="I155">
        <f t="shared" si="5"/>
        <v>62.5</v>
      </c>
    </row>
    <row r="156" spans="1:9">
      <c r="A156">
        <v>155</v>
      </c>
      <c r="B156">
        <v>78</v>
      </c>
      <c r="C156" s="1">
        <v>46193</v>
      </c>
      <c r="D156" t="s">
        <v>382</v>
      </c>
      <c r="E156">
        <v>4</v>
      </c>
      <c r="F156" t="str">
        <f>_xlfn.XLOOKUP(B156,Employee_Master!A:A,Employee_Master!E:E,"Not Found")</f>
        <v>Operations</v>
      </c>
      <c r="G156" t="s">
        <v>381</v>
      </c>
      <c r="H156">
        <f t="shared" si="4"/>
        <v>2.4835390946502058</v>
      </c>
      <c r="I156">
        <f t="shared" si="5"/>
        <v>62.422997946611915</v>
      </c>
    </row>
    <row r="157" spans="1:9">
      <c r="A157">
        <v>156</v>
      </c>
      <c r="B157">
        <v>79</v>
      </c>
      <c r="C157" s="1">
        <v>46108</v>
      </c>
      <c r="D157" t="s">
        <v>383</v>
      </c>
      <c r="E157">
        <v>2</v>
      </c>
      <c r="F157" t="str">
        <f>_xlfn.XLOOKUP(B157,Employee_Master!A:A,Employee_Master!E:E,"Not Found")</f>
        <v>Finance</v>
      </c>
      <c r="G157" t="s">
        <v>385</v>
      </c>
      <c r="H157">
        <f t="shared" si="4"/>
        <v>2.4804123711340207</v>
      </c>
      <c r="I157">
        <f t="shared" si="5"/>
        <v>62.345679012345677</v>
      </c>
    </row>
    <row r="158" spans="1:9">
      <c r="A158">
        <v>157</v>
      </c>
      <c r="B158">
        <v>80</v>
      </c>
      <c r="C158" s="1">
        <v>46067</v>
      </c>
      <c r="D158" t="s">
        <v>384</v>
      </c>
      <c r="E158">
        <v>4</v>
      </c>
      <c r="F158" t="str">
        <f>_xlfn.XLOOKUP(B158,Employee_Master!A:A,Employee_Master!E:E,"Not Found")</f>
        <v>IT</v>
      </c>
      <c r="G158" t="s">
        <v>381</v>
      </c>
      <c r="H158">
        <f t="shared" si="4"/>
        <v>2.4814049586776861</v>
      </c>
      <c r="I158">
        <f t="shared" si="5"/>
        <v>62.268041237113401</v>
      </c>
    </row>
    <row r="159" spans="1:9">
      <c r="A159">
        <v>158</v>
      </c>
      <c r="B159">
        <v>80</v>
      </c>
      <c r="C159" s="1">
        <v>46272</v>
      </c>
      <c r="D159" t="s">
        <v>383</v>
      </c>
      <c r="E159">
        <v>1</v>
      </c>
      <c r="F159" t="str">
        <f>_xlfn.XLOOKUP(B159,Employee_Master!A:A,Employee_Master!E:E,"Not Found")</f>
        <v>IT</v>
      </c>
      <c r="G159" t="s">
        <v>381</v>
      </c>
      <c r="H159">
        <f t="shared" si="4"/>
        <v>2.4782608695652173</v>
      </c>
      <c r="I159">
        <f t="shared" si="5"/>
        <v>62.396694214876035</v>
      </c>
    </row>
    <row r="160" spans="1:9">
      <c r="A160">
        <v>159</v>
      </c>
      <c r="B160">
        <v>81</v>
      </c>
      <c r="C160" s="1">
        <v>45985</v>
      </c>
      <c r="D160" t="s">
        <v>380</v>
      </c>
      <c r="E160">
        <v>1</v>
      </c>
      <c r="F160" t="str">
        <f>_xlfn.XLOOKUP(B160,Employee_Master!A:A,Employee_Master!E:E,"Not Found")</f>
        <v>Sales</v>
      </c>
      <c r="G160" t="s">
        <v>381</v>
      </c>
      <c r="H160">
        <f t="shared" si="4"/>
        <v>2.4813278008298756</v>
      </c>
      <c r="I160">
        <f t="shared" si="5"/>
        <v>62.318840579710141</v>
      </c>
    </row>
    <row r="161" spans="1:9">
      <c r="A161">
        <v>160</v>
      </c>
      <c r="B161">
        <v>82</v>
      </c>
      <c r="C161" s="1">
        <v>45964</v>
      </c>
      <c r="D161" t="s">
        <v>380</v>
      </c>
      <c r="E161">
        <v>2</v>
      </c>
      <c r="F161" t="str">
        <f>_xlfn.XLOOKUP(B161,Employee_Master!A:A,Employee_Master!E:E,"Not Found")</f>
        <v>Sales</v>
      </c>
      <c r="G161" t="s">
        <v>381</v>
      </c>
      <c r="H161">
        <f t="shared" si="4"/>
        <v>2.4844074844074844</v>
      </c>
      <c r="I161">
        <f t="shared" si="5"/>
        <v>62.240663900414937</v>
      </c>
    </row>
    <row r="162" spans="1:9">
      <c r="A162">
        <v>161</v>
      </c>
      <c r="B162">
        <v>82</v>
      </c>
      <c r="C162" s="1">
        <v>45969</v>
      </c>
      <c r="D162" t="s">
        <v>384</v>
      </c>
      <c r="E162">
        <v>1</v>
      </c>
      <c r="F162" t="str">
        <f>_xlfn.XLOOKUP(B162,Employee_Master!A:A,Employee_Master!E:E,"Not Found")</f>
        <v>Sales</v>
      </c>
      <c r="G162" t="s">
        <v>381</v>
      </c>
      <c r="H162">
        <f t="shared" si="4"/>
        <v>2.4854166666666666</v>
      </c>
      <c r="I162">
        <f t="shared" si="5"/>
        <v>62.162162162162161</v>
      </c>
    </row>
    <row r="163" spans="1:9">
      <c r="A163">
        <v>162</v>
      </c>
      <c r="B163">
        <v>83</v>
      </c>
      <c r="C163" s="1">
        <v>45967</v>
      </c>
      <c r="D163" t="s">
        <v>380</v>
      </c>
      <c r="E163">
        <v>4</v>
      </c>
      <c r="F163" t="str">
        <f>_xlfn.XLOOKUP(B163,Employee_Master!A:A,Employee_Master!E:E,"Not Found")</f>
        <v>HR</v>
      </c>
      <c r="G163" t="s">
        <v>381</v>
      </c>
      <c r="H163">
        <f t="shared" si="4"/>
        <v>2.4885177453027141</v>
      </c>
      <c r="I163">
        <f t="shared" si="5"/>
        <v>62.083333333333336</v>
      </c>
    </row>
    <row r="164" spans="1:9">
      <c r="A164">
        <v>163</v>
      </c>
      <c r="B164">
        <v>83</v>
      </c>
      <c r="C164" s="1">
        <v>46271</v>
      </c>
      <c r="D164" t="s">
        <v>384</v>
      </c>
      <c r="E164">
        <v>1</v>
      </c>
      <c r="F164" t="str">
        <f>_xlfn.XLOOKUP(B164,Employee_Master!A:A,Employee_Master!E:E,"Not Found")</f>
        <v>HR</v>
      </c>
      <c r="G164" t="s">
        <v>381</v>
      </c>
      <c r="H164">
        <f t="shared" si="4"/>
        <v>2.485355648535565</v>
      </c>
      <c r="I164">
        <f t="shared" si="5"/>
        <v>62.004175365344473</v>
      </c>
    </row>
    <row r="165" spans="1:9">
      <c r="A165">
        <v>164</v>
      </c>
      <c r="B165">
        <v>83</v>
      </c>
      <c r="C165" s="1">
        <v>46291</v>
      </c>
      <c r="D165" t="s">
        <v>380</v>
      </c>
      <c r="E165">
        <v>2</v>
      </c>
      <c r="F165" t="str">
        <f>_xlfn.XLOOKUP(B165,Employee_Master!A:A,Employee_Master!E:E,"Not Found")</f>
        <v>HR</v>
      </c>
      <c r="G165" t="s">
        <v>381</v>
      </c>
      <c r="H165">
        <f t="shared" si="4"/>
        <v>2.4884696016771488</v>
      </c>
      <c r="I165">
        <f t="shared" si="5"/>
        <v>61.924686192468613</v>
      </c>
    </row>
    <row r="166" spans="1:9">
      <c r="A166">
        <v>165</v>
      </c>
      <c r="B166">
        <v>83</v>
      </c>
      <c r="C166" s="1">
        <v>46026</v>
      </c>
      <c r="D166" t="s">
        <v>384</v>
      </c>
      <c r="E166">
        <v>1</v>
      </c>
      <c r="F166" t="str">
        <f>_xlfn.XLOOKUP(B166,Employee_Master!A:A,Employee_Master!E:E,"Not Found")</f>
        <v>HR</v>
      </c>
      <c r="G166" t="s">
        <v>381</v>
      </c>
      <c r="H166">
        <f t="shared" si="4"/>
        <v>2.4894957983193278</v>
      </c>
      <c r="I166">
        <f t="shared" si="5"/>
        <v>61.844863731656183</v>
      </c>
    </row>
    <row r="167" spans="1:9">
      <c r="A167">
        <v>166</v>
      </c>
      <c r="B167">
        <v>84</v>
      </c>
      <c r="C167" s="1">
        <v>46282</v>
      </c>
      <c r="D167" t="s">
        <v>380</v>
      </c>
      <c r="E167">
        <v>2</v>
      </c>
      <c r="F167" t="str">
        <f>_xlfn.XLOOKUP(B167,Employee_Master!A:A,Employee_Master!E:E,"Not Found")</f>
        <v>Customer Support</v>
      </c>
      <c r="G167" t="s">
        <v>381</v>
      </c>
      <c r="H167">
        <f t="shared" si="4"/>
        <v>2.4926315789473685</v>
      </c>
      <c r="I167">
        <f t="shared" si="5"/>
        <v>61.764705882352942</v>
      </c>
    </row>
    <row r="168" spans="1:9">
      <c r="A168">
        <v>167</v>
      </c>
      <c r="B168">
        <v>84</v>
      </c>
      <c r="C168" s="1">
        <v>45971</v>
      </c>
      <c r="D168" t="s">
        <v>382</v>
      </c>
      <c r="E168">
        <v>3</v>
      </c>
      <c r="F168" t="str">
        <f>_xlfn.XLOOKUP(B168,Employee_Master!A:A,Employee_Master!E:E,"Not Found")</f>
        <v>Customer Support</v>
      </c>
      <c r="G168" t="s">
        <v>386</v>
      </c>
      <c r="H168">
        <f t="shared" si="4"/>
        <v>2.4936708860759493</v>
      </c>
      <c r="I168">
        <f t="shared" si="5"/>
        <v>61.684210526315788</v>
      </c>
    </row>
    <row r="169" spans="1:9">
      <c r="A169">
        <v>168</v>
      </c>
      <c r="B169">
        <v>84</v>
      </c>
      <c r="C169" s="1">
        <v>46029</v>
      </c>
      <c r="D169" t="s">
        <v>382</v>
      </c>
      <c r="E169">
        <v>2</v>
      </c>
      <c r="F169" t="str">
        <f>_xlfn.XLOOKUP(B169,Employee_Master!A:A,Employee_Master!E:E,"Not Found")</f>
        <v>Customer Support</v>
      </c>
      <c r="G169" t="s">
        <v>385</v>
      </c>
      <c r="H169">
        <f t="shared" si="4"/>
        <v>2.492600422832981</v>
      </c>
      <c r="I169">
        <f t="shared" si="5"/>
        <v>61.603375527426167</v>
      </c>
    </row>
    <row r="170" spans="1:9">
      <c r="A170">
        <v>169</v>
      </c>
      <c r="B170">
        <v>85</v>
      </c>
      <c r="C170" s="1">
        <v>46292</v>
      </c>
      <c r="D170" t="s">
        <v>380</v>
      </c>
      <c r="E170">
        <v>4</v>
      </c>
      <c r="F170" t="str">
        <f>_xlfn.XLOOKUP(B170,Employee_Master!A:A,Employee_Master!E:E,"Not Found")</f>
        <v>Customer Support</v>
      </c>
      <c r="G170" t="s">
        <v>381</v>
      </c>
      <c r="H170">
        <f t="shared" si="4"/>
        <v>2.4936440677966103</v>
      </c>
      <c r="I170">
        <f t="shared" si="5"/>
        <v>61.733615221987314</v>
      </c>
    </row>
    <row r="171" spans="1:9">
      <c r="A171">
        <v>170</v>
      </c>
      <c r="B171">
        <v>85</v>
      </c>
      <c r="C171" s="1">
        <v>46277</v>
      </c>
      <c r="D171" t="s">
        <v>384</v>
      </c>
      <c r="E171">
        <v>4</v>
      </c>
      <c r="F171" t="str">
        <f>_xlfn.XLOOKUP(B171,Employee_Master!A:A,Employee_Master!E:E,"Not Found")</f>
        <v>Customer Support</v>
      </c>
      <c r="G171" t="s">
        <v>381</v>
      </c>
      <c r="H171">
        <f t="shared" si="4"/>
        <v>2.4904458598726116</v>
      </c>
      <c r="I171">
        <f t="shared" si="5"/>
        <v>61.864406779661017</v>
      </c>
    </row>
    <row r="172" spans="1:9">
      <c r="A172">
        <v>171</v>
      </c>
      <c r="B172">
        <v>85</v>
      </c>
      <c r="C172" s="1">
        <v>46190</v>
      </c>
      <c r="D172" t="s">
        <v>384</v>
      </c>
      <c r="E172">
        <v>1</v>
      </c>
      <c r="F172" t="str">
        <f>_xlfn.XLOOKUP(B172,Employee_Master!A:A,Employee_Master!E:E,"Not Found")</f>
        <v>Customer Support</v>
      </c>
      <c r="G172" t="s">
        <v>381</v>
      </c>
      <c r="H172">
        <f t="shared" si="4"/>
        <v>2.4872340425531916</v>
      </c>
      <c r="I172">
        <f t="shared" si="5"/>
        <v>61.783439490445858</v>
      </c>
    </row>
    <row r="173" spans="1:9">
      <c r="A173">
        <v>172</v>
      </c>
      <c r="B173">
        <v>85</v>
      </c>
      <c r="C173" s="1">
        <v>46032</v>
      </c>
      <c r="D173" t="s">
        <v>383</v>
      </c>
      <c r="E173">
        <v>2</v>
      </c>
      <c r="F173" t="str">
        <f>_xlfn.XLOOKUP(B173,Employee_Master!A:A,Employee_Master!E:E,"Not Found")</f>
        <v>Customer Support</v>
      </c>
      <c r="G173" t="s">
        <v>386</v>
      </c>
      <c r="H173">
        <f t="shared" si="4"/>
        <v>2.4904051172707891</v>
      </c>
      <c r="I173">
        <f t="shared" si="5"/>
        <v>61.702127659574465</v>
      </c>
    </row>
    <row r="174" spans="1:9">
      <c r="A174">
        <v>173</v>
      </c>
      <c r="B174">
        <v>86</v>
      </c>
      <c r="C174" s="1">
        <v>46027</v>
      </c>
      <c r="D174" t="s">
        <v>384</v>
      </c>
      <c r="E174">
        <v>1</v>
      </c>
      <c r="F174" t="str">
        <f>_xlfn.XLOOKUP(B174,Employee_Master!A:A,Employee_Master!E:E,"Not Found")</f>
        <v>Customer Support</v>
      </c>
      <c r="G174" t="s">
        <v>381</v>
      </c>
      <c r="H174">
        <f t="shared" si="4"/>
        <v>2.4914529914529915</v>
      </c>
      <c r="I174">
        <f t="shared" si="5"/>
        <v>61.620469083155648</v>
      </c>
    </row>
    <row r="175" spans="1:9">
      <c r="A175">
        <v>174</v>
      </c>
      <c r="B175">
        <v>86</v>
      </c>
      <c r="C175" s="1">
        <v>46026</v>
      </c>
      <c r="D175" t="s">
        <v>383</v>
      </c>
      <c r="E175">
        <v>2</v>
      </c>
      <c r="F175" t="str">
        <f>_xlfn.XLOOKUP(B175,Employee_Master!A:A,Employee_Master!E:E,"Not Found")</f>
        <v>Customer Support</v>
      </c>
      <c r="G175" t="s">
        <v>381</v>
      </c>
      <c r="H175">
        <f t="shared" si="4"/>
        <v>2.4946466809421843</v>
      </c>
      <c r="I175">
        <f t="shared" si="5"/>
        <v>61.752136752136757</v>
      </c>
    </row>
    <row r="176" spans="1:9">
      <c r="A176">
        <v>175</v>
      </c>
      <c r="B176">
        <v>86</v>
      </c>
      <c r="C176" s="1">
        <v>46133</v>
      </c>
      <c r="D176" t="s">
        <v>383</v>
      </c>
      <c r="E176">
        <v>4</v>
      </c>
      <c r="F176" t="str">
        <f>_xlfn.XLOOKUP(B176,Employee_Master!A:A,Employee_Master!E:E,"Not Found")</f>
        <v>Customer Support</v>
      </c>
      <c r="G176" t="s">
        <v>386</v>
      </c>
      <c r="H176">
        <f t="shared" si="4"/>
        <v>2.4957081545064379</v>
      </c>
      <c r="I176">
        <f t="shared" si="5"/>
        <v>61.670235546038541</v>
      </c>
    </row>
    <row r="177" spans="1:9">
      <c r="A177">
        <v>176</v>
      </c>
      <c r="B177">
        <v>86</v>
      </c>
      <c r="C177" s="1">
        <v>46258</v>
      </c>
      <c r="D177" t="s">
        <v>383</v>
      </c>
      <c r="E177">
        <v>2</v>
      </c>
      <c r="F177" t="str">
        <f>_xlfn.XLOOKUP(B177,Employee_Master!A:A,Employee_Master!E:E,"Not Found")</f>
        <v>Customer Support</v>
      </c>
      <c r="G177" t="s">
        <v>385</v>
      </c>
      <c r="H177">
        <f t="shared" si="4"/>
        <v>2.4924731182795701</v>
      </c>
      <c r="I177">
        <f t="shared" si="5"/>
        <v>61.587982832618025</v>
      </c>
    </row>
    <row r="178" spans="1:9">
      <c r="A178">
        <v>177</v>
      </c>
      <c r="B178">
        <v>87</v>
      </c>
      <c r="C178" s="1">
        <v>46107</v>
      </c>
      <c r="D178" t="s">
        <v>380</v>
      </c>
      <c r="E178">
        <v>1</v>
      </c>
      <c r="F178" t="str">
        <f>_xlfn.XLOOKUP(B178,Employee_Master!A:A,Employee_Master!E:E,"Not Found")</f>
        <v>Customer Support</v>
      </c>
      <c r="G178" t="s">
        <v>381</v>
      </c>
      <c r="H178">
        <f t="shared" si="4"/>
        <v>2.4935344827586206</v>
      </c>
      <c r="I178">
        <f t="shared" si="5"/>
        <v>61.72043010752688</v>
      </c>
    </row>
    <row r="179" spans="1:9">
      <c r="A179">
        <v>178</v>
      </c>
      <c r="B179">
        <v>87</v>
      </c>
      <c r="C179" s="1">
        <v>46075</v>
      </c>
      <c r="D179" t="s">
        <v>380</v>
      </c>
      <c r="E179">
        <v>1</v>
      </c>
      <c r="F179" t="str">
        <f>_xlfn.XLOOKUP(B179,Employee_Master!A:A,Employee_Master!E:E,"Not Found")</f>
        <v>Customer Support</v>
      </c>
      <c r="G179" t="s">
        <v>381</v>
      </c>
      <c r="H179">
        <f t="shared" si="4"/>
        <v>2.4967602591792657</v>
      </c>
      <c r="I179">
        <f t="shared" si="5"/>
        <v>61.853448275862064</v>
      </c>
    </row>
    <row r="180" spans="1:9">
      <c r="A180">
        <v>179</v>
      </c>
      <c r="B180">
        <v>89</v>
      </c>
      <c r="C180" s="1">
        <v>46107</v>
      </c>
      <c r="D180" t="s">
        <v>384</v>
      </c>
      <c r="E180">
        <v>4</v>
      </c>
      <c r="F180" t="str">
        <f>_xlfn.XLOOKUP(B180,Employee_Master!A:A,Employee_Master!E:E,"Not Found")</f>
        <v>IT</v>
      </c>
      <c r="G180" t="s">
        <v>381</v>
      </c>
      <c r="H180">
        <f t="shared" si="4"/>
        <v>2.5</v>
      </c>
      <c r="I180">
        <f t="shared" si="5"/>
        <v>61.77105831533477</v>
      </c>
    </row>
    <row r="181" spans="1:9">
      <c r="A181">
        <v>180</v>
      </c>
      <c r="B181">
        <v>89</v>
      </c>
      <c r="C181" s="1">
        <v>46276</v>
      </c>
      <c r="D181" t="s">
        <v>382</v>
      </c>
      <c r="E181">
        <v>1</v>
      </c>
      <c r="F181" t="str">
        <f>_xlfn.XLOOKUP(B181,Employee_Master!A:A,Employee_Master!E:E,"Not Found")</f>
        <v>IT</v>
      </c>
      <c r="G181" t="s">
        <v>381</v>
      </c>
      <c r="H181">
        <f t="shared" si="4"/>
        <v>2.4967462039045554</v>
      </c>
      <c r="I181">
        <f t="shared" si="5"/>
        <v>61.688311688311693</v>
      </c>
    </row>
    <row r="182" spans="1:9">
      <c r="A182">
        <v>181</v>
      </c>
      <c r="B182">
        <v>89</v>
      </c>
      <c r="C182" s="1">
        <v>46094</v>
      </c>
      <c r="D182" t="s">
        <v>383</v>
      </c>
      <c r="E182">
        <v>1</v>
      </c>
      <c r="F182" t="str">
        <f>_xlfn.XLOOKUP(B182,Employee_Master!A:A,Employee_Master!E:E,"Not Found")</f>
        <v>IT</v>
      </c>
      <c r="G182" t="s">
        <v>386</v>
      </c>
      <c r="H182">
        <f t="shared" si="4"/>
        <v>2.5</v>
      </c>
      <c r="I182">
        <f t="shared" si="5"/>
        <v>61.605206073752719</v>
      </c>
    </row>
    <row r="183" spans="1:9">
      <c r="A183">
        <v>182</v>
      </c>
      <c r="B183">
        <v>90</v>
      </c>
      <c r="C183" s="1">
        <v>46094</v>
      </c>
      <c r="D183" t="s">
        <v>382</v>
      </c>
      <c r="E183">
        <v>3</v>
      </c>
      <c r="F183" t="str">
        <f>_xlfn.XLOOKUP(B183,Employee_Master!A:A,Employee_Master!E:E,"Not Found")</f>
        <v>Finance</v>
      </c>
      <c r="G183" t="s">
        <v>385</v>
      </c>
      <c r="H183">
        <f t="shared" si="4"/>
        <v>2.5032679738562091</v>
      </c>
      <c r="I183">
        <f t="shared" si="5"/>
        <v>61.521739130434781</v>
      </c>
    </row>
    <row r="184" spans="1:9">
      <c r="A184">
        <v>183</v>
      </c>
      <c r="B184">
        <v>90</v>
      </c>
      <c r="C184" s="1">
        <v>46120</v>
      </c>
      <c r="D184" t="s">
        <v>382</v>
      </c>
      <c r="E184">
        <v>3</v>
      </c>
      <c r="F184" t="str">
        <f>_xlfn.XLOOKUP(B184,Employee_Master!A:A,Employee_Master!E:E,"Not Found")</f>
        <v>Finance</v>
      </c>
      <c r="G184" t="s">
        <v>385</v>
      </c>
      <c r="H184">
        <f t="shared" si="4"/>
        <v>2.5021834061135371</v>
      </c>
      <c r="I184">
        <f t="shared" si="5"/>
        <v>61.655773420479299</v>
      </c>
    </row>
    <row r="185" spans="1:9">
      <c r="A185">
        <v>184</v>
      </c>
      <c r="B185">
        <v>91</v>
      </c>
      <c r="C185" s="1">
        <v>46210</v>
      </c>
      <c r="D185" t="s">
        <v>380</v>
      </c>
      <c r="E185">
        <v>2</v>
      </c>
      <c r="F185" t="str">
        <f>_xlfn.XLOOKUP(B185,Employee_Master!A:A,Employee_Master!E:E,"Not Found")</f>
        <v>Marketing</v>
      </c>
      <c r="G185" t="s">
        <v>386</v>
      </c>
      <c r="H185">
        <f t="shared" si="4"/>
        <v>2.5010940919037199</v>
      </c>
      <c r="I185">
        <f t="shared" si="5"/>
        <v>61.790393013100442</v>
      </c>
    </row>
    <row r="186" spans="1:9">
      <c r="A186">
        <v>185</v>
      </c>
      <c r="B186">
        <v>91</v>
      </c>
      <c r="C186" s="1">
        <v>46018</v>
      </c>
      <c r="D186" t="s">
        <v>384</v>
      </c>
      <c r="E186">
        <v>3</v>
      </c>
      <c r="F186" t="str">
        <f>_xlfn.XLOOKUP(B186,Employee_Master!A:A,Employee_Master!E:E,"Not Found")</f>
        <v>Marketing</v>
      </c>
      <c r="G186" t="s">
        <v>385</v>
      </c>
      <c r="H186">
        <f t="shared" si="4"/>
        <v>2.5021929824561404</v>
      </c>
      <c r="I186">
        <f t="shared" si="5"/>
        <v>61.925601750547045</v>
      </c>
    </row>
    <row r="187" spans="1:9">
      <c r="A187">
        <v>186</v>
      </c>
      <c r="B187">
        <v>92</v>
      </c>
      <c r="C187" s="1">
        <v>46167</v>
      </c>
      <c r="D187" t="s">
        <v>383</v>
      </c>
      <c r="E187">
        <v>4</v>
      </c>
      <c r="F187" t="str">
        <f>_xlfn.XLOOKUP(B187,Employee_Master!A:A,Employee_Master!E:E,"Not Found")</f>
        <v>Finance</v>
      </c>
      <c r="G187" t="s">
        <v>385</v>
      </c>
      <c r="H187">
        <f t="shared" si="4"/>
        <v>2.5010989010989011</v>
      </c>
      <c r="I187">
        <f t="shared" si="5"/>
        <v>62.061403508771932</v>
      </c>
    </row>
    <row r="188" spans="1:9">
      <c r="A188">
        <v>187</v>
      </c>
      <c r="B188">
        <v>92</v>
      </c>
      <c r="C188" s="1">
        <v>46168</v>
      </c>
      <c r="D188" t="s">
        <v>382</v>
      </c>
      <c r="E188">
        <v>2</v>
      </c>
      <c r="F188" t="str">
        <f>_xlfn.XLOOKUP(B188,Employee_Master!A:A,Employee_Master!E:E,"Not Found")</f>
        <v>Finance</v>
      </c>
      <c r="G188" t="s">
        <v>381</v>
      </c>
      <c r="H188">
        <f t="shared" si="4"/>
        <v>2.4977973568281939</v>
      </c>
      <c r="I188">
        <f t="shared" si="5"/>
        <v>62.197802197802197</v>
      </c>
    </row>
    <row r="189" spans="1:9">
      <c r="A189">
        <v>188</v>
      </c>
      <c r="B189">
        <v>92</v>
      </c>
      <c r="C189" s="1">
        <v>46128</v>
      </c>
      <c r="D189" t="s">
        <v>382</v>
      </c>
      <c r="E189">
        <v>1</v>
      </c>
      <c r="F189" t="str">
        <f>_xlfn.XLOOKUP(B189,Employee_Master!A:A,Employee_Master!E:E,"Not Found")</f>
        <v>Finance</v>
      </c>
      <c r="G189" t="s">
        <v>381</v>
      </c>
      <c r="H189">
        <f t="shared" si="4"/>
        <v>2.498896247240618</v>
      </c>
      <c r="I189">
        <f t="shared" si="5"/>
        <v>62.33480176211453</v>
      </c>
    </row>
    <row r="190" spans="1:9">
      <c r="A190">
        <v>189</v>
      </c>
      <c r="B190">
        <v>93</v>
      </c>
      <c r="C190" s="1">
        <v>46126</v>
      </c>
      <c r="D190" t="s">
        <v>380</v>
      </c>
      <c r="E190">
        <v>4</v>
      </c>
      <c r="F190" t="str">
        <f>_xlfn.XLOOKUP(B190,Employee_Master!A:A,Employee_Master!E:E,"Not Found")</f>
        <v>Marketing</v>
      </c>
      <c r="G190" t="s">
        <v>381</v>
      </c>
      <c r="H190">
        <f t="shared" si="4"/>
        <v>2.502212389380531</v>
      </c>
      <c r="I190">
        <f t="shared" si="5"/>
        <v>62.251655629139066</v>
      </c>
    </row>
    <row r="191" spans="1:9">
      <c r="A191">
        <v>190</v>
      </c>
      <c r="B191">
        <v>93</v>
      </c>
      <c r="C191" s="1">
        <v>45938</v>
      </c>
      <c r="D191" t="s">
        <v>382</v>
      </c>
      <c r="E191">
        <v>2</v>
      </c>
      <c r="F191" t="str">
        <f>_xlfn.XLOOKUP(B191,Employee_Master!A:A,Employee_Master!E:E,"Not Found")</f>
        <v>Marketing</v>
      </c>
      <c r="G191" t="s">
        <v>381</v>
      </c>
      <c r="H191">
        <f t="shared" si="4"/>
        <v>2.4988913525498893</v>
      </c>
      <c r="I191">
        <f t="shared" si="5"/>
        <v>62.168141592920357</v>
      </c>
    </row>
    <row r="192" spans="1:9">
      <c r="A192">
        <v>191</v>
      </c>
      <c r="B192">
        <v>94</v>
      </c>
      <c r="C192" s="1">
        <v>46025</v>
      </c>
      <c r="D192" t="s">
        <v>380</v>
      </c>
      <c r="E192">
        <v>1</v>
      </c>
      <c r="F192" t="str">
        <f>_xlfn.XLOOKUP(B192,Employee_Master!A:A,Employee_Master!E:E,"Not Found")</f>
        <v>Sales</v>
      </c>
      <c r="G192" t="s">
        <v>381</v>
      </c>
      <c r="H192">
        <f t="shared" si="4"/>
        <v>2.5</v>
      </c>
      <c r="I192">
        <f t="shared" si="5"/>
        <v>62.084257206208427</v>
      </c>
    </row>
    <row r="193" spans="1:9">
      <c r="A193">
        <v>192</v>
      </c>
      <c r="B193">
        <v>94</v>
      </c>
      <c r="C193" s="1">
        <v>46131</v>
      </c>
      <c r="D193" t="s">
        <v>382</v>
      </c>
      <c r="E193">
        <v>2</v>
      </c>
      <c r="F193" t="str">
        <f>_xlfn.XLOOKUP(B193,Employee_Master!A:A,Employee_Master!E:E,"Not Found")</f>
        <v>Sales</v>
      </c>
      <c r="G193" t="s">
        <v>381</v>
      </c>
      <c r="H193">
        <f t="shared" si="4"/>
        <v>2.5033407572383073</v>
      </c>
      <c r="I193">
        <f t="shared" si="5"/>
        <v>62</v>
      </c>
    </row>
    <row r="194" spans="1:9">
      <c r="A194">
        <v>193</v>
      </c>
      <c r="B194">
        <v>94</v>
      </c>
      <c r="C194" s="1">
        <v>46103</v>
      </c>
      <c r="D194" t="s">
        <v>380</v>
      </c>
      <c r="E194">
        <v>1</v>
      </c>
      <c r="F194" t="str">
        <f>_xlfn.XLOOKUP(B194,Employee_Master!A:A,Employee_Master!E:E,"Not Found")</f>
        <v>Sales</v>
      </c>
      <c r="G194" t="s">
        <v>385</v>
      </c>
      <c r="H194">
        <f t="shared" ref="H194:H257" si="6">AVERAGE(E194:E833)</f>
        <v>2.5044642857142856</v>
      </c>
      <c r="I194">
        <f t="shared" ref="I194:I257" si="7">COUNTIF(G193:G832,"Approved")/COUNTA(G193:G832)*100</f>
        <v>61.915367483296215</v>
      </c>
    </row>
    <row r="195" spans="1:9">
      <c r="A195">
        <v>194</v>
      </c>
      <c r="B195">
        <v>94</v>
      </c>
      <c r="C195" s="1">
        <v>46131</v>
      </c>
      <c r="D195" t="s">
        <v>380</v>
      </c>
      <c r="E195">
        <v>3</v>
      </c>
      <c r="F195" t="str">
        <f>_xlfn.XLOOKUP(B195,Employee_Master!A:A,Employee_Master!E:E,"Not Found")</f>
        <v>Sales</v>
      </c>
      <c r="G195" t="s">
        <v>386</v>
      </c>
      <c r="H195">
        <f t="shared" si="6"/>
        <v>2.5078299776286355</v>
      </c>
      <c r="I195">
        <f t="shared" si="7"/>
        <v>61.830357142857139</v>
      </c>
    </row>
    <row r="196" spans="1:9">
      <c r="A196">
        <v>195</v>
      </c>
      <c r="B196">
        <v>95</v>
      </c>
      <c r="C196" s="1">
        <v>46047</v>
      </c>
      <c r="D196" t="s">
        <v>380</v>
      </c>
      <c r="E196">
        <v>4</v>
      </c>
      <c r="F196" t="str">
        <f>_xlfn.XLOOKUP(B196,Employee_Master!A:A,Employee_Master!E:E,"Not Found")</f>
        <v>Customer Support</v>
      </c>
      <c r="G196" t="s">
        <v>386</v>
      </c>
      <c r="H196">
        <f t="shared" si="6"/>
        <v>2.506726457399103</v>
      </c>
      <c r="I196">
        <f t="shared" si="7"/>
        <v>61.96868008948546</v>
      </c>
    </row>
    <row r="197" spans="1:9">
      <c r="A197">
        <v>196</v>
      </c>
      <c r="B197">
        <v>95</v>
      </c>
      <c r="C197" s="1">
        <v>46186</v>
      </c>
      <c r="D197" t="s">
        <v>382</v>
      </c>
      <c r="E197">
        <v>4</v>
      </c>
      <c r="F197" t="str">
        <f>_xlfn.XLOOKUP(B197,Employee_Master!A:A,Employee_Master!E:E,"Not Found")</f>
        <v>Customer Support</v>
      </c>
      <c r="G197" t="s">
        <v>381</v>
      </c>
      <c r="H197">
        <f t="shared" si="6"/>
        <v>2.5033707865168537</v>
      </c>
      <c r="I197">
        <f t="shared" si="7"/>
        <v>62.107623318385649</v>
      </c>
    </row>
    <row r="198" spans="1:9">
      <c r="A198">
        <v>197</v>
      </c>
      <c r="B198">
        <v>96</v>
      </c>
      <c r="C198" s="1">
        <v>46271</v>
      </c>
      <c r="D198" t="s">
        <v>384</v>
      </c>
      <c r="E198">
        <v>3</v>
      </c>
      <c r="F198" t="str">
        <f>_xlfn.XLOOKUP(B198,Employee_Master!A:A,Employee_Master!E:E,"Not Found")</f>
        <v>Sales</v>
      </c>
      <c r="G198" t="s">
        <v>381</v>
      </c>
      <c r="H198">
        <f t="shared" si="6"/>
        <v>2.5</v>
      </c>
      <c r="I198">
        <f t="shared" si="7"/>
        <v>62.247191011235955</v>
      </c>
    </row>
    <row r="199" spans="1:9">
      <c r="A199">
        <v>198</v>
      </c>
      <c r="B199">
        <v>96</v>
      </c>
      <c r="C199" s="1">
        <v>45965</v>
      </c>
      <c r="D199" t="s">
        <v>383</v>
      </c>
      <c r="E199">
        <v>4</v>
      </c>
      <c r="F199" t="str">
        <f>_xlfn.XLOOKUP(B199,Employee_Master!A:A,Employee_Master!E:E,"Not Found")</f>
        <v>Sales</v>
      </c>
      <c r="G199" t="s">
        <v>386</v>
      </c>
      <c r="H199">
        <f t="shared" si="6"/>
        <v>2.4988713318284423</v>
      </c>
      <c r="I199">
        <f t="shared" si="7"/>
        <v>62.162162162162161</v>
      </c>
    </row>
    <row r="200" spans="1:9">
      <c r="A200">
        <v>199</v>
      </c>
      <c r="B200">
        <v>96</v>
      </c>
      <c r="C200" s="1">
        <v>46079</v>
      </c>
      <c r="D200" t="s">
        <v>380</v>
      </c>
      <c r="E200">
        <v>2</v>
      </c>
      <c r="F200" t="str">
        <f>_xlfn.XLOOKUP(B200,Employee_Master!A:A,Employee_Master!E:E,"Not Found")</f>
        <v>Sales</v>
      </c>
      <c r="G200" t="s">
        <v>386</v>
      </c>
      <c r="H200">
        <f t="shared" si="6"/>
        <v>2.495475113122172</v>
      </c>
      <c r="I200">
        <f t="shared" si="7"/>
        <v>62.07674943566591</v>
      </c>
    </row>
    <row r="201" spans="1:9">
      <c r="A201">
        <v>200</v>
      </c>
      <c r="B201">
        <v>97</v>
      </c>
      <c r="C201" s="1">
        <v>46041</v>
      </c>
      <c r="D201" t="s">
        <v>382</v>
      </c>
      <c r="E201">
        <v>4</v>
      </c>
      <c r="F201" t="str">
        <f>_xlfn.XLOOKUP(B201,Employee_Master!A:A,Employee_Master!E:E,"Not Found")</f>
        <v>IT</v>
      </c>
      <c r="G201" t="s">
        <v>381</v>
      </c>
      <c r="H201">
        <f t="shared" si="6"/>
        <v>2.4965986394557822</v>
      </c>
      <c r="I201">
        <f t="shared" si="7"/>
        <v>62.217194570135746</v>
      </c>
    </row>
    <row r="202" spans="1:9">
      <c r="A202">
        <v>201</v>
      </c>
      <c r="B202">
        <v>97</v>
      </c>
      <c r="C202" s="1">
        <v>46088</v>
      </c>
      <c r="D202" t="s">
        <v>380</v>
      </c>
      <c r="E202">
        <v>3</v>
      </c>
      <c r="F202" t="str">
        <f>_xlfn.XLOOKUP(B202,Employee_Master!A:A,Employee_Master!E:E,"Not Found")</f>
        <v>IT</v>
      </c>
      <c r="G202" t="s">
        <v>381</v>
      </c>
      <c r="H202">
        <f t="shared" si="6"/>
        <v>2.4931818181818182</v>
      </c>
      <c r="I202">
        <f t="shared" si="7"/>
        <v>62.358276643990926</v>
      </c>
    </row>
    <row r="203" spans="1:9">
      <c r="A203">
        <v>202</v>
      </c>
      <c r="B203">
        <v>97</v>
      </c>
      <c r="C203" s="1">
        <v>46281</v>
      </c>
      <c r="D203" t="s">
        <v>382</v>
      </c>
      <c r="E203">
        <v>1</v>
      </c>
      <c r="F203" t="str">
        <f>_xlfn.XLOOKUP(B203,Employee_Master!A:A,Employee_Master!E:E,"Not Found")</f>
        <v>IT</v>
      </c>
      <c r="G203" t="s">
        <v>386</v>
      </c>
      <c r="H203">
        <f t="shared" si="6"/>
        <v>2.4920273348519362</v>
      </c>
      <c r="I203">
        <f t="shared" si="7"/>
        <v>62.272727272727266</v>
      </c>
    </row>
    <row r="204" spans="1:9">
      <c r="A204">
        <v>203</v>
      </c>
      <c r="B204">
        <v>98</v>
      </c>
      <c r="C204" s="1">
        <v>46202</v>
      </c>
      <c r="D204" t="s">
        <v>383</v>
      </c>
      <c r="E204">
        <v>3</v>
      </c>
      <c r="F204" t="str">
        <f>_xlfn.XLOOKUP(B204,Employee_Master!A:A,Employee_Master!E:E,"Not Found")</f>
        <v>Operations</v>
      </c>
      <c r="G204" t="s">
        <v>381</v>
      </c>
      <c r="H204">
        <f t="shared" si="6"/>
        <v>2.4954337899543377</v>
      </c>
      <c r="I204">
        <f t="shared" si="7"/>
        <v>62.186788154897499</v>
      </c>
    </row>
    <row r="205" spans="1:9">
      <c r="A205">
        <v>204</v>
      </c>
      <c r="B205">
        <v>99</v>
      </c>
      <c r="C205" s="1">
        <v>46120</v>
      </c>
      <c r="D205" t="s">
        <v>382</v>
      </c>
      <c r="E205">
        <v>1</v>
      </c>
      <c r="F205" t="str">
        <f>_xlfn.XLOOKUP(B205,Employee_Master!A:A,Employee_Master!E:E,"Not Found")</f>
        <v>Finance</v>
      </c>
      <c r="G205" t="s">
        <v>381</v>
      </c>
      <c r="H205">
        <f t="shared" si="6"/>
        <v>2.4942791762013732</v>
      </c>
      <c r="I205">
        <f t="shared" si="7"/>
        <v>62.328767123287676</v>
      </c>
    </row>
    <row r="206" spans="1:9">
      <c r="A206">
        <v>205</v>
      </c>
      <c r="B206">
        <v>100</v>
      </c>
      <c r="C206" s="1">
        <v>46120</v>
      </c>
      <c r="D206" t="s">
        <v>382</v>
      </c>
      <c r="E206">
        <v>2</v>
      </c>
      <c r="F206" t="str">
        <f>_xlfn.XLOOKUP(B206,Employee_Master!A:A,Employee_Master!E:E,"Not Found")</f>
        <v>Operations</v>
      </c>
      <c r="G206" t="s">
        <v>381</v>
      </c>
      <c r="H206">
        <f t="shared" si="6"/>
        <v>2.4977064220183487</v>
      </c>
      <c r="I206">
        <f t="shared" si="7"/>
        <v>62.242562929061783</v>
      </c>
    </row>
    <row r="207" spans="1:9">
      <c r="A207">
        <v>206</v>
      </c>
      <c r="B207">
        <v>100</v>
      </c>
      <c r="C207" s="1">
        <v>46098</v>
      </c>
      <c r="D207" t="s">
        <v>380</v>
      </c>
      <c r="E207">
        <v>3</v>
      </c>
      <c r="F207" t="str">
        <f>_xlfn.XLOOKUP(B207,Employee_Master!A:A,Employee_Master!E:E,"Not Found")</f>
        <v>Operations</v>
      </c>
      <c r="G207" t="s">
        <v>385</v>
      </c>
      <c r="H207">
        <f t="shared" si="6"/>
        <v>2.4988505747126437</v>
      </c>
      <c r="I207">
        <f t="shared" si="7"/>
        <v>62.155963302752291</v>
      </c>
    </row>
    <row r="208" spans="1:9">
      <c r="A208">
        <v>207</v>
      </c>
      <c r="B208">
        <v>100</v>
      </c>
      <c r="C208" s="1">
        <v>46074</v>
      </c>
      <c r="D208" t="s">
        <v>383</v>
      </c>
      <c r="E208">
        <v>3</v>
      </c>
      <c r="F208" t="str">
        <f>_xlfn.XLOOKUP(B208,Employee_Master!A:A,Employee_Master!E:E,"Not Found")</f>
        <v>Operations</v>
      </c>
      <c r="G208" t="s">
        <v>381</v>
      </c>
      <c r="H208">
        <f t="shared" si="6"/>
        <v>2.4976958525345623</v>
      </c>
      <c r="I208">
        <f t="shared" si="7"/>
        <v>62.068965517241381</v>
      </c>
    </row>
    <row r="209" spans="1:9">
      <c r="A209">
        <v>208</v>
      </c>
      <c r="B209">
        <v>101</v>
      </c>
      <c r="C209" s="1">
        <v>46095</v>
      </c>
      <c r="D209" t="s">
        <v>380</v>
      </c>
      <c r="E209">
        <v>2</v>
      </c>
      <c r="F209" t="str">
        <f>_xlfn.XLOOKUP(B209,Employee_Master!A:A,Employee_Master!E:E,"Not Found")</f>
        <v>Finance</v>
      </c>
      <c r="G209" t="s">
        <v>381</v>
      </c>
      <c r="H209">
        <f t="shared" si="6"/>
        <v>2.4965357967667439</v>
      </c>
      <c r="I209">
        <f t="shared" si="7"/>
        <v>62.21198156682027</v>
      </c>
    </row>
    <row r="210" spans="1:9">
      <c r="A210">
        <v>209</v>
      </c>
      <c r="B210">
        <v>102</v>
      </c>
      <c r="C210" s="1">
        <v>46219</v>
      </c>
      <c r="D210" t="s">
        <v>382</v>
      </c>
      <c r="E210">
        <v>1</v>
      </c>
      <c r="F210" t="str">
        <f>_xlfn.XLOOKUP(B210,Employee_Master!A:A,Employee_Master!E:E,"Not Found")</f>
        <v>Marketing</v>
      </c>
      <c r="G210" t="s">
        <v>381</v>
      </c>
      <c r="H210">
        <f t="shared" si="6"/>
        <v>2.4976851851851851</v>
      </c>
      <c r="I210">
        <f t="shared" si="7"/>
        <v>62.124711316397232</v>
      </c>
    </row>
    <row r="211" spans="1:9">
      <c r="A211">
        <v>210</v>
      </c>
      <c r="B211">
        <v>102</v>
      </c>
      <c r="C211" s="1">
        <v>46192</v>
      </c>
      <c r="D211" t="s">
        <v>384</v>
      </c>
      <c r="E211">
        <v>4</v>
      </c>
      <c r="F211" t="str">
        <f>_xlfn.XLOOKUP(B211,Employee_Master!A:A,Employee_Master!E:E,"Not Found")</f>
        <v>Marketing</v>
      </c>
      <c r="G211" t="s">
        <v>381</v>
      </c>
      <c r="H211">
        <f t="shared" si="6"/>
        <v>2.5011600928074245</v>
      </c>
      <c r="I211">
        <f t="shared" si="7"/>
        <v>62.037037037037038</v>
      </c>
    </row>
    <row r="212" spans="1:9">
      <c r="A212">
        <v>211</v>
      </c>
      <c r="B212">
        <v>102</v>
      </c>
      <c r="C212" s="1">
        <v>46250</v>
      </c>
      <c r="D212" t="s">
        <v>383</v>
      </c>
      <c r="E212">
        <v>1</v>
      </c>
      <c r="F212" t="str">
        <f>_xlfn.XLOOKUP(B212,Employee_Master!A:A,Employee_Master!E:E,"Not Found")</f>
        <v>Marketing</v>
      </c>
      <c r="G212" t="s">
        <v>386</v>
      </c>
      <c r="H212">
        <f t="shared" si="6"/>
        <v>2.4976744186046513</v>
      </c>
      <c r="I212">
        <f t="shared" si="7"/>
        <v>61.948955916473317</v>
      </c>
    </row>
    <row r="213" spans="1:9">
      <c r="A213">
        <v>212</v>
      </c>
      <c r="B213">
        <v>103</v>
      </c>
      <c r="C213" s="1">
        <v>46167</v>
      </c>
      <c r="D213" t="s">
        <v>383</v>
      </c>
      <c r="E213">
        <v>1</v>
      </c>
      <c r="F213" t="str">
        <f>_xlfn.XLOOKUP(B213,Employee_Master!A:A,Employee_Master!E:E,"Not Found")</f>
        <v>Operations</v>
      </c>
      <c r="G213" t="s">
        <v>385</v>
      </c>
      <c r="H213">
        <f t="shared" si="6"/>
        <v>2.501165501165501</v>
      </c>
      <c r="I213">
        <f t="shared" si="7"/>
        <v>61.860465116279073</v>
      </c>
    </row>
    <row r="214" spans="1:9">
      <c r="A214">
        <v>213</v>
      </c>
      <c r="B214">
        <v>103</v>
      </c>
      <c r="C214" s="1">
        <v>46130</v>
      </c>
      <c r="D214" t="s">
        <v>380</v>
      </c>
      <c r="E214">
        <v>3</v>
      </c>
      <c r="F214" t="str">
        <f>_xlfn.XLOOKUP(B214,Employee_Master!A:A,Employee_Master!E:E,"Not Found")</f>
        <v>Operations</v>
      </c>
      <c r="G214" t="s">
        <v>381</v>
      </c>
      <c r="H214">
        <f t="shared" si="6"/>
        <v>2.5046728971962615</v>
      </c>
      <c r="I214">
        <f t="shared" si="7"/>
        <v>62.004662004662002</v>
      </c>
    </row>
    <row r="215" spans="1:9">
      <c r="A215">
        <v>214</v>
      </c>
      <c r="B215">
        <v>103</v>
      </c>
      <c r="C215" s="1">
        <v>46117</v>
      </c>
      <c r="D215" t="s">
        <v>384</v>
      </c>
      <c r="E215">
        <v>4</v>
      </c>
      <c r="F215" t="str">
        <f>_xlfn.XLOOKUP(B215,Employee_Master!A:A,Employee_Master!E:E,"Not Found")</f>
        <v>Operations</v>
      </c>
      <c r="G215" t="s">
        <v>381</v>
      </c>
      <c r="H215">
        <f t="shared" si="6"/>
        <v>2.5035128805620608</v>
      </c>
      <c r="I215">
        <f t="shared" si="7"/>
        <v>62.149532710280376</v>
      </c>
    </row>
    <row r="216" spans="1:9">
      <c r="A216">
        <v>215</v>
      </c>
      <c r="B216">
        <v>104</v>
      </c>
      <c r="C216" s="1">
        <v>46255</v>
      </c>
      <c r="D216" t="s">
        <v>384</v>
      </c>
      <c r="E216">
        <v>3</v>
      </c>
      <c r="F216" t="str">
        <f>_xlfn.XLOOKUP(B216,Employee_Master!A:A,Employee_Master!E:E,"Not Found")</f>
        <v>IT</v>
      </c>
      <c r="G216" t="s">
        <v>381</v>
      </c>
      <c r="H216">
        <f t="shared" si="6"/>
        <v>2.5</v>
      </c>
      <c r="I216">
        <f t="shared" si="7"/>
        <v>62.060889929742387</v>
      </c>
    </row>
    <row r="217" spans="1:9">
      <c r="A217">
        <v>216</v>
      </c>
      <c r="B217">
        <v>105</v>
      </c>
      <c r="C217" s="1">
        <v>46178</v>
      </c>
      <c r="D217" t="s">
        <v>380</v>
      </c>
      <c r="E217">
        <v>3</v>
      </c>
      <c r="F217" t="str">
        <f>_xlfn.XLOOKUP(B217,Employee_Master!A:A,Employee_Master!E:E,"Not Found")</f>
        <v>Sales</v>
      </c>
      <c r="G217" t="s">
        <v>381</v>
      </c>
      <c r="H217">
        <f t="shared" si="6"/>
        <v>2.4988235294117649</v>
      </c>
      <c r="I217">
        <f t="shared" si="7"/>
        <v>61.971830985915489</v>
      </c>
    </row>
    <row r="218" spans="1:9">
      <c r="A218">
        <v>217</v>
      </c>
      <c r="B218">
        <v>105</v>
      </c>
      <c r="C218" s="1">
        <v>46179</v>
      </c>
      <c r="D218" t="s">
        <v>383</v>
      </c>
      <c r="E218">
        <v>2</v>
      </c>
      <c r="F218" t="str">
        <f>_xlfn.XLOOKUP(B218,Employee_Master!A:A,Employee_Master!E:E,"Not Found")</f>
        <v>Sales</v>
      </c>
      <c r="G218" t="s">
        <v>381</v>
      </c>
      <c r="H218">
        <f t="shared" si="6"/>
        <v>2.4976415094339623</v>
      </c>
      <c r="I218">
        <f t="shared" si="7"/>
        <v>61.882352941176464</v>
      </c>
    </row>
    <row r="219" spans="1:9">
      <c r="A219">
        <v>218</v>
      </c>
      <c r="B219">
        <v>105</v>
      </c>
      <c r="C219" s="1">
        <v>46236</v>
      </c>
      <c r="D219" t="s">
        <v>384</v>
      </c>
      <c r="E219">
        <v>3</v>
      </c>
      <c r="F219" t="str">
        <f>_xlfn.XLOOKUP(B219,Employee_Master!A:A,Employee_Master!E:E,"Not Found")</f>
        <v>Sales</v>
      </c>
      <c r="G219" t="s">
        <v>381</v>
      </c>
      <c r="H219">
        <f t="shared" si="6"/>
        <v>2.4988179669030735</v>
      </c>
      <c r="I219">
        <f t="shared" si="7"/>
        <v>61.79245283018868</v>
      </c>
    </row>
    <row r="220" spans="1:9">
      <c r="A220">
        <v>219</v>
      </c>
      <c r="B220">
        <v>105</v>
      </c>
      <c r="C220" s="1">
        <v>46030</v>
      </c>
      <c r="D220" t="s">
        <v>383</v>
      </c>
      <c r="E220">
        <v>2</v>
      </c>
      <c r="F220" t="str">
        <f>_xlfn.XLOOKUP(B220,Employee_Master!A:A,Employee_Master!E:E,"Not Found")</f>
        <v>Sales</v>
      </c>
      <c r="G220" t="s">
        <v>385</v>
      </c>
      <c r="H220">
        <f t="shared" si="6"/>
        <v>2.4976303317535544</v>
      </c>
      <c r="I220">
        <f t="shared" si="7"/>
        <v>61.702127659574465</v>
      </c>
    </row>
    <row r="221" spans="1:9">
      <c r="A221">
        <v>220</v>
      </c>
      <c r="B221">
        <v>106</v>
      </c>
      <c r="C221" s="1">
        <v>46289</v>
      </c>
      <c r="D221" t="s">
        <v>384</v>
      </c>
      <c r="E221">
        <v>3</v>
      </c>
      <c r="F221" t="str">
        <f>_xlfn.XLOOKUP(B221,Employee_Master!A:A,Employee_Master!E:E,"Not Found")</f>
        <v>IT</v>
      </c>
      <c r="G221" t="s">
        <v>381</v>
      </c>
      <c r="H221">
        <f t="shared" si="6"/>
        <v>2.4988123515439429</v>
      </c>
      <c r="I221">
        <f t="shared" si="7"/>
        <v>61.611374407582943</v>
      </c>
    </row>
    <row r="222" spans="1:9">
      <c r="A222">
        <v>221</v>
      </c>
      <c r="B222">
        <v>106</v>
      </c>
      <c r="C222" s="1">
        <v>46035</v>
      </c>
      <c r="D222" t="s">
        <v>380</v>
      </c>
      <c r="E222">
        <v>3</v>
      </c>
      <c r="F222" t="str">
        <f>_xlfn.XLOOKUP(B222,Employee_Master!A:A,Employee_Master!E:E,"Not Found")</f>
        <v>IT</v>
      </c>
      <c r="G222" t="s">
        <v>381</v>
      </c>
      <c r="H222">
        <f t="shared" si="6"/>
        <v>2.4976190476190476</v>
      </c>
      <c r="I222">
        <f t="shared" si="7"/>
        <v>61.757719714964367</v>
      </c>
    </row>
    <row r="223" spans="1:9">
      <c r="A223">
        <v>222</v>
      </c>
      <c r="B223">
        <v>106</v>
      </c>
      <c r="C223" s="1">
        <v>45945</v>
      </c>
      <c r="D223" t="s">
        <v>382</v>
      </c>
      <c r="E223">
        <v>1</v>
      </c>
      <c r="F223" t="str">
        <f>_xlfn.XLOOKUP(B223,Employee_Master!A:A,Employee_Master!E:E,"Not Found")</f>
        <v>IT</v>
      </c>
      <c r="G223" t="s">
        <v>381</v>
      </c>
      <c r="H223">
        <f t="shared" si="6"/>
        <v>2.496420047732697</v>
      </c>
      <c r="I223">
        <f t="shared" si="7"/>
        <v>61.666666666666671</v>
      </c>
    </row>
    <row r="224" spans="1:9">
      <c r="A224">
        <v>223</v>
      </c>
      <c r="B224">
        <v>107</v>
      </c>
      <c r="C224" s="1">
        <v>46006</v>
      </c>
      <c r="D224" t="s">
        <v>382</v>
      </c>
      <c r="E224">
        <v>4</v>
      </c>
      <c r="F224" t="str">
        <f>_xlfn.XLOOKUP(B224,Employee_Master!A:A,Employee_Master!E:E,"Not Found")</f>
        <v>Customer Support</v>
      </c>
      <c r="G224" t="s">
        <v>386</v>
      </c>
      <c r="H224">
        <f t="shared" si="6"/>
        <v>2.5</v>
      </c>
      <c r="I224">
        <f t="shared" si="7"/>
        <v>61.575178997613364</v>
      </c>
    </row>
    <row r="225" spans="1:9">
      <c r="A225">
        <v>224</v>
      </c>
      <c r="B225">
        <v>107</v>
      </c>
      <c r="C225" s="1">
        <v>46011</v>
      </c>
      <c r="D225" t="s">
        <v>382</v>
      </c>
      <c r="E225">
        <v>3</v>
      </c>
      <c r="F225" t="str">
        <f>_xlfn.XLOOKUP(B225,Employee_Master!A:A,Employee_Master!E:E,"Not Found")</f>
        <v>Customer Support</v>
      </c>
      <c r="G225" t="s">
        <v>381</v>
      </c>
      <c r="H225">
        <f t="shared" si="6"/>
        <v>2.4964028776978417</v>
      </c>
      <c r="I225">
        <f t="shared" si="7"/>
        <v>61.483253588516753</v>
      </c>
    </row>
    <row r="226" spans="1:9">
      <c r="A226">
        <v>225</v>
      </c>
      <c r="B226">
        <v>107</v>
      </c>
      <c r="C226" s="1">
        <v>46071</v>
      </c>
      <c r="D226" t="s">
        <v>382</v>
      </c>
      <c r="E226">
        <v>3</v>
      </c>
      <c r="F226" t="str">
        <f>_xlfn.XLOOKUP(B226,Employee_Master!A:A,Employee_Master!E:E,"Not Found")</f>
        <v>Customer Support</v>
      </c>
      <c r="G226" t="s">
        <v>381</v>
      </c>
      <c r="H226">
        <f t="shared" si="6"/>
        <v>2.4951923076923075</v>
      </c>
      <c r="I226">
        <f t="shared" si="7"/>
        <v>61.630695443645088</v>
      </c>
    </row>
    <row r="227" spans="1:9">
      <c r="A227">
        <v>226</v>
      </c>
      <c r="B227">
        <v>108</v>
      </c>
      <c r="C227" s="1">
        <v>46163</v>
      </c>
      <c r="D227" t="s">
        <v>383</v>
      </c>
      <c r="E227">
        <v>2</v>
      </c>
      <c r="F227" t="str">
        <f>_xlfn.XLOOKUP(B227,Employee_Master!A:A,Employee_Master!E:E,"Not Found")</f>
        <v>HR</v>
      </c>
      <c r="G227" t="s">
        <v>386</v>
      </c>
      <c r="H227">
        <f t="shared" si="6"/>
        <v>2.4939759036144578</v>
      </c>
      <c r="I227">
        <f t="shared" si="7"/>
        <v>61.53846153846154</v>
      </c>
    </row>
    <row r="228" spans="1:9">
      <c r="A228">
        <v>227</v>
      </c>
      <c r="B228">
        <v>108</v>
      </c>
      <c r="C228" s="1">
        <v>45996</v>
      </c>
      <c r="D228" t="s">
        <v>383</v>
      </c>
      <c r="E228">
        <v>1</v>
      </c>
      <c r="F228" t="str">
        <f>_xlfn.XLOOKUP(B228,Employee_Master!A:A,Employee_Master!E:E,"Not Found")</f>
        <v>HR</v>
      </c>
      <c r="G228" t="s">
        <v>381</v>
      </c>
      <c r="H228">
        <f t="shared" si="6"/>
        <v>2.4951690821256038</v>
      </c>
      <c r="I228">
        <f t="shared" si="7"/>
        <v>61.445783132530117</v>
      </c>
    </row>
    <row r="229" spans="1:9">
      <c r="A229">
        <v>228</v>
      </c>
      <c r="B229">
        <v>108</v>
      </c>
      <c r="C229" s="1">
        <v>45957</v>
      </c>
      <c r="D229" t="s">
        <v>383</v>
      </c>
      <c r="E229">
        <v>4</v>
      </c>
      <c r="F229" t="str">
        <f>_xlfn.XLOOKUP(B229,Employee_Master!A:A,Employee_Master!E:E,"Not Found")</f>
        <v>HR</v>
      </c>
      <c r="G229" t="s">
        <v>381</v>
      </c>
      <c r="H229">
        <f t="shared" si="6"/>
        <v>2.4987893462469732</v>
      </c>
      <c r="I229">
        <f t="shared" si="7"/>
        <v>61.594202898550719</v>
      </c>
    </row>
    <row r="230" spans="1:9">
      <c r="A230">
        <v>229</v>
      </c>
      <c r="B230">
        <v>108</v>
      </c>
      <c r="C230" s="1">
        <v>46003</v>
      </c>
      <c r="D230" t="s">
        <v>383</v>
      </c>
      <c r="E230">
        <v>4</v>
      </c>
      <c r="F230" t="str">
        <f>_xlfn.XLOOKUP(B230,Employee_Master!A:A,Employee_Master!E:E,"Not Found")</f>
        <v>HR</v>
      </c>
      <c r="G230" t="s">
        <v>386</v>
      </c>
      <c r="H230">
        <f t="shared" si="6"/>
        <v>2.4951456310679609</v>
      </c>
      <c r="I230">
        <f t="shared" si="7"/>
        <v>61.501210653753027</v>
      </c>
    </row>
    <row r="231" spans="1:9">
      <c r="A231">
        <v>230</v>
      </c>
      <c r="B231">
        <v>110</v>
      </c>
      <c r="C231" s="1">
        <v>46261</v>
      </c>
      <c r="D231" t="s">
        <v>383</v>
      </c>
      <c r="E231">
        <v>4</v>
      </c>
      <c r="F231" t="str">
        <f>_xlfn.XLOOKUP(B231,Employee_Master!A:A,Employee_Master!E:E,"Not Found")</f>
        <v>Sales</v>
      </c>
      <c r="G231" t="s">
        <v>381</v>
      </c>
      <c r="H231">
        <f t="shared" si="6"/>
        <v>2.4914841849148419</v>
      </c>
      <c r="I231">
        <f t="shared" si="7"/>
        <v>61.407766990291258</v>
      </c>
    </row>
    <row r="232" spans="1:9">
      <c r="A232">
        <v>231</v>
      </c>
      <c r="B232">
        <v>110</v>
      </c>
      <c r="C232" s="1">
        <v>46098</v>
      </c>
      <c r="D232" t="s">
        <v>384</v>
      </c>
      <c r="E232">
        <v>3</v>
      </c>
      <c r="F232" t="str">
        <f>_xlfn.XLOOKUP(B232,Employee_Master!A:A,Employee_Master!E:E,"Not Found")</f>
        <v>Sales</v>
      </c>
      <c r="G232" t="s">
        <v>381</v>
      </c>
      <c r="H232">
        <f t="shared" si="6"/>
        <v>2.4878048780487805</v>
      </c>
      <c r="I232">
        <f t="shared" si="7"/>
        <v>61.557177615571781</v>
      </c>
    </row>
    <row r="233" spans="1:9">
      <c r="A233">
        <v>232</v>
      </c>
      <c r="B233">
        <v>110</v>
      </c>
      <c r="C233" s="1">
        <v>46220</v>
      </c>
      <c r="D233" t="s">
        <v>384</v>
      </c>
      <c r="E233">
        <v>1</v>
      </c>
      <c r="F233" t="str">
        <f>_xlfn.XLOOKUP(B233,Employee_Master!A:A,Employee_Master!E:E,"Not Found")</f>
        <v>Sales</v>
      </c>
      <c r="G233" t="s">
        <v>381</v>
      </c>
      <c r="H233">
        <f t="shared" si="6"/>
        <v>2.486552567237164</v>
      </c>
      <c r="I233">
        <f t="shared" si="7"/>
        <v>61.463414634146339</v>
      </c>
    </row>
    <row r="234" spans="1:9">
      <c r="A234">
        <v>233</v>
      </c>
      <c r="B234">
        <v>111</v>
      </c>
      <c r="C234" s="1">
        <v>45963</v>
      </c>
      <c r="D234" t="s">
        <v>384</v>
      </c>
      <c r="E234">
        <v>2</v>
      </c>
      <c r="F234" t="str">
        <f>_xlfn.XLOOKUP(B234,Employee_Master!A:A,Employee_Master!E:E,"Not Found")</f>
        <v>IT</v>
      </c>
      <c r="G234" t="s">
        <v>381</v>
      </c>
      <c r="H234">
        <f t="shared" si="6"/>
        <v>2.4901960784313726</v>
      </c>
      <c r="I234">
        <f t="shared" si="7"/>
        <v>61.369193154034228</v>
      </c>
    </row>
    <row r="235" spans="1:9">
      <c r="A235">
        <v>234</v>
      </c>
      <c r="B235">
        <v>111</v>
      </c>
      <c r="C235" s="1">
        <v>45983</v>
      </c>
      <c r="D235" t="s">
        <v>380</v>
      </c>
      <c r="E235">
        <v>2</v>
      </c>
      <c r="F235" t="str">
        <f>_xlfn.XLOOKUP(B235,Employee_Master!A:A,Employee_Master!E:E,"Not Found")</f>
        <v>IT</v>
      </c>
      <c r="G235" t="s">
        <v>381</v>
      </c>
      <c r="H235">
        <f t="shared" si="6"/>
        <v>2.4914004914004915</v>
      </c>
      <c r="I235">
        <f t="shared" si="7"/>
        <v>61.274509803921575</v>
      </c>
    </row>
    <row r="236" spans="1:9">
      <c r="A236">
        <v>235</v>
      </c>
      <c r="B236">
        <v>111</v>
      </c>
      <c r="C236" s="1">
        <v>46115</v>
      </c>
      <c r="D236" t="s">
        <v>383</v>
      </c>
      <c r="E236">
        <v>3</v>
      </c>
      <c r="F236" t="str">
        <f>_xlfn.XLOOKUP(B236,Employee_Master!A:A,Employee_Master!E:E,"Not Found")</f>
        <v>IT</v>
      </c>
      <c r="G236" t="s">
        <v>381</v>
      </c>
      <c r="H236">
        <f t="shared" si="6"/>
        <v>2.4926108374384235</v>
      </c>
      <c r="I236">
        <f t="shared" si="7"/>
        <v>61.17936117936118</v>
      </c>
    </row>
    <row r="237" spans="1:9">
      <c r="A237">
        <v>236</v>
      </c>
      <c r="B237">
        <v>112</v>
      </c>
      <c r="C237" s="1">
        <v>46106</v>
      </c>
      <c r="D237" t="s">
        <v>384</v>
      </c>
      <c r="E237">
        <v>4</v>
      </c>
      <c r="F237" t="str">
        <f>_xlfn.XLOOKUP(B237,Employee_Master!A:A,Employee_Master!E:E,"Not Found")</f>
        <v>Finance</v>
      </c>
      <c r="G237" t="s">
        <v>385</v>
      </c>
      <c r="H237">
        <f t="shared" si="6"/>
        <v>2.4913580246913578</v>
      </c>
      <c r="I237">
        <f t="shared" si="7"/>
        <v>61.083743842364534</v>
      </c>
    </row>
    <row r="238" spans="1:9">
      <c r="A238">
        <v>237</v>
      </c>
      <c r="B238">
        <v>112</v>
      </c>
      <c r="C238" s="1">
        <v>46210</v>
      </c>
      <c r="D238" t="s">
        <v>384</v>
      </c>
      <c r="E238">
        <v>4</v>
      </c>
      <c r="F238" t="str">
        <f>_xlfn.XLOOKUP(B238,Employee_Master!A:A,Employee_Master!E:E,"Not Found")</f>
        <v>Finance</v>
      </c>
      <c r="G238" t="s">
        <v>385</v>
      </c>
      <c r="H238">
        <f t="shared" si="6"/>
        <v>2.4876237623762378</v>
      </c>
      <c r="I238">
        <f t="shared" si="7"/>
        <v>60.987654320987652</v>
      </c>
    </row>
    <row r="239" spans="1:9">
      <c r="A239">
        <v>238</v>
      </c>
      <c r="B239">
        <v>112</v>
      </c>
      <c r="C239" s="1">
        <v>46286</v>
      </c>
      <c r="D239" t="s">
        <v>380</v>
      </c>
      <c r="E239">
        <v>1</v>
      </c>
      <c r="F239" t="str">
        <f>_xlfn.XLOOKUP(B239,Employee_Master!A:A,Employee_Master!E:E,"Not Found")</f>
        <v>Finance</v>
      </c>
      <c r="G239" t="s">
        <v>381</v>
      </c>
      <c r="H239">
        <f t="shared" si="6"/>
        <v>2.4838709677419355</v>
      </c>
      <c r="I239">
        <f t="shared" si="7"/>
        <v>61.138613861386141</v>
      </c>
    </row>
    <row r="240" spans="1:9">
      <c r="A240">
        <v>239</v>
      </c>
      <c r="B240">
        <v>113</v>
      </c>
      <c r="C240" s="1">
        <v>46012</v>
      </c>
      <c r="D240" t="s">
        <v>384</v>
      </c>
      <c r="E240">
        <v>3</v>
      </c>
      <c r="F240" t="str">
        <f>_xlfn.XLOOKUP(B240,Employee_Master!A:A,Employee_Master!E:E,"Not Found")</f>
        <v>Marketing</v>
      </c>
      <c r="G240" t="s">
        <v>381</v>
      </c>
      <c r="H240">
        <f t="shared" si="6"/>
        <v>2.4875621890547261</v>
      </c>
      <c r="I240">
        <f t="shared" si="7"/>
        <v>61.29032258064516</v>
      </c>
    </row>
    <row r="241" spans="1:9">
      <c r="A241">
        <v>240</v>
      </c>
      <c r="B241">
        <v>113</v>
      </c>
      <c r="C241" s="1">
        <v>46053</v>
      </c>
      <c r="D241" t="s">
        <v>384</v>
      </c>
      <c r="E241">
        <v>1</v>
      </c>
      <c r="F241" t="str">
        <f>_xlfn.XLOOKUP(B241,Employee_Master!A:A,Employee_Master!E:E,"Not Found")</f>
        <v>Marketing</v>
      </c>
      <c r="G241" t="s">
        <v>381</v>
      </c>
      <c r="H241">
        <f t="shared" si="6"/>
        <v>2.4862842892768078</v>
      </c>
      <c r="I241">
        <f t="shared" si="7"/>
        <v>61.194029850746269</v>
      </c>
    </row>
    <row r="242" spans="1:9">
      <c r="A242">
        <v>241</v>
      </c>
      <c r="B242">
        <v>113</v>
      </c>
      <c r="C242" s="1">
        <v>46260</v>
      </c>
      <c r="D242" t="s">
        <v>380</v>
      </c>
      <c r="E242">
        <v>4</v>
      </c>
      <c r="F242" t="str">
        <f>_xlfn.XLOOKUP(B242,Employee_Master!A:A,Employee_Master!E:E,"Not Found")</f>
        <v>Marketing</v>
      </c>
      <c r="G242" t="s">
        <v>381</v>
      </c>
      <c r="H242">
        <f t="shared" si="6"/>
        <v>2.4900000000000002</v>
      </c>
      <c r="I242">
        <f t="shared" si="7"/>
        <v>61.097256857855363</v>
      </c>
    </row>
    <row r="243" spans="1:9">
      <c r="A243">
        <v>242</v>
      </c>
      <c r="B243">
        <v>115</v>
      </c>
      <c r="C243" s="1">
        <v>46050</v>
      </c>
      <c r="D243" t="s">
        <v>380</v>
      </c>
      <c r="E243">
        <v>2</v>
      </c>
      <c r="F243" t="str">
        <f>_xlfn.XLOOKUP(B243,Employee_Master!A:A,Employee_Master!E:E,"Not Found")</f>
        <v>Customer Support</v>
      </c>
      <c r="G243" t="s">
        <v>386</v>
      </c>
      <c r="H243">
        <f t="shared" si="6"/>
        <v>2.4862155388471177</v>
      </c>
      <c r="I243">
        <f t="shared" si="7"/>
        <v>61</v>
      </c>
    </row>
    <row r="244" spans="1:9">
      <c r="A244">
        <v>243</v>
      </c>
      <c r="B244">
        <v>116</v>
      </c>
      <c r="C244" s="1">
        <v>46096</v>
      </c>
      <c r="D244" t="s">
        <v>382</v>
      </c>
      <c r="E244">
        <v>4</v>
      </c>
      <c r="F244" t="str">
        <f>_xlfn.XLOOKUP(B244,Employee_Master!A:A,Employee_Master!E:E,"Not Found")</f>
        <v>Marketing</v>
      </c>
      <c r="G244" t="s">
        <v>381</v>
      </c>
      <c r="H244">
        <f t="shared" si="6"/>
        <v>2.487437185929648</v>
      </c>
      <c r="I244">
        <f t="shared" si="7"/>
        <v>60.902255639097746</v>
      </c>
    </row>
    <row r="245" spans="1:9">
      <c r="A245">
        <v>244</v>
      </c>
      <c r="B245">
        <v>116</v>
      </c>
      <c r="C245" s="1">
        <v>46192</v>
      </c>
      <c r="D245" t="s">
        <v>383</v>
      </c>
      <c r="E245">
        <v>4</v>
      </c>
      <c r="F245" t="str">
        <f>_xlfn.XLOOKUP(B245,Employee_Master!A:A,Employee_Master!E:E,"Not Found")</f>
        <v>Marketing</v>
      </c>
      <c r="G245" t="s">
        <v>381</v>
      </c>
      <c r="H245">
        <f t="shared" si="6"/>
        <v>2.4836272040302267</v>
      </c>
      <c r="I245">
        <f t="shared" si="7"/>
        <v>61.05527638190955</v>
      </c>
    </row>
    <row r="246" spans="1:9">
      <c r="A246">
        <v>245</v>
      </c>
      <c r="B246">
        <v>117</v>
      </c>
      <c r="C246" s="1">
        <v>46212</v>
      </c>
      <c r="D246" t="s">
        <v>384</v>
      </c>
      <c r="E246">
        <v>1</v>
      </c>
      <c r="F246" t="str">
        <f>_xlfn.XLOOKUP(B246,Employee_Master!A:A,Employee_Master!E:E,"Not Found")</f>
        <v>Customer Support</v>
      </c>
      <c r="G246" t="s">
        <v>381</v>
      </c>
      <c r="H246">
        <f t="shared" si="6"/>
        <v>2.4797979797979797</v>
      </c>
      <c r="I246">
        <f t="shared" si="7"/>
        <v>60.957178841309826</v>
      </c>
    </row>
    <row r="247" spans="1:9">
      <c r="A247">
        <v>246</v>
      </c>
      <c r="B247">
        <v>117</v>
      </c>
      <c r="C247" s="1">
        <v>46232</v>
      </c>
      <c r="D247" t="s">
        <v>384</v>
      </c>
      <c r="E247">
        <v>2</v>
      </c>
      <c r="F247" t="str">
        <f>_xlfn.XLOOKUP(B247,Employee_Master!A:A,Employee_Master!E:E,"Not Found")</f>
        <v>Customer Support</v>
      </c>
      <c r="G247" t="s">
        <v>381</v>
      </c>
      <c r="H247">
        <f t="shared" si="6"/>
        <v>2.4835443037974683</v>
      </c>
      <c r="I247">
        <f t="shared" si="7"/>
        <v>60.858585858585855</v>
      </c>
    </row>
    <row r="248" spans="1:9">
      <c r="A248">
        <v>247</v>
      </c>
      <c r="B248">
        <v>117</v>
      </c>
      <c r="C248" s="1">
        <v>46229</v>
      </c>
      <c r="D248" t="s">
        <v>382</v>
      </c>
      <c r="E248">
        <v>1</v>
      </c>
      <c r="F248" t="str">
        <f>_xlfn.XLOOKUP(B248,Employee_Master!A:A,Employee_Master!E:E,"Not Found")</f>
        <v>Customer Support</v>
      </c>
      <c r="G248" t="s">
        <v>381</v>
      </c>
      <c r="H248">
        <f t="shared" si="6"/>
        <v>2.484771573604061</v>
      </c>
      <c r="I248">
        <f t="shared" si="7"/>
        <v>60.75949367088608</v>
      </c>
    </row>
    <row r="249" spans="1:9">
      <c r="A249">
        <v>248</v>
      </c>
      <c r="B249">
        <v>119</v>
      </c>
      <c r="C249" s="1">
        <v>46119</v>
      </c>
      <c r="D249" t="s">
        <v>380</v>
      </c>
      <c r="E249">
        <v>4</v>
      </c>
      <c r="F249" t="str">
        <f>_xlfn.XLOOKUP(B249,Employee_Master!A:A,Employee_Master!E:E,"Not Found")</f>
        <v>IT</v>
      </c>
      <c r="G249" t="s">
        <v>381</v>
      </c>
      <c r="H249">
        <f t="shared" si="6"/>
        <v>2.4885496183206106</v>
      </c>
      <c r="I249">
        <f t="shared" si="7"/>
        <v>60.659898477157356</v>
      </c>
    </row>
    <row r="250" spans="1:9">
      <c r="A250">
        <v>249</v>
      </c>
      <c r="B250">
        <v>119</v>
      </c>
      <c r="C250" s="1">
        <v>46008</v>
      </c>
      <c r="D250" t="s">
        <v>384</v>
      </c>
      <c r="E250">
        <v>3</v>
      </c>
      <c r="F250" t="str">
        <f>_xlfn.XLOOKUP(B250,Employee_Master!A:A,Employee_Master!E:E,"Not Found")</f>
        <v>IT</v>
      </c>
      <c r="G250" t="s">
        <v>381</v>
      </c>
      <c r="H250">
        <f t="shared" si="6"/>
        <v>2.4846938775510203</v>
      </c>
      <c r="I250">
        <f t="shared" si="7"/>
        <v>60.559796437659031</v>
      </c>
    </row>
    <row r="251" spans="1:9">
      <c r="A251">
        <v>250</v>
      </c>
      <c r="B251">
        <v>119</v>
      </c>
      <c r="C251" s="1">
        <v>46215</v>
      </c>
      <c r="D251" t="s">
        <v>383</v>
      </c>
      <c r="E251">
        <v>4</v>
      </c>
      <c r="F251" t="str">
        <f>_xlfn.XLOOKUP(B251,Employee_Master!A:A,Employee_Master!E:E,"Not Found")</f>
        <v>IT</v>
      </c>
      <c r="G251" t="s">
        <v>381</v>
      </c>
      <c r="H251">
        <f t="shared" si="6"/>
        <v>2.4833759590792841</v>
      </c>
      <c r="I251">
        <f t="shared" si="7"/>
        <v>60.459183673469383</v>
      </c>
    </row>
    <row r="252" spans="1:9">
      <c r="A252">
        <v>251</v>
      </c>
      <c r="B252">
        <v>119</v>
      </c>
      <c r="C252" s="1">
        <v>46034</v>
      </c>
      <c r="D252" t="s">
        <v>383</v>
      </c>
      <c r="E252">
        <v>3</v>
      </c>
      <c r="F252" t="str">
        <f>_xlfn.XLOOKUP(B252,Employee_Master!A:A,Employee_Master!E:E,"Not Found")</f>
        <v>IT</v>
      </c>
      <c r="G252" t="s">
        <v>381</v>
      </c>
      <c r="H252">
        <f t="shared" si="6"/>
        <v>2.4794871794871796</v>
      </c>
      <c r="I252">
        <f t="shared" si="7"/>
        <v>60.358056265984651</v>
      </c>
    </row>
    <row r="253" spans="1:9">
      <c r="A253">
        <v>252</v>
      </c>
      <c r="B253">
        <v>120</v>
      </c>
      <c r="C253" s="1">
        <v>46064</v>
      </c>
      <c r="D253" t="s">
        <v>382</v>
      </c>
      <c r="E253">
        <v>1</v>
      </c>
      <c r="F253" t="str">
        <f>_xlfn.XLOOKUP(B253,Employee_Master!A:A,Employee_Master!E:E,"Not Found")</f>
        <v>IT</v>
      </c>
      <c r="G253" t="s">
        <v>381</v>
      </c>
      <c r="H253">
        <f t="shared" si="6"/>
        <v>2.4781491002570695</v>
      </c>
      <c r="I253">
        <f t="shared" si="7"/>
        <v>60.256410256410255</v>
      </c>
    </row>
    <row r="254" spans="1:9">
      <c r="A254">
        <v>253</v>
      </c>
      <c r="B254">
        <v>120</v>
      </c>
      <c r="C254" s="1">
        <v>46162</v>
      </c>
      <c r="D254" t="s">
        <v>384</v>
      </c>
      <c r="E254">
        <v>4</v>
      </c>
      <c r="F254" t="str">
        <f>_xlfn.XLOOKUP(B254,Employee_Master!A:A,Employee_Master!E:E,"Not Found")</f>
        <v>IT</v>
      </c>
      <c r="G254" t="s">
        <v>386</v>
      </c>
      <c r="H254">
        <f t="shared" si="6"/>
        <v>2.481958762886598</v>
      </c>
      <c r="I254">
        <f t="shared" si="7"/>
        <v>60.154241645244213</v>
      </c>
    </row>
    <row r="255" spans="1:9">
      <c r="A255">
        <v>254</v>
      </c>
      <c r="B255">
        <v>121</v>
      </c>
      <c r="C255" s="1">
        <v>46138</v>
      </c>
      <c r="D255" t="s">
        <v>380</v>
      </c>
      <c r="E255">
        <v>2</v>
      </c>
      <c r="F255" t="str">
        <f>_xlfn.XLOOKUP(B255,Employee_Master!A:A,Employee_Master!E:E,"Not Found")</f>
        <v>Marketing</v>
      </c>
      <c r="G255" t="s">
        <v>381</v>
      </c>
      <c r="H255">
        <f t="shared" si="6"/>
        <v>2.4780361757105944</v>
      </c>
      <c r="I255">
        <f t="shared" si="7"/>
        <v>60.051546391752574</v>
      </c>
    </row>
    <row r="256" spans="1:9">
      <c r="A256">
        <v>255</v>
      </c>
      <c r="B256">
        <v>121</v>
      </c>
      <c r="C256" s="1">
        <v>45952</v>
      </c>
      <c r="D256" t="s">
        <v>382</v>
      </c>
      <c r="E256">
        <v>1</v>
      </c>
      <c r="F256" t="str">
        <f>_xlfn.XLOOKUP(B256,Employee_Master!A:A,Employee_Master!E:E,"Not Found")</f>
        <v>Marketing</v>
      </c>
      <c r="G256" t="s">
        <v>381</v>
      </c>
      <c r="H256">
        <f t="shared" si="6"/>
        <v>2.4792746113989637</v>
      </c>
      <c r="I256">
        <f t="shared" si="7"/>
        <v>60.206718346253233</v>
      </c>
    </row>
    <row r="257" spans="1:9">
      <c r="A257">
        <v>256</v>
      </c>
      <c r="B257">
        <v>121</v>
      </c>
      <c r="C257" s="1">
        <v>46033</v>
      </c>
      <c r="D257" t="s">
        <v>383</v>
      </c>
      <c r="E257">
        <v>2</v>
      </c>
      <c r="F257" t="str">
        <f>_xlfn.XLOOKUP(B257,Employee_Master!A:A,Employee_Master!E:E,"Not Found")</f>
        <v>Marketing</v>
      </c>
      <c r="G257" t="s">
        <v>386</v>
      </c>
      <c r="H257">
        <f t="shared" si="6"/>
        <v>2.4831168831168831</v>
      </c>
      <c r="I257">
        <f t="shared" si="7"/>
        <v>60.103626943005182</v>
      </c>
    </row>
    <row r="258" spans="1:9">
      <c r="A258">
        <v>257</v>
      </c>
      <c r="B258">
        <v>121</v>
      </c>
      <c r="C258" s="1">
        <v>46086</v>
      </c>
      <c r="D258" t="s">
        <v>383</v>
      </c>
      <c r="E258">
        <v>4</v>
      </c>
      <c r="F258" t="str">
        <f>_xlfn.XLOOKUP(B258,Employee_Master!A:A,Employee_Master!E:E,"Not Found")</f>
        <v>Marketing</v>
      </c>
      <c r="G258" t="s">
        <v>381</v>
      </c>
      <c r="H258">
        <f t="shared" ref="H258:H321" si="8">AVERAGE(E258:E897)</f>
        <v>2.484375</v>
      </c>
      <c r="I258">
        <f t="shared" ref="I258:I321" si="9">COUNTIF(G257:G896,"Approved")/COUNTA(G257:G896)*100</f>
        <v>60</v>
      </c>
    </row>
    <row r="259" spans="1:9">
      <c r="A259">
        <v>258</v>
      </c>
      <c r="B259">
        <v>122</v>
      </c>
      <c r="C259" s="1">
        <v>46221</v>
      </c>
      <c r="D259" t="s">
        <v>383</v>
      </c>
      <c r="E259">
        <v>2</v>
      </c>
      <c r="F259" t="str">
        <f>_xlfn.XLOOKUP(B259,Employee_Master!A:A,Employee_Master!E:E,"Not Found")</f>
        <v>Marketing</v>
      </c>
      <c r="G259" t="s">
        <v>386</v>
      </c>
      <c r="H259">
        <f t="shared" si="8"/>
        <v>2.4804177545691908</v>
      </c>
      <c r="I259">
        <f t="shared" si="9"/>
        <v>60.15625</v>
      </c>
    </row>
    <row r="260" spans="1:9">
      <c r="A260">
        <v>259</v>
      </c>
      <c r="B260">
        <v>124</v>
      </c>
      <c r="C260" s="1">
        <v>45937</v>
      </c>
      <c r="D260" t="s">
        <v>380</v>
      </c>
      <c r="E260">
        <v>2</v>
      </c>
      <c r="F260" t="str">
        <f>_xlfn.XLOOKUP(B260,Employee_Master!A:A,Employee_Master!E:E,"Not Found")</f>
        <v>Finance</v>
      </c>
      <c r="G260" t="s">
        <v>381</v>
      </c>
      <c r="H260">
        <f t="shared" si="8"/>
        <v>2.4816753926701569</v>
      </c>
      <c r="I260">
        <f t="shared" si="9"/>
        <v>60.052219321148826</v>
      </c>
    </row>
    <row r="261" spans="1:9">
      <c r="A261">
        <v>260</v>
      </c>
      <c r="B261">
        <v>124</v>
      </c>
      <c r="C261" s="1">
        <v>46036</v>
      </c>
      <c r="D261" t="s">
        <v>382</v>
      </c>
      <c r="E261">
        <v>4</v>
      </c>
      <c r="F261" t="str">
        <f>_xlfn.XLOOKUP(B261,Employee_Master!A:A,Employee_Master!E:E,"Not Found")</f>
        <v>Finance</v>
      </c>
      <c r="G261" t="s">
        <v>381</v>
      </c>
      <c r="H261">
        <f t="shared" si="8"/>
        <v>2.4829396325459316</v>
      </c>
      <c r="I261">
        <f t="shared" si="9"/>
        <v>60.209424083769633</v>
      </c>
    </row>
    <row r="262" spans="1:9">
      <c r="A262">
        <v>261</v>
      </c>
      <c r="B262">
        <v>125</v>
      </c>
      <c r="C262" s="1">
        <v>46131</v>
      </c>
      <c r="D262" t="s">
        <v>380</v>
      </c>
      <c r="E262">
        <v>4</v>
      </c>
      <c r="F262" t="str">
        <f>_xlfn.XLOOKUP(B262,Employee_Master!A:A,Employee_Master!E:E,"Not Found")</f>
        <v>Finance</v>
      </c>
      <c r="G262" t="s">
        <v>385</v>
      </c>
      <c r="H262">
        <f t="shared" si="8"/>
        <v>2.4789473684210526</v>
      </c>
      <c r="I262">
        <f t="shared" si="9"/>
        <v>60.104986876640417</v>
      </c>
    </row>
    <row r="263" spans="1:9">
      <c r="A263">
        <v>262</v>
      </c>
      <c r="B263">
        <v>125</v>
      </c>
      <c r="C263" s="1">
        <v>46218</v>
      </c>
      <c r="D263" t="s">
        <v>383</v>
      </c>
      <c r="E263">
        <v>2</v>
      </c>
      <c r="F263" t="str">
        <f>_xlfn.XLOOKUP(B263,Employee_Master!A:A,Employee_Master!E:E,"Not Found")</f>
        <v>Finance</v>
      </c>
      <c r="G263" t="s">
        <v>381</v>
      </c>
      <c r="H263">
        <f t="shared" si="8"/>
        <v>2.474934036939314</v>
      </c>
      <c r="I263">
        <f t="shared" si="9"/>
        <v>60</v>
      </c>
    </row>
    <row r="264" spans="1:9">
      <c r="A264">
        <v>263</v>
      </c>
      <c r="B264">
        <v>125</v>
      </c>
      <c r="C264" s="1">
        <v>46246</v>
      </c>
      <c r="D264" t="s">
        <v>384</v>
      </c>
      <c r="E264">
        <v>1</v>
      </c>
      <c r="F264" t="str">
        <f>_xlfn.XLOOKUP(B264,Employee_Master!A:A,Employee_Master!E:E,"Not Found")</f>
        <v>Finance</v>
      </c>
      <c r="G264" t="s">
        <v>381</v>
      </c>
      <c r="H264">
        <f t="shared" si="8"/>
        <v>2.4761904761904763</v>
      </c>
      <c r="I264">
        <f t="shared" si="9"/>
        <v>60.158311345646439</v>
      </c>
    </row>
    <row r="265" spans="1:9">
      <c r="A265">
        <v>264</v>
      </c>
      <c r="B265">
        <v>126</v>
      </c>
      <c r="C265" s="1">
        <v>45956</v>
      </c>
      <c r="D265" t="s">
        <v>384</v>
      </c>
      <c r="E265">
        <v>3</v>
      </c>
      <c r="F265" t="str">
        <f>_xlfn.XLOOKUP(B265,Employee_Master!A:A,Employee_Master!E:E,"Not Found")</f>
        <v>Finance</v>
      </c>
      <c r="G265" t="s">
        <v>381</v>
      </c>
      <c r="H265">
        <f t="shared" si="8"/>
        <v>2.4801061007957559</v>
      </c>
      <c r="I265">
        <f t="shared" si="9"/>
        <v>60.052910052910057</v>
      </c>
    </row>
    <row r="266" spans="1:9">
      <c r="A266">
        <v>265</v>
      </c>
      <c r="B266">
        <v>126</v>
      </c>
      <c r="C266" s="1">
        <v>46086</v>
      </c>
      <c r="D266" t="s">
        <v>382</v>
      </c>
      <c r="E266">
        <v>4</v>
      </c>
      <c r="F266" t="str">
        <f>_xlfn.XLOOKUP(B266,Employee_Master!A:A,Employee_Master!E:E,"Not Found")</f>
        <v>Finance</v>
      </c>
      <c r="G266" t="s">
        <v>386</v>
      </c>
      <c r="H266">
        <f t="shared" si="8"/>
        <v>2.478723404255319</v>
      </c>
      <c r="I266">
        <f t="shared" si="9"/>
        <v>59.946949602122011</v>
      </c>
    </row>
    <row r="267" spans="1:9">
      <c r="A267">
        <v>266</v>
      </c>
      <c r="B267">
        <v>126</v>
      </c>
      <c r="C267" s="1">
        <v>46012</v>
      </c>
      <c r="D267" t="s">
        <v>384</v>
      </c>
      <c r="E267">
        <v>1</v>
      </c>
      <c r="F267" t="str">
        <f>_xlfn.XLOOKUP(B267,Employee_Master!A:A,Employee_Master!E:E,"Not Found")</f>
        <v>Finance</v>
      </c>
      <c r="G267" t="s">
        <v>381</v>
      </c>
      <c r="H267">
        <f t="shared" si="8"/>
        <v>2.4746666666666668</v>
      </c>
      <c r="I267">
        <f t="shared" si="9"/>
        <v>59.840425531914896</v>
      </c>
    </row>
    <row r="268" spans="1:9">
      <c r="A268">
        <v>267</v>
      </c>
      <c r="B268">
        <v>126</v>
      </c>
      <c r="C268" s="1">
        <v>46041</v>
      </c>
      <c r="D268" t="s">
        <v>380</v>
      </c>
      <c r="E268">
        <v>4</v>
      </c>
      <c r="F268" t="str">
        <f>_xlfn.XLOOKUP(B268,Employee_Master!A:A,Employee_Master!E:E,"Not Found")</f>
        <v>Finance</v>
      </c>
      <c r="G268" t="s">
        <v>381</v>
      </c>
      <c r="H268">
        <f t="shared" si="8"/>
        <v>2.4786096256684491</v>
      </c>
      <c r="I268">
        <f t="shared" si="9"/>
        <v>60</v>
      </c>
    </row>
    <row r="269" spans="1:9">
      <c r="A269">
        <v>268</v>
      </c>
      <c r="B269">
        <v>128</v>
      </c>
      <c r="C269" s="1">
        <v>46144</v>
      </c>
      <c r="D269" t="s">
        <v>384</v>
      </c>
      <c r="E269">
        <v>3</v>
      </c>
      <c r="F269" t="str">
        <f>_xlfn.XLOOKUP(B269,Employee_Master!A:A,Employee_Master!E:E,"Not Found")</f>
        <v>Customer Support</v>
      </c>
      <c r="G269" t="s">
        <v>381</v>
      </c>
      <c r="H269">
        <f t="shared" si="8"/>
        <v>2.4745308310991958</v>
      </c>
      <c r="I269">
        <f t="shared" si="9"/>
        <v>59.893048128342244</v>
      </c>
    </row>
    <row r="270" spans="1:9">
      <c r="A270">
        <v>269</v>
      </c>
      <c r="B270">
        <v>128</v>
      </c>
      <c r="C270" s="1">
        <v>45992</v>
      </c>
      <c r="D270" t="s">
        <v>383</v>
      </c>
      <c r="E270">
        <v>2</v>
      </c>
      <c r="F270" t="str">
        <f>_xlfn.XLOOKUP(B270,Employee_Master!A:A,Employee_Master!E:E,"Not Found")</f>
        <v>Customer Support</v>
      </c>
      <c r="G270" t="s">
        <v>381</v>
      </c>
      <c r="H270">
        <f t="shared" si="8"/>
        <v>2.4731182795698925</v>
      </c>
      <c r="I270">
        <f t="shared" si="9"/>
        <v>59.78552278820375</v>
      </c>
    </row>
    <row r="271" spans="1:9">
      <c r="A271">
        <v>270</v>
      </c>
      <c r="B271">
        <v>129</v>
      </c>
      <c r="C271" s="1">
        <v>46035</v>
      </c>
      <c r="D271" t="s">
        <v>384</v>
      </c>
      <c r="E271">
        <v>1</v>
      </c>
      <c r="F271" t="str">
        <f>_xlfn.XLOOKUP(B271,Employee_Master!A:A,Employee_Master!E:E,"Not Found")</f>
        <v>Sales</v>
      </c>
      <c r="G271" t="s">
        <v>385</v>
      </c>
      <c r="H271">
        <f t="shared" si="8"/>
        <v>2.4743935309973044</v>
      </c>
      <c r="I271">
        <f t="shared" si="9"/>
        <v>59.677419354838712</v>
      </c>
    </row>
    <row r="272" spans="1:9">
      <c r="A272">
        <v>271</v>
      </c>
      <c r="B272">
        <v>129</v>
      </c>
      <c r="C272" s="1">
        <v>46020</v>
      </c>
      <c r="D272" t="s">
        <v>384</v>
      </c>
      <c r="E272">
        <v>1</v>
      </c>
      <c r="F272" t="str">
        <f>_xlfn.XLOOKUP(B272,Employee_Master!A:A,Employee_Master!E:E,"Not Found")</f>
        <v>Sales</v>
      </c>
      <c r="G272" t="s">
        <v>381</v>
      </c>
      <c r="H272">
        <f t="shared" si="8"/>
        <v>2.4783783783783786</v>
      </c>
      <c r="I272">
        <f t="shared" si="9"/>
        <v>59.56873315363881</v>
      </c>
    </row>
    <row r="273" spans="1:9">
      <c r="A273">
        <v>272</v>
      </c>
      <c r="B273">
        <v>129</v>
      </c>
      <c r="C273" s="1">
        <v>46051</v>
      </c>
      <c r="D273" t="s">
        <v>382</v>
      </c>
      <c r="E273">
        <v>3</v>
      </c>
      <c r="F273" t="str">
        <f>_xlfn.XLOOKUP(B273,Employee_Master!A:A,Employee_Master!E:E,"Not Found")</f>
        <v>Sales</v>
      </c>
      <c r="G273" t="s">
        <v>381</v>
      </c>
      <c r="H273">
        <f t="shared" si="8"/>
        <v>2.4823848238482387</v>
      </c>
      <c r="I273">
        <f t="shared" si="9"/>
        <v>59.729729729729733</v>
      </c>
    </row>
    <row r="274" spans="1:9">
      <c r="A274">
        <v>273</v>
      </c>
      <c r="B274">
        <v>131</v>
      </c>
      <c r="C274" s="1">
        <v>46176</v>
      </c>
      <c r="D274" t="s">
        <v>384</v>
      </c>
      <c r="E274">
        <v>2</v>
      </c>
      <c r="F274" t="str">
        <f>_xlfn.XLOOKUP(B274,Employee_Master!A:A,Employee_Master!E:E,"Not Found")</f>
        <v>Operations</v>
      </c>
      <c r="G274" t="s">
        <v>381</v>
      </c>
      <c r="H274">
        <f t="shared" si="8"/>
        <v>2.4809782608695654</v>
      </c>
      <c r="I274">
        <f t="shared" si="9"/>
        <v>59.620596205962059</v>
      </c>
    </row>
    <row r="275" spans="1:9">
      <c r="A275">
        <v>274</v>
      </c>
      <c r="B275">
        <v>131</v>
      </c>
      <c r="C275" s="1">
        <v>45964</v>
      </c>
      <c r="D275" t="s">
        <v>382</v>
      </c>
      <c r="E275">
        <v>4</v>
      </c>
      <c r="F275" t="str">
        <f>_xlfn.XLOOKUP(B275,Employee_Master!A:A,Employee_Master!E:E,"Not Found")</f>
        <v>Operations</v>
      </c>
      <c r="G275" t="s">
        <v>381</v>
      </c>
      <c r="H275">
        <f t="shared" si="8"/>
        <v>2.4822888283378748</v>
      </c>
      <c r="I275">
        <f t="shared" si="9"/>
        <v>59.510869565217398</v>
      </c>
    </row>
    <row r="276" spans="1:9">
      <c r="A276">
        <v>275</v>
      </c>
      <c r="B276">
        <v>131</v>
      </c>
      <c r="C276" s="1">
        <v>45950</v>
      </c>
      <c r="D276" t="s">
        <v>382</v>
      </c>
      <c r="E276">
        <v>4</v>
      </c>
      <c r="F276" t="str">
        <f>_xlfn.XLOOKUP(B276,Employee_Master!A:A,Employee_Master!E:E,"Not Found")</f>
        <v>Operations</v>
      </c>
      <c r="G276" t="s">
        <v>385</v>
      </c>
      <c r="H276">
        <f t="shared" si="8"/>
        <v>2.4781420765027322</v>
      </c>
      <c r="I276">
        <f t="shared" si="9"/>
        <v>59.400544959128062</v>
      </c>
    </row>
    <row r="277" spans="1:9">
      <c r="A277">
        <v>276</v>
      </c>
      <c r="B277">
        <v>131</v>
      </c>
      <c r="C277" s="1">
        <v>46142</v>
      </c>
      <c r="D277" t="s">
        <v>380</v>
      </c>
      <c r="E277">
        <v>1</v>
      </c>
      <c r="F277" t="str">
        <f>_xlfn.XLOOKUP(B277,Employee_Master!A:A,Employee_Master!E:E,"Not Found")</f>
        <v>Operations</v>
      </c>
      <c r="G277" t="s">
        <v>386</v>
      </c>
      <c r="H277">
        <f t="shared" si="8"/>
        <v>2.473972602739726</v>
      </c>
      <c r="I277">
        <f t="shared" si="9"/>
        <v>59.289617486338798</v>
      </c>
    </row>
    <row r="278" spans="1:9">
      <c r="A278">
        <v>277</v>
      </c>
      <c r="B278">
        <v>134</v>
      </c>
      <c r="C278" s="1">
        <v>46294</v>
      </c>
      <c r="D278" t="s">
        <v>383</v>
      </c>
      <c r="E278">
        <v>4</v>
      </c>
      <c r="F278" t="str">
        <f>_xlfn.XLOOKUP(B278,Employee_Master!A:A,Employee_Master!E:E,"Not Found")</f>
        <v>HR</v>
      </c>
      <c r="G278" t="s">
        <v>381</v>
      </c>
      <c r="H278">
        <f t="shared" si="8"/>
        <v>2.4780219780219781</v>
      </c>
      <c r="I278">
        <f t="shared" si="9"/>
        <v>59.452054794520549</v>
      </c>
    </row>
    <row r="279" spans="1:9">
      <c r="A279">
        <v>278</v>
      </c>
      <c r="B279">
        <v>134</v>
      </c>
      <c r="C279" s="1">
        <v>46067</v>
      </c>
      <c r="D279" t="s">
        <v>384</v>
      </c>
      <c r="E279">
        <v>3</v>
      </c>
      <c r="F279" t="str">
        <f>_xlfn.XLOOKUP(B279,Employee_Master!A:A,Employee_Master!E:E,"Not Found")</f>
        <v>HR</v>
      </c>
      <c r="G279" t="s">
        <v>381</v>
      </c>
      <c r="H279">
        <f t="shared" si="8"/>
        <v>2.4738292011019283</v>
      </c>
      <c r="I279">
        <f t="shared" si="9"/>
        <v>59.615384615384613</v>
      </c>
    </row>
    <row r="280" spans="1:9">
      <c r="A280">
        <v>279</v>
      </c>
      <c r="B280">
        <v>135</v>
      </c>
      <c r="C280" s="1">
        <v>46284</v>
      </c>
      <c r="D280" t="s">
        <v>382</v>
      </c>
      <c r="E280">
        <v>1</v>
      </c>
      <c r="F280" t="str">
        <f>_xlfn.XLOOKUP(B280,Employee_Master!A:A,Employee_Master!E:E,"Not Found")</f>
        <v>IT</v>
      </c>
      <c r="G280" t="s">
        <v>381</v>
      </c>
      <c r="H280">
        <f t="shared" si="8"/>
        <v>2.472375690607735</v>
      </c>
      <c r="I280">
        <f t="shared" si="9"/>
        <v>59.504132231404959</v>
      </c>
    </row>
    <row r="281" spans="1:9">
      <c r="A281">
        <v>280</v>
      </c>
      <c r="B281">
        <v>136</v>
      </c>
      <c r="C281" s="1">
        <v>46153</v>
      </c>
      <c r="D281" t="s">
        <v>382</v>
      </c>
      <c r="E281">
        <v>2</v>
      </c>
      <c r="F281" t="str">
        <f>_xlfn.XLOOKUP(B281,Employee_Master!A:A,Employee_Master!E:E,"Not Found")</f>
        <v>HR</v>
      </c>
      <c r="G281" t="s">
        <v>381</v>
      </c>
      <c r="H281">
        <f t="shared" si="8"/>
        <v>2.4764542936288088</v>
      </c>
      <c r="I281">
        <f t="shared" si="9"/>
        <v>59.392265193370164</v>
      </c>
    </row>
    <row r="282" spans="1:9">
      <c r="A282">
        <v>281</v>
      </c>
      <c r="B282">
        <v>136</v>
      </c>
      <c r="C282" s="1">
        <v>46077</v>
      </c>
      <c r="D282" t="s">
        <v>383</v>
      </c>
      <c r="E282">
        <v>1</v>
      </c>
      <c r="F282" t="str">
        <f>_xlfn.XLOOKUP(B282,Employee_Master!A:A,Employee_Master!E:E,"Not Found")</f>
        <v>HR</v>
      </c>
      <c r="G282" t="s">
        <v>386</v>
      </c>
      <c r="H282">
        <f t="shared" si="8"/>
        <v>2.4777777777777779</v>
      </c>
      <c r="I282">
        <f t="shared" si="9"/>
        <v>59.279778393351798</v>
      </c>
    </row>
    <row r="283" spans="1:9">
      <c r="A283">
        <v>282</v>
      </c>
      <c r="B283">
        <v>136</v>
      </c>
      <c r="C283" s="1">
        <v>46119</v>
      </c>
      <c r="D283" t="s">
        <v>382</v>
      </c>
      <c r="E283">
        <v>4</v>
      </c>
      <c r="F283" t="str">
        <f>_xlfn.XLOOKUP(B283,Employee_Master!A:A,Employee_Master!E:E,"Not Found")</f>
        <v>HR</v>
      </c>
      <c r="G283" t="s">
        <v>386</v>
      </c>
      <c r="H283">
        <f t="shared" si="8"/>
        <v>2.4818941504178271</v>
      </c>
      <c r="I283">
        <f t="shared" si="9"/>
        <v>59.166666666666664</v>
      </c>
    </row>
    <row r="284" spans="1:9">
      <c r="A284">
        <v>283</v>
      </c>
      <c r="B284">
        <v>136</v>
      </c>
      <c r="C284" s="1">
        <v>46014</v>
      </c>
      <c r="D284" t="s">
        <v>383</v>
      </c>
      <c r="E284">
        <v>3</v>
      </c>
      <c r="F284" t="str">
        <f>_xlfn.XLOOKUP(B284,Employee_Master!A:A,Employee_Master!E:E,"Not Found")</f>
        <v>HR</v>
      </c>
      <c r="G284" t="s">
        <v>386</v>
      </c>
      <c r="H284">
        <f t="shared" si="8"/>
        <v>2.477653631284916</v>
      </c>
      <c r="I284">
        <f t="shared" si="9"/>
        <v>59.33147632311978</v>
      </c>
    </row>
    <row r="285" spans="1:9">
      <c r="A285">
        <v>284</v>
      </c>
      <c r="B285">
        <v>137</v>
      </c>
      <c r="C285" s="1">
        <v>46005</v>
      </c>
      <c r="D285" t="s">
        <v>383</v>
      </c>
      <c r="E285">
        <v>3</v>
      </c>
      <c r="F285" t="str">
        <f>_xlfn.XLOOKUP(B285,Employee_Master!A:A,Employee_Master!E:E,"Not Found")</f>
        <v>Customer Support</v>
      </c>
      <c r="G285" t="s">
        <v>385</v>
      </c>
      <c r="H285">
        <f t="shared" si="8"/>
        <v>2.4761904761904763</v>
      </c>
      <c r="I285">
        <f t="shared" si="9"/>
        <v>59.497206703910607</v>
      </c>
    </row>
    <row r="286" spans="1:9">
      <c r="A286">
        <v>285</v>
      </c>
      <c r="B286">
        <v>137</v>
      </c>
      <c r="C286" s="1">
        <v>46020</v>
      </c>
      <c r="D286" t="s">
        <v>382</v>
      </c>
      <c r="E286">
        <v>3</v>
      </c>
      <c r="F286" t="str">
        <f>_xlfn.XLOOKUP(B286,Employee_Master!A:A,Employee_Master!E:E,"Not Found")</f>
        <v>Customer Support</v>
      </c>
      <c r="G286" t="s">
        <v>385</v>
      </c>
      <c r="H286">
        <f t="shared" si="8"/>
        <v>2.4747191011235956</v>
      </c>
      <c r="I286">
        <f t="shared" si="9"/>
        <v>59.663865546218489</v>
      </c>
    </row>
    <row r="287" spans="1:9">
      <c r="A287">
        <v>286</v>
      </c>
      <c r="B287">
        <v>137</v>
      </c>
      <c r="C287" s="1">
        <v>46108</v>
      </c>
      <c r="D287" t="s">
        <v>383</v>
      </c>
      <c r="E287">
        <v>2</v>
      </c>
      <c r="F287" t="str">
        <f>_xlfn.XLOOKUP(B287,Employee_Master!A:A,Employee_Master!E:E,"Not Found")</f>
        <v>Customer Support</v>
      </c>
      <c r="G287" t="s">
        <v>385</v>
      </c>
      <c r="H287">
        <f t="shared" si="8"/>
        <v>2.4732394366197181</v>
      </c>
      <c r="I287">
        <f t="shared" si="9"/>
        <v>59.831460674157299</v>
      </c>
    </row>
    <row r="288" spans="1:9">
      <c r="A288">
        <v>287</v>
      </c>
      <c r="B288">
        <v>137</v>
      </c>
      <c r="C288" s="1">
        <v>46276</v>
      </c>
      <c r="D288" t="s">
        <v>382</v>
      </c>
      <c r="E288">
        <v>3</v>
      </c>
      <c r="F288" t="str">
        <f>_xlfn.XLOOKUP(B288,Employee_Master!A:A,Employee_Master!E:E,"Not Found")</f>
        <v>Customer Support</v>
      </c>
      <c r="G288" t="s">
        <v>385</v>
      </c>
      <c r="H288">
        <f t="shared" si="8"/>
        <v>2.4745762711864407</v>
      </c>
      <c r="I288">
        <f t="shared" si="9"/>
        <v>60</v>
      </c>
    </row>
    <row r="289" spans="1:9">
      <c r="A289">
        <v>288</v>
      </c>
      <c r="B289">
        <v>139</v>
      </c>
      <c r="C289" s="1">
        <v>46060</v>
      </c>
      <c r="D289" t="s">
        <v>380</v>
      </c>
      <c r="E289">
        <v>3</v>
      </c>
      <c r="F289" t="str">
        <f>_xlfn.XLOOKUP(B289,Employee_Master!A:A,Employee_Master!E:E,"Not Found")</f>
        <v>Operations</v>
      </c>
      <c r="G289" t="s">
        <v>381</v>
      </c>
      <c r="H289">
        <f t="shared" si="8"/>
        <v>2.4730878186968837</v>
      </c>
      <c r="I289">
        <f t="shared" si="9"/>
        <v>60.169491525423723</v>
      </c>
    </row>
    <row r="290" spans="1:9">
      <c r="A290">
        <v>289</v>
      </c>
      <c r="B290">
        <v>139</v>
      </c>
      <c r="C290" s="1">
        <v>46261</v>
      </c>
      <c r="D290" t="s">
        <v>382</v>
      </c>
      <c r="E290">
        <v>4</v>
      </c>
      <c r="F290" t="str">
        <f>_xlfn.XLOOKUP(B290,Employee_Master!A:A,Employee_Master!E:E,"Not Found")</f>
        <v>Operations</v>
      </c>
      <c r="G290" t="s">
        <v>386</v>
      </c>
      <c r="H290">
        <f t="shared" si="8"/>
        <v>2.4715909090909092</v>
      </c>
      <c r="I290">
        <f t="shared" si="9"/>
        <v>60.339943342776202</v>
      </c>
    </row>
    <row r="291" spans="1:9">
      <c r="A291">
        <v>290</v>
      </c>
      <c r="B291">
        <v>139</v>
      </c>
      <c r="C291" s="1">
        <v>46279</v>
      </c>
      <c r="D291" t="s">
        <v>380</v>
      </c>
      <c r="E291">
        <v>1</v>
      </c>
      <c r="F291" t="str">
        <f>_xlfn.XLOOKUP(B291,Employee_Master!A:A,Employee_Master!E:E,"Not Found")</f>
        <v>Operations</v>
      </c>
      <c r="G291" t="s">
        <v>381</v>
      </c>
      <c r="H291">
        <f t="shared" si="8"/>
        <v>2.4672364672364671</v>
      </c>
      <c r="I291">
        <f t="shared" si="9"/>
        <v>60.227272727272727</v>
      </c>
    </row>
    <row r="292" spans="1:9">
      <c r="A292">
        <v>291</v>
      </c>
      <c r="B292">
        <v>139</v>
      </c>
      <c r="C292" s="1">
        <v>46190</v>
      </c>
      <c r="D292" t="s">
        <v>380</v>
      </c>
      <c r="E292">
        <v>3</v>
      </c>
      <c r="F292" t="str">
        <f>_xlfn.XLOOKUP(B292,Employee_Master!A:A,Employee_Master!E:E,"Not Found")</f>
        <v>Operations</v>
      </c>
      <c r="G292" t="s">
        <v>386</v>
      </c>
      <c r="H292">
        <f t="shared" si="8"/>
        <v>2.4714285714285715</v>
      </c>
      <c r="I292">
        <f t="shared" si="9"/>
        <v>60.3988603988604</v>
      </c>
    </row>
    <row r="293" spans="1:9">
      <c r="A293">
        <v>292</v>
      </c>
      <c r="B293">
        <v>140</v>
      </c>
      <c r="C293" s="1">
        <v>46224</v>
      </c>
      <c r="D293" t="s">
        <v>380</v>
      </c>
      <c r="E293">
        <v>2</v>
      </c>
      <c r="F293" t="str">
        <f>_xlfn.XLOOKUP(B293,Employee_Master!A:A,Employee_Master!E:E,"Not Found")</f>
        <v>Finance</v>
      </c>
      <c r="G293" t="s">
        <v>385</v>
      </c>
      <c r="H293">
        <f t="shared" si="8"/>
        <v>2.4699140401146131</v>
      </c>
      <c r="I293">
        <f t="shared" si="9"/>
        <v>60.285714285714285</v>
      </c>
    </row>
    <row r="294" spans="1:9">
      <c r="A294">
        <v>293</v>
      </c>
      <c r="B294">
        <v>142</v>
      </c>
      <c r="C294" s="1">
        <v>45988</v>
      </c>
      <c r="D294" t="s">
        <v>384</v>
      </c>
      <c r="E294">
        <v>1</v>
      </c>
      <c r="F294" t="str">
        <f>_xlfn.XLOOKUP(B294,Employee_Master!A:A,Employee_Master!E:E,"Not Found")</f>
        <v>Operations</v>
      </c>
      <c r="G294" t="s">
        <v>386</v>
      </c>
      <c r="H294">
        <f t="shared" si="8"/>
        <v>2.4712643678160919</v>
      </c>
      <c r="I294">
        <f t="shared" si="9"/>
        <v>60.458452722063036</v>
      </c>
    </row>
    <row r="295" spans="1:9">
      <c r="A295">
        <v>294</v>
      </c>
      <c r="B295">
        <v>142</v>
      </c>
      <c r="C295" s="1">
        <v>45933</v>
      </c>
      <c r="D295" t="s">
        <v>383</v>
      </c>
      <c r="E295">
        <v>2</v>
      </c>
      <c r="F295" t="str">
        <f>_xlfn.XLOOKUP(B295,Employee_Master!A:A,Employee_Master!E:E,"Not Found")</f>
        <v>Operations</v>
      </c>
      <c r="G295" t="s">
        <v>381</v>
      </c>
      <c r="H295">
        <f t="shared" si="8"/>
        <v>2.4755043227665707</v>
      </c>
      <c r="I295">
        <f t="shared" si="9"/>
        <v>60.632183908045981</v>
      </c>
    </row>
    <row r="296" spans="1:9">
      <c r="A296">
        <v>295</v>
      </c>
      <c r="B296">
        <v>142</v>
      </c>
      <c r="C296" s="1">
        <v>46281</v>
      </c>
      <c r="D296" t="s">
        <v>383</v>
      </c>
      <c r="E296">
        <v>4</v>
      </c>
      <c r="F296" t="str">
        <f>_xlfn.XLOOKUP(B296,Employee_Master!A:A,Employee_Master!E:E,"Not Found")</f>
        <v>Operations</v>
      </c>
      <c r="G296" t="s">
        <v>381</v>
      </c>
      <c r="H296">
        <f t="shared" si="8"/>
        <v>2.4768786127167628</v>
      </c>
      <c r="I296">
        <f t="shared" si="9"/>
        <v>60.80691642651297</v>
      </c>
    </row>
    <row r="297" spans="1:9">
      <c r="A297">
        <v>296</v>
      </c>
      <c r="B297">
        <v>143</v>
      </c>
      <c r="C297" s="1">
        <v>46122</v>
      </c>
      <c r="D297" t="s">
        <v>382</v>
      </c>
      <c r="E297">
        <v>4</v>
      </c>
      <c r="F297" t="str">
        <f>_xlfn.XLOOKUP(B297,Employee_Master!A:A,Employee_Master!E:E,"Not Found")</f>
        <v>Marketing</v>
      </c>
      <c r="G297" t="s">
        <v>381</v>
      </c>
      <c r="H297">
        <f t="shared" si="8"/>
        <v>2.4724637681159418</v>
      </c>
      <c r="I297">
        <f t="shared" si="9"/>
        <v>60.693641618497111</v>
      </c>
    </row>
    <row r="298" spans="1:9">
      <c r="A298">
        <v>297</v>
      </c>
      <c r="B298">
        <v>143</v>
      </c>
      <c r="C298" s="1">
        <v>46226</v>
      </c>
      <c r="D298" t="s">
        <v>383</v>
      </c>
      <c r="E298">
        <v>4</v>
      </c>
      <c r="F298" t="str">
        <f>_xlfn.XLOOKUP(B298,Employee_Master!A:A,Employee_Master!E:E,"Not Found")</f>
        <v>Marketing</v>
      </c>
      <c r="G298" t="s">
        <v>381</v>
      </c>
      <c r="H298">
        <f t="shared" si="8"/>
        <v>2.4680232558139537</v>
      </c>
      <c r="I298">
        <f t="shared" si="9"/>
        <v>60.579710144927532</v>
      </c>
    </row>
    <row r="299" spans="1:9">
      <c r="A299">
        <v>298</v>
      </c>
      <c r="B299">
        <v>144</v>
      </c>
      <c r="C299" s="1">
        <v>46258</v>
      </c>
      <c r="D299" t="s">
        <v>382</v>
      </c>
      <c r="E299">
        <v>2</v>
      </c>
      <c r="F299" t="str">
        <f>_xlfn.XLOOKUP(B299,Employee_Master!A:A,Employee_Master!E:E,"Not Found")</f>
        <v>Operations</v>
      </c>
      <c r="G299" t="s">
        <v>381</v>
      </c>
      <c r="H299">
        <f t="shared" si="8"/>
        <v>2.4635568513119535</v>
      </c>
      <c r="I299">
        <f t="shared" si="9"/>
        <v>60.465116279069761</v>
      </c>
    </row>
    <row r="300" spans="1:9">
      <c r="A300">
        <v>299</v>
      </c>
      <c r="B300">
        <v>146</v>
      </c>
      <c r="C300" s="1">
        <v>45986</v>
      </c>
      <c r="D300" t="s">
        <v>382</v>
      </c>
      <c r="E300">
        <v>2</v>
      </c>
      <c r="F300" t="str">
        <f>_xlfn.XLOOKUP(B300,Employee_Master!A:A,Employee_Master!E:E,"Not Found")</f>
        <v>Sales</v>
      </c>
      <c r="G300" t="s">
        <v>381</v>
      </c>
      <c r="H300">
        <f t="shared" si="8"/>
        <v>2.4649122807017543</v>
      </c>
      <c r="I300">
        <f t="shared" si="9"/>
        <v>60.349854227405253</v>
      </c>
    </row>
    <row r="301" spans="1:9">
      <c r="A301">
        <v>300</v>
      </c>
      <c r="B301">
        <v>146</v>
      </c>
      <c r="C301" s="1">
        <v>46286</v>
      </c>
      <c r="D301" t="s">
        <v>383</v>
      </c>
      <c r="E301">
        <v>2</v>
      </c>
      <c r="F301" t="str">
        <f>_xlfn.XLOOKUP(B301,Employee_Master!A:A,Employee_Master!E:E,"Not Found")</f>
        <v>Sales</v>
      </c>
      <c r="G301" t="s">
        <v>385</v>
      </c>
      <c r="H301">
        <f t="shared" si="8"/>
        <v>2.466275659824047</v>
      </c>
      <c r="I301">
        <f t="shared" si="9"/>
        <v>60.23391812865497</v>
      </c>
    </row>
    <row r="302" spans="1:9">
      <c r="A302">
        <v>301</v>
      </c>
      <c r="B302">
        <v>146</v>
      </c>
      <c r="C302" s="1">
        <v>46086</v>
      </c>
      <c r="D302" t="s">
        <v>380</v>
      </c>
      <c r="E302">
        <v>1</v>
      </c>
      <c r="F302" t="str">
        <f>_xlfn.XLOOKUP(B302,Employee_Master!A:A,Employee_Master!E:E,"Not Found")</f>
        <v>Sales</v>
      </c>
      <c r="G302" t="s">
        <v>381</v>
      </c>
      <c r="H302">
        <f t="shared" si="8"/>
        <v>2.4676470588235295</v>
      </c>
      <c r="I302">
        <f t="shared" si="9"/>
        <v>60.117302052785924</v>
      </c>
    </row>
    <row r="303" spans="1:9">
      <c r="A303">
        <v>302</v>
      </c>
      <c r="B303">
        <v>146</v>
      </c>
      <c r="C303" s="1">
        <v>45943</v>
      </c>
      <c r="D303" t="s">
        <v>384</v>
      </c>
      <c r="E303">
        <v>1</v>
      </c>
      <c r="F303" t="str">
        <f>_xlfn.XLOOKUP(B303,Employee_Master!A:A,Employee_Master!E:E,"Not Found")</f>
        <v>Sales</v>
      </c>
      <c r="G303" t="s">
        <v>381</v>
      </c>
      <c r="H303">
        <f t="shared" si="8"/>
        <v>2.471976401179941</v>
      </c>
      <c r="I303">
        <f t="shared" si="9"/>
        <v>60.294117647058819</v>
      </c>
    </row>
    <row r="304" spans="1:9">
      <c r="A304">
        <v>303</v>
      </c>
      <c r="B304">
        <v>148</v>
      </c>
      <c r="C304" s="1">
        <v>46026</v>
      </c>
      <c r="D304" t="s">
        <v>384</v>
      </c>
      <c r="E304">
        <v>1</v>
      </c>
      <c r="F304" t="str">
        <f>_xlfn.XLOOKUP(B304,Employee_Master!A:A,Employee_Master!E:E,"Not Found")</f>
        <v>Sales</v>
      </c>
      <c r="G304" t="s">
        <v>381</v>
      </c>
      <c r="H304">
        <f t="shared" si="8"/>
        <v>2.4763313609467454</v>
      </c>
      <c r="I304">
        <f t="shared" si="9"/>
        <v>60.176991150442483</v>
      </c>
    </row>
    <row r="305" spans="1:9">
      <c r="A305">
        <v>304</v>
      </c>
      <c r="B305">
        <v>149</v>
      </c>
      <c r="C305" s="1">
        <v>45991</v>
      </c>
      <c r="D305" t="s">
        <v>382</v>
      </c>
      <c r="E305">
        <v>3</v>
      </c>
      <c r="F305" t="str">
        <f>_xlfn.XLOOKUP(B305,Employee_Master!A:A,Employee_Master!E:E,"Not Found")</f>
        <v>Sales</v>
      </c>
      <c r="G305" t="s">
        <v>385</v>
      </c>
      <c r="H305">
        <f t="shared" si="8"/>
        <v>2.4807121661721068</v>
      </c>
      <c r="I305">
        <f t="shared" si="9"/>
        <v>60.059171597633132</v>
      </c>
    </row>
    <row r="306" spans="1:9">
      <c r="A306">
        <v>305</v>
      </c>
      <c r="B306">
        <v>149</v>
      </c>
      <c r="C306" s="1">
        <v>45936</v>
      </c>
      <c r="D306" t="s">
        <v>383</v>
      </c>
      <c r="E306">
        <v>3</v>
      </c>
      <c r="F306" t="str">
        <f>_xlfn.XLOOKUP(B306,Employee_Master!A:A,Employee_Master!E:E,"Not Found")</f>
        <v>Sales</v>
      </c>
      <c r="G306" t="s">
        <v>385</v>
      </c>
      <c r="H306">
        <f t="shared" si="8"/>
        <v>2.4791666666666665</v>
      </c>
      <c r="I306">
        <f t="shared" si="9"/>
        <v>59.940652818991104</v>
      </c>
    </row>
    <row r="307" spans="1:9">
      <c r="A307">
        <v>306</v>
      </c>
      <c r="B307">
        <v>149</v>
      </c>
      <c r="C307" s="1">
        <v>46122</v>
      </c>
      <c r="D307" t="s">
        <v>380</v>
      </c>
      <c r="E307">
        <v>3</v>
      </c>
      <c r="F307" t="str">
        <f>_xlfn.XLOOKUP(B307,Employee_Master!A:A,Employee_Master!E:E,"Not Found")</f>
        <v>Sales</v>
      </c>
      <c r="G307" t="s">
        <v>385</v>
      </c>
      <c r="H307">
        <f t="shared" si="8"/>
        <v>2.4776119402985075</v>
      </c>
      <c r="I307">
        <f t="shared" si="9"/>
        <v>60.119047619047613</v>
      </c>
    </row>
    <row r="308" spans="1:9">
      <c r="A308">
        <v>307</v>
      </c>
      <c r="B308">
        <v>150</v>
      </c>
      <c r="C308" s="1">
        <v>46232</v>
      </c>
      <c r="D308" t="s">
        <v>382</v>
      </c>
      <c r="E308">
        <v>1</v>
      </c>
      <c r="F308" t="str">
        <f>_xlfn.XLOOKUP(B308,Employee_Master!A:A,Employee_Master!E:E,"Not Found")</f>
        <v>Operations</v>
      </c>
      <c r="G308" t="s">
        <v>385</v>
      </c>
      <c r="H308">
        <f t="shared" si="8"/>
        <v>2.4760479041916166</v>
      </c>
      <c r="I308">
        <f t="shared" si="9"/>
        <v>60.298507462686565</v>
      </c>
    </row>
    <row r="309" spans="1:9">
      <c r="A309">
        <v>308</v>
      </c>
      <c r="B309">
        <v>150</v>
      </c>
      <c r="C309" s="1">
        <v>45947</v>
      </c>
      <c r="D309" t="s">
        <v>382</v>
      </c>
      <c r="E309">
        <v>3</v>
      </c>
      <c r="F309" t="str">
        <f>_xlfn.XLOOKUP(B309,Employee_Master!A:A,Employee_Master!E:E,"Not Found")</f>
        <v>Operations</v>
      </c>
      <c r="G309" t="s">
        <v>381</v>
      </c>
      <c r="H309">
        <f t="shared" si="8"/>
        <v>2.4804804804804803</v>
      </c>
      <c r="I309">
        <f t="shared" si="9"/>
        <v>60.479041916167667</v>
      </c>
    </row>
    <row r="310" spans="1:9">
      <c r="A310">
        <v>309</v>
      </c>
      <c r="B310">
        <v>150</v>
      </c>
      <c r="C310" s="1">
        <v>45946</v>
      </c>
      <c r="D310" t="s">
        <v>383</v>
      </c>
      <c r="E310">
        <v>4</v>
      </c>
      <c r="F310" t="str">
        <f>_xlfn.XLOOKUP(B310,Employee_Master!A:A,Employee_Master!E:E,"Not Found")</f>
        <v>Operations</v>
      </c>
      <c r="G310" t="s">
        <v>385</v>
      </c>
      <c r="H310">
        <f t="shared" si="8"/>
        <v>2.4789156626506026</v>
      </c>
      <c r="I310">
        <f t="shared" si="9"/>
        <v>60.66066066066066</v>
      </c>
    </row>
    <row r="311" spans="1:9">
      <c r="A311">
        <v>310</v>
      </c>
      <c r="B311">
        <v>150</v>
      </c>
      <c r="C311" s="1">
        <v>46206</v>
      </c>
      <c r="D311" t="s">
        <v>384</v>
      </c>
      <c r="E311">
        <v>4</v>
      </c>
      <c r="F311" t="str">
        <f>_xlfn.XLOOKUP(B311,Employee_Master!A:A,Employee_Master!E:E,"Not Found")</f>
        <v>Operations</v>
      </c>
      <c r="G311" t="s">
        <v>386</v>
      </c>
      <c r="H311">
        <f t="shared" si="8"/>
        <v>2.4743202416918431</v>
      </c>
      <c r="I311">
        <f t="shared" si="9"/>
        <v>60.542168674698793</v>
      </c>
    </row>
    <row r="312" spans="1:9">
      <c r="A312">
        <v>311</v>
      </c>
      <c r="B312">
        <v>151</v>
      </c>
      <c r="C312" s="1">
        <v>46110</v>
      </c>
      <c r="D312" t="s">
        <v>382</v>
      </c>
      <c r="E312">
        <v>1</v>
      </c>
      <c r="F312" t="str">
        <f>_xlfn.XLOOKUP(B312,Employee_Master!A:A,Employee_Master!E:E,"Not Found")</f>
        <v>IT</v>
      </c>
      <c r="G312" t="s">
        <v>385</v>
      </c>
      <c r="H312">
        <f t="shared" si="8"/>
        <v>2.4696969696969697</v>
      </c>
      <c r="I312">
        <f t="shared" si="9"/>
        <v>60.725075528700913</v>
      </c>
    </row>
    <row r="313" spans="1:9">
      <c r="A313">
        <v>312</v>
      </c>
      <c r="B313">
        <v>151</v>
      </c>
      <c r="C313" s="1">
        <v>45950</v>
      </c>
      <c r="D313" t="s">
        <v>382</v>
      </c>
      <c r="E313">
        <v>1</v>
      </c>
      <c r="F313" t="str">
        <f>_xlfn.XLOOKUP(B313,Employee_Master!A:A,Employee_Master!E:E,"Not Found")</f>
        <v>IT</v>
      </c>
      <c r="G313" t="s">
        <v>385</v>
      </c>
      <c r="H313">
        <f t="shared" si="8"/>
        <v>2.474164133738602</v>
      </c>
      <c r="I313">
        <f t="shared" si="9"/>
        <v>60.909090909090914</v>
      </c>
    </row>
    <row r="314" spans="1:9">
      <c r="A314">
        <v>313</v>
      </c>
      <c r="B314">
        <v>151</v>
      </c>
      <c r="C314" s="1">
        <v>46060</v>
      </c>
      <c r="D314" t="s">
        <v>384</v>
      </c>
      <c r="E314">
        <v>1</v>
      </c>
      <c r="F314" t="str">
        <f>_xlfn.XLOOKUP(B314,Employee_Master!A:A,Employee_Master!E:E,"Not Found")</f>
        <v>IT</v>
      </c>
      <c r="G314" t="s">
        <v>381</v>
      </c>
      <c r="H314">
        <f t="shared" si="8"/>
        <v>2.4786585365853657</v>
      </c>
      <c r="I314">
        <f t="shared" si="9"/>
        <v>61.094224924012153</v>
      </c>
    </row>
    <row r="315" spans="1:9">
      <c r="A315">
        <v>314</v>
      </c>
      <c r="B315">
        <v>151</v>
      </c>
      <c r="C315" s="1">
        <v>46254</v>
      </c>
      <c r="D315" t="s">
        <v>384</v>
      </c>
      <c r="E315">
        <v>4</v>
      </c>
      <c r="F315" t="str">
        <f>_xlfn.XLOOKUP(B315,Employee_Master!A:A,Employee_Master!E:E,"Not Found")</f>
        <v>IT</v>
      </c>
      <c r="G315" t="s">
        <v>385</v>
      </c>
      <c r="H315">
        <f t="shared" si="8"/>
        <v>2.4831804281345566</v>
      </c>
      <c r="I315">
        <f t="shared" si="9"/>
        <v>61.280487804878049</v>
      </c>
    </row>
    <row r="316" spans="1:9">
      <c r="A316">
        <v>315</v>
      </c>
      <c r="B316">
        <v>152</v>
      </c>
      <c r="C316" s="1">
        <v>46054</v>
      </c>
      <c r="D316" t="s">
        <v>382</v>
      </c>
      <c r="E316">
        <v>1</v>
      </c>
      <c r="F316" t="str">
        <f>_xlfn.XLOOKUP(B316,Employee_Master!A:A,Employee_Master!E:E,"Not Found")</f>
        <v>Finance</v>
      </c>
      <c r="G316" t="s">
        <v>381</v>
      </c>
      <c r="H316">
        <f t="shared" si="8"/>
        <v>2.4785276073619631</v>
      </c>
      <c r="I316">
        <f t="shared" si="9"/>
        <v>61.162079510703357</v>
      </c>
    </row>
    <row r="317" spans="1:9">
      <c r="A317">
        <v>316</v>
      </c>
      <c r="B317">
        <v>152</v>
      </c>
      <c r="C317" s="1">
        <v>46089</v>
      </c>
      <c r="D317" t="s">
        <v>382</v>
      </c>
      <c r="E317">
        <v>2</v>
      </c>
      <c r="F317" t="str">
        <f>_xlfn.XLOOKUP(B317,Employee_Master!A:A,Employee_Master!E:E,"Not Found")</f>
        <v>Finance</v>
      </c>
      <c r="G317" t="s">
        <v>386</v>
      </c>
      <c r="H317">
        <f t="shared" si="8"/>
        <v>2.483076923076923</v>
      </c>
      <c r="I317">
        <f t="shared" si="9"/>
        <v>61.349693251533743</v>
      </c>
    </row>
    <row r="318" spans="1:9">
      <c r="A318">
        <v>317</v>
      </c>
      <c r="B318">
        <v>153</v>
      </c>
      <c r="C318" s="1">
        <v>45979</v>
      </c>
      <c r="D318" t="s">
        <v>384</v>
      </c>
      <c r="E318">
        <v>2</v>
      </c>
      <c r="F318" t="str">
        <f>_xlfn.XLOOKUP(B318,Employee_Master!A:A,Employee_Master!E:E,"Not Found")</f>
        <v>Marketing</v>
      </c>
      <c r="G318" t="s">
        <v>386</v>
      </c>
      <c r="H318">
        <f t="shared" si="8"/>
        <v>2.4845679012345681</v>
      </c>
      <c r="I318">
        <f t="shared" si="9"/>
        <v>61.230769230769234</v>
      </c>
    </row>
    <row r="319" spans="1:9">
      <c r="A319">
        <v>318</v>
      </c>
      <c r="B319">
        <v>153</v>
      </c>
      <c r="C319" s="1">
        <v>46276</v>
      </c>
      <c r="D319" t="s">
        <v>384</v>
      </c>
      <c r="E319">
        <v>4</v>
      </c>
      <c r="F319" t="str">
        <f>_xlfn.XLOOKUP(B319,Employee_Master!A:A,Employee_Master!E:E,"Not Found")</f>
        <v>Marketing</v>
      </c>
      <c r="G319" t="s">
        <v>381</v>
      </c>
      <c r="H319">
        <f t="shared" si="8"/>
        <v>2.4860681114551082</v>
      </c>
      <c r="I319">
        <f t="shared" si="9"/>
        <v>61.419753086419746</v>
      </c>
    </row>
    <row r="320" spans="1:9">
      <c r="A320">
        <v>319</v>
      </c>
      <c r="B320">
        <v>153</v>
      </c>
      <c r="C320" s="1">
        <v>46188</v>
      </c>
      <c r="D320" t="s">
        <v>380</v>
      </c>
      <c r="E320">
        <v>4</v>
      </c>
      <c r="F320" t="str">
        <f>_xlfn.XLOOKUP(B320,Employee_Master!A:A,Employee_Master!E:E,"Not Found")</f>
        <v>Marketing</v>
      </c>
      <c r="G320" t="s">
        <v>381</v>
      </c>
      <c r="H320">
        <f t="shared" si="8"/>
        <v>2.481366459627329</v>
      </c>
      <c r="I320">
        <f t="shared" si="9"/>
        <v>61.609907120743031</v>
      </c>
    </row>
    <row r="321" spans="1:9">
      <c r="A321">
        <v>320</v>
      </c>
      <c r="B321">
        <v>154</v>
      </c>
      <c r="C321" s="1">
        <v>46129</v>
      </c>
      <c r="D321" t="s">
        <v>384</v>
      </c>
      <c r="E321">
        <v>3</v>
      </c>
      <c r="F321" t="str">
        <f>_xlfn.XLOOKUP(B321,Employee_Master!A:A,Employee_Master!E:E,"Not Found")</f>
        <v>HR</v>
      </c>
      <c r="G321" t="s">
        <v>386</v>
      </c>
      <c r="H321">
        <f t="shared" si="8"/>
        <v>2.4766355140186915</v>
      </c>
      <c r="I321">
        <f t="shared" si="9"/>
        <v>61.490683229813669</v>
      </c>
    </row>
    <row r="322" spans="1:9">
      <c r="A322">
        <v>321</v>
      </c>
      <c r="B322">
        <v>154</v>
      </c>
      <c r="C322" s="1">
        <v>45991</v>
      </c>
      <c r="D322" t="s">
        <v>382</v>
      </c>
      <c r="E322">
        <v>2</v>
      </c>
      <c r="F322" t="str">
        <f>_xlfn.XLOOKUP(B322,Employee_Master!A:A,Employee_Master!E:E,"Not Found")</f>
        <v>HR</v>
      </c>
      <c r="G322" t="s">
        <v>385</v>
      </c>
      <c r="H322">
        <f t="shared" ref="H322:H385" si="10">AVERAGE(E322:E961)</f>
        <v>2.4750000000000001</v>
      </c>
      <c r="I322">
        <f t="shared" ref="I322:I385" si="11">COUNTIF(G321:G960,"Approved")/COUNTA(G321:G960)*100</f>
        <v>61.370716510903421</v>
      </c>
    </row>
    <row r="323" spans="1:9">
      <c r="A323">
        <v>322</v>
      </c>
      <c r="B323">
        <v>154</v>
      </c>
      <c r="C323" s="1">
        <v>46081</v>
      </c>
      <c r="D323" t="s">
        <v>380</v>
      </c>
      <c r="E323">
        <v>1</v>
      </c>
      <c r="F323" t="str">
        <f>_xlfn.XLOOKUP(B323,Employee_Master!A:A,Employee_Master!E:E,"Not Found")</f>
        <v>HR</v>
      </c>
      <c r="G323" t="s">
        <v>381</v>
      </c>
      <c r="H323">
        <f t="shared" si="10"/>
        <v>2.476489028213166</v>
      </c>
      <c r="I323">
        <f t="shared" si="11"/>
        <v>61.5625</v>
      </c>
    </row>
    <row r="324" spans="1:9">
      <c r="A324">
        <v>323</v>
      </c>
      <c r="B324">
        <v>154</v>
      </c>
      <c r="C324" s="1">
        <v>46238</v>
      </c>
      <c r="D324" t="s">
        <v>383</v>
      </c>
      <c r="E324">
        <v>4</v>
      </c>
      <c r="F324" t="str">
        <f>_xlfn.XLOOKUP(B324,Employee_Master!A:A,Employee_Master!E:E,"Not Found")</f>
        <v>HR</v>
      </c>
      <c r="G324" t="s">
        <v>381</v>
      </c>
      <c r="H324">
        <f t="shared" si="10"/>
        <v>2.4811320754716979</v>
      </c>
      <c r="I324">
        <f t="shared" si="11"/>
        <v>61.755485893416932</v>
      </c>
    </row>
    <row r="325" spans="1:9">
      <c r="A325">
        <v>324</v>
      </c>
      <c r="B325">
        <v>155</v>
      </c>
      <c r="C325" s="1">
        <v>45970</v>
      </c>
      <c r="D325" t="s">
        <v>380</v>
      </c>
      <c r="E325">
        <v>4</v>
      </c>
      <c r="F325" t="str">
        <f>_xlfn.XLOOKUP(B325,Employee_Master!A:A,Employee_Master!E:E,"Not Found")</f>
        <v>Operations</v>
      </c>
      <c r="G325" t="s">
        <v>385</v>
      </c>
      <c r="H325">
        <f t="shared" si="10"/>
        <v>2.4763406940063093</v>
      </c>
      <c r="I325">
        <f t="shared" si="11"/>
        <v>61.635220125786162</v>
      </c>
    </row>
    <row r="326" spans="1:9">
      <c r="A326">
        <v>325</v>
      </c>
      <c r="B326">
        <v>156</v>
      </c>
      <c r="C326" s="1">
        <v>45933</v>
      </c>
      <c r="D326" t="s">
        <v>382</v>
      </c>
      <c r="E326">
        <v>2</v>
      </c>
      <c r="F326" t="str">
        <f>_xlfn.XLOOKUP(B326,Employee_Master!A:A,Employee_Master!E:E,"Not Found")</f>
        <v>HR</v>
      </c>
      <c r="G326" t="s">
        <v>385</v>
      </c>
      <c r="H326">
        <f t="shared" si="10"/>
        <v>2.471518987341772</v>
      </c>
      <c r="I326">
        <f t="shared" si="11"/>
        <v>61.514195583596212</v>
      </c>
    </row>
    <row r="327" spans="1:9">
      <c r="A327">
        <v>326</v>
      </c>
      <c r="B327">
        <v>158</v>
      </c>
      <c r="C327" s="1">
        <v>46024</v>
      </c>
      <c r="D327" t="s">
        <v>380</v>
      </c>
      <c r="E327">
        <v>3</v>
      </c>
      <c r="F327" t="str">
        <f>_xlfn.XLOOKUP(B327,Employee_Master!A:A,Employee_Master!E:E,"Not Found")</f>
        <v>IT</v>
      </c>
      <c r="G327" t="s">
        <v>386</v>
      </c>
      <c r="H327">
        <f t="shared" si="10"/>
        <v>2.4730158730158731</v>
      </c>
      <c r="I327">
        <f t="shared" si="11"/>
        <v>61.708860759493668</v>
      </c>
    </row>
    <row r="328" spans="1:9">
      <c r="A328">
        <v>327</v>
      </c>
      <c r="B328">
        <v>158</v>
      </c>
      <c r="C328" s="1">
        <v>46183</v>
      </c>
      <c r="D328" t="s">
        <v>380</v>
      </c>
      <c r="E328">
        <v>4</v>
      </c>
      <c r="F328" t="str">
        <f>_xlfn.XLOOKUP(B328,Employee_Master!A:A,Employee_Master!E:E,"Not Found")</f>
        <v>IT</v>
      </c>
      <c r="G328" t="s">
        <v>381</v>
      </c>
      <c r="H328">
        <f t="shared" si="10"/>
        <v>2.4713375796178343</v>
      </c>
      <c r="I328">
        <f t="shared" si="11"/>
        <v>61.904761904761905</v>
      </c>
    </row>
    <row r="329" spans="1:9">
      <c r="A329">
        <v>328</v>
      </c>
      <c r="B329">
        <v>160</v>
      </c>
      <c r="C329" s="1">
        <v>46002</v>
      </c>
      <c r="D329" t="s">
        <v>380</v>
      </c>
      <c r="E329">
        <v>1</v>
      </c>
      <c r="F329" t="str">
        <f>_xlfn.XLOOKUP(B329,Employee_Master!A:A,Employee_Master!E:E,"Not Found")</f>
        <v>Finance</v>
      </c>
      <c r="G329" t="s">
        <v>385</v>
      </c>
      <c r="H329">
        <f t="shared" si="10"/>
        <v>2.4664536741214058</v>
      </c>
      <c r="I329">
        <f t="shared" si="11"/>
        <v>62.101910828025474</v>
      </c>
    </row>
    <row r="330" spans="1:9">
      <c r="A330">
        <v>329</v>
      </c>
      <c r="B330">
        <v>161</v>
      </c>
      <c r="C330" s="1">
        <v>46118</v>
      </c>
      <c r="D330" t="s">
        <v>382</v>
      </c>
      <c r="E330">
        <v>1</v>
      </c>
      <c r="F330" t="str">
        <f>_xlfn.XLOOKUP(B330,Employee_Master!A:A,Employee_Master!E:E,"Not Found")</f>
        <v>Customer Support</v>
      </c>
      <c r="G330" t="s">
        <v>386</v>
      </c>
      <c r="H330">
        <f t="shared" si="10"/>
        <v>2.4711538461538463</v>
      </c>
      <c r="I330">
        <f t="shared" si="11"/>
        <v>61.980830670926515</v>
      </c>
    </row>
    <row r="331" spans="1:9">
      <c r="A331">
        <v>330</v>
      </c>
      <c r="B331">
        <v>161</v>
      </c>
      <c r="C331" s="1">
        <v>46286</v>
      </c>
      <c r="D331" t="s">
        <v>383</v>
      </c>
      <c r="E331">
        <v>1</v>
      </c>
      <c r="F331" t="str">
        <f>_xlfn.XLOOKUP(B331,Employee_Master!A:A,Employee_Master!E:E,"Not Found")</f>
        <v>Customer Support</v>
      </c>
      <c r="G331" t="s">
        <v>385</v>
      </c>
      <c r="H331">
        <f t="shared" si="10"/>
        <v>2.4758842443729905</v>
      </c>
      <c r="I331">
        <f t="shared" si="11"/>
        <v>62.179487179487182</v>
      </c>
    </row>
    <row r="332" spans="1:9">
      <c r="A332">
        <v>331</v>
      </c>
      <c r="B332">
        <v>161</v>
      </c>
      <c r="C332" s="1">
        <v>46173</v>
      </c>
      <c r="D332" t="s">
        <v>384</v>
      </c>
      <c r="E332">
        <v>3</v>
      </c>
      <c r="F332" t="str">
        <f>_xlfn.XLOOKUP(B332,Employee_Master!A:A,Employee_Master!E:E,"Not Found")</f>
        <v>Customer Support</v>
      </c>
      <c r="G332" t="s">
        <v>385</v>
      </c>
      <c r="H332">
        <f t="shared" si="10"/>
        <v>2.4806451612903224</v>
      </c>
      <c r="I332">
        <f t="shared" si="11"/>
        <v>62.379421221864952</v>
      </c>
    </row>
    <row r="333" spans="1:9">
      <c r="A333">
        <v>332</v>
      </c>
      <c r="B333">
        <v>162</v>
      </c>
      <c r="C333" s="1">
        <v>46290</v>
      </c>
      <c r="D333" t="s">
        <v>382</v>
      </c>
      <c r="E333">
        <v>1</v>
      </c>
      <c r="F333" t="str">
        <f>_xlfn.XLOOKUP(B333,Employee_Master!A:A,Employee_Master!E:E,"Not Found")</f>
        <v>Operations</v>
      </c>
      <c r="G333" t="s">
        <v>381</v>
      </c>
      <c r="H333">
        <f t="shared" si="10"/>
        <v>2.4789644012944985</v>
      </c>
      <c r="I333">
        <f t="shared" si="11"/>
        <v>62.580645161290327</v>
      </c>
    </row>
    <row r="334" spans="1:9">
      <c r="A334">
        <v>333</v>
      </c>
      <c r="B334">
        <v>162</v>
      </c>
      <c r="C334" s="1">
        <v>45975</v>
      </c>
      <c r="D334" t="s">
        <v>383</v>
      </c>
      <c r="E334">
        <v>3</v>
      </c>
      <c r="F334" t="str">
        <f>_xlfn.XLOOKUP(B334,Employee_Master!A:A,Employee_Master!E:E,"Not Found")</f>
        <v>Operations</v>
      </c>
      <c r="G334" t="s">
        <v>385</v>
      </c>
      <c r="H334">
        <f t="shared" si="10"/>
        <v>2.4837662337662336</v>
      </c>
      <c r="I334">
        <f t="shared" si="11"/>
        <v>62.783171521035598</v>
      </c>
    </row>
    <row r="335" spans="1:9">
      <c r="A335">
        <v>334</v>
      </c>
      <c r="B335">
        <v>162</v>
      </c>
      <c r="C335" s="1">
        <v>46136</v>
      </c>
      <c r="D335" t="s">
        <v>380</v>
      </c>
      <c r="E335">
        <v>2</v>
      </c>
      <c r="F335" t="str">
        <f>_xlfn.XLOOKUP(B335,Employee_Master!A:A,Employee_Master!E:E,"Not Found")</f>
        <v>Operations</v>
      </c>
      <c r="G335" t="s">
        <v>381</v>
      </c>
      <c r="H335">
        <f t="shared" si="10"/>
        <v>2.4820846905537461</v>
      </c>
      <c r="I335">
        <f t="shared" si="11"/>
        <v>62.662337662337663</v>
      </c>
    </row>
    <row r="336" spans="1:9">
      <c r="A336">
        <v>335</v>
      </c>
      <c r="B336">
        <v>162</v>
      </c>
      <c r="C336" s="1">
        <v>45943</v>
      </c>
      <c r="D336" t="s">
        <v>380</v>
      </c>
      <c r="E336">
        <v>1</v>
      </c>
      <c r="F336" t="str">
        <f>_xlfn.XLOOKUP(B336,Employee_Master!A:A,Employee_Master!E:E,"Not Found")</f>
        <v>Operations</v>
      </c>
      <c r="G336" t="s">
        <v>386</v>
      </c>
      <c r="H336">
        <f t="shared" si="10"/>
        <v>2.4836601307189543</v>
      </c>
      <c r="I336">
        <f t="shared" si="11"/>
        <v>62.866449511400646</v>
      </c>
    </row>
    <row r="337" spans="1:9">
      <c r="A337">
        <v>336</v>
      </c>
      <c r="B337">
        <v>163</v>
      </c>
      <c r="C337" s="1">
        <v>46271</v>
      </c>
      <c r="D337" t="s">
        <v>380</v>
      </c>
      <c r="E337">
        <v>4</v>
      </c>
      <c r="F337" t="str">
        <f>_xlfn.XLOOKUP(B337,Employee_Master!A:A,Employee_Master!E:E,"Not Found")</f>
        <v>Operations</v>
      </c>
      <c r="G337" t="s">
        <v>386</v>
      </c>
      <c r="H337">
        <f t="shared" si="10"/>
        <v>2.4885245901639346</v>
      </c>
      <c r="I337">
        <f t="shared" si="11"/>
        <v>62.745098039215684</v>
      </c>
    </row>
    <row r="338" spans="1:9">
      <c r="A338">
        <v>337</v>
      </c>
      <c r="B338">
        <v>164</v>
      </c>
      <c r="C338" s="1">
        <v>46216</v>
      </c>
      <c r="D338" t="s">
        <v>383</v>
      </c>
      <c r="E338">
        <v>4</v>
      </c>
      <c r="F338" t="str">
        <f>_xlfn.XLOOKUP(B338,Employee_Master!A:A,Employee_Master!E:E,"Not Found")</f>
        <v>Operations</v>
      </c>
      <c r="G338" t="s">
        <v>381</v>
      </c>
      <c r="H338">
        <f t="shared" si="10"/>
        <v>2.4835526315789473</v>
      </c>
      <c r="I338">
        <f t="shared" si="11"/>
        <v>62.950819672131153</v>
      </c>
    </row>
    <row r="339" spans="1:9">
      <c r="A339">
        <v>338</v>
      </c>
      <c r="B339">
        <v>164</v>
      </c>
      <c r="C339" s="1">
        <v>46267</v>
      </c>
      <c r="D339" t="s">
        <v>380</v>
      </c>
      <c r="E339">
        <v>4</v>
      </c>
      <c r="F339" t="str">
        <f>_xlfn.XLOOKUP(B339,Employee_Master!A:A,Employee_Master!E:E,"Not Found")</f>
        <v>Operations</v>
      </c>
      <c r="G339" t="s">
        <v>381</v>
      </c>
      <c r="H339">
        <f t="shared" si="10"/>
        <v>2.4785478547854787</v>
      </c>
      <c r="I339">
        <f t="shared" si="11"/>
        <v>63.157894736842103</v>
      </c>
    </row>
    <row r="340" spans="1:9">
      <c r="A340">
        <v>339</v>
      </c>
      <c r="B340">
        <v>165</v>
      </c>
      <c r="C340" s="1">
        <v>45951</v>
      </c>
      <c r="D340" t="s">
        <v>380</v>
      </c>
      <c r="E340">
        <v>2</v>
      </c>
      <c r="F340" t="str">
        <f>_xlfn.XLOOKUP(B340,Employee_Master!A:A,Employee_Master!E:E,"Not Found")</f>
        <v>Marketing</v>
      </c>
      <c r="G340" t="s">
        <v>381</v>
      </c>
      <c r="H340">
        <f t="shared" si="10"/>
        <v>2.4735099337748343</v>
      </c>
      <c r="I340">
        <f t="shared" si="11"/>
        <v>63.036303630363037</v>
      </c>
    </row>
    <row r="341" spans="1:9">
      <c r="A341">
        <v>340</v>
      </c>
      <c r="B341">
        <v>165</v>
      </c>
      <c r="C341" s="1">
        <v>46084</v>
      </c>
      <c r="D341" t="s">
        <v>380</v>
      </c>
      <c r="E341">
        <v>4</v>
      </c>
      <c r="F341" t="str">
        <f>_xlfn.XLOOKUP(B341,Employee_Master!A:A,Employee_Master!E:E,"Not Found")</f>
        <v>Marketing</v>
      </c>
      <c r="G341" t="s">
        <v>381</v>
      </c>
      <c r="H341">
        <f t="shared" si="10"/>
        <v>2.4750830564784052</v>
      </c>
      <c r="I341">
        <f t="shared" si="11"/>
        <v>62.913907284768214</v>
      </c>
    </row>
    <row r="342" spans="1:9">
      <c r="A342">
        <v>341</v>
      </c>
      <c r="B342">
        <v>165</v>
      </c>
      <c r="C342" s="1">
        <v>46121</v>
      </c>
      <c r="D342" t="s">
        <v>384</v>
      </c>
      <c r="E342">
        <v>1</v>
      </c>
      <c r="F342" t="str">
        <f>_xlfn.XLOOKUP(B342,Employee_Master!A:A,Employee_Master!E:E,"Not Found")</f>
        <v>Marketing</v>
      </c>
      <c r="G342" t="s">
        <v>381</v>
      </c>
      <c r="H342">
        <f t="shared" si="10"/>
        <v>2.4700000000000002</v>
      </c>
      <c r="I342">
        <f t="shared" si="11"/>
        <v>62.790697674418603</v>
      </c>
    </row>
    <row r="343" spans="1:9">
      <c r="A343">
        <v>342</v>
      </c>
      <c r="B343">
        <v>165</v>
      </c>
      <c r="C343" s="1">
        <v>46199</v>
      </c>
      <c r="D343" t="s">
        <v>383</v>
      </c>
      <c r="E343">
        <v>1</v>
      </c>
      <c r="F343" t="str">
        <f>_xlfn.XLOOKUP(B343,Employee_Master!A:A,Employee_Master!E:E,"Not Found")</f>
        <v>Marketing</v>
      </c>
      <c r="G343" t="s">
        <v>381</v>
      </c>
      <c r="H343">
        <f t="shared" si="10"/>
        <v>2.4749163879598663</v>
      </c>
      <c r="I343">
        <f t="shared" si="11"/>
        <v>62.666666666666671</v>
      </c>
    </row>
    <row r="344" spans="1:9">
      <c r="A344">
        <v>343</v>
      </c>
      <c r="B344">
        <v>166</v>
      </c>
      <c r="C344" s="1">
        <v>46094</v>
      </c>
      <c r="D344" t="s">
        <v>380</v>
      </c>
      <c r="E344">
        <v>4</v>
      </c>
      <c r="F344" t="str">
        <f>_xlfn.XLOOKUP(B344,Employee_Master!A:A,Employee_Master!E:E,"Not Found")</f>
        <v>HR</v>
      </c>
      <c r="G344" t="s">
        <v>381</v>
      </c>
      <c r="H344">
        <f t="shared" si="10"/>
        <v>2.4798657718120807</v>
      </c>
      <c r="I344">
        <f t="shared" si="11"/>
        <v>62.541806020066893</v>
      </c>
    </row>
    <row r="345" spans="1:9">
      <c r="A345">
        <v>344</v>
      </c>
      <c r="B345">
        <v>167</v>
      </c>
      <c r="C345" s="1">
        <v>46270</v>
      </c>
      <c r="D345" t="s">
        <v>382</v>
      </c>
      <c r="E345">
        <v>4</v>
      </c>
      <c r="F345" t="str">
        <f>_xlfn.XLOOKUP(B345,Employee_Master!A:A,Employee_Master!E:E,"Not Found")</f>
        <v>IT</v>
      </c>
      <c r="G345" t="s">
        <v>385</v>
      </c>
      <c r="H345">
        <f t="shared" si="10"/>
        <v>2.4747474747474749</v>
      </c>
      <c r="I345">
        <f t="shared" si="11"/>
        <v>62.416107382550337</v>
      </c>
    </row>
    <row r="346" spans="1:9">
      <c r="A346">
        <v>345</v>
      </c>
      <c r="B346">
        <v>168</v>
      </c>
      <c r="C346" s="1">
        <v>45981</v>
      </c>
      <c r="D346" t="s">
        <v>380</v>
      </c>
      <c r="E346">
        <v>4</v>
      </c>
      <c r="F346" t="str">
        <f>_xlfn.XLOOKUP(B346,Employee_Master!A:A,Employee_Master!E:E,"Not Found")</f>
        <v>IT</v>
      </c>
      <c r="G346" t="s">
        <v>386</v>
      </c>
      <c r="H346">
        <f t="shared" si="10"/>
        <v>2.4695945945945947</v>
      </c>
      <c r="I346">
        <f t="shared" si="11"/>
        <v>62.289562289562298</v>
      </c>
    </row>
    <row r="347" spans="1:9">
      <c r="A347">
        <v>346</v>
      </c>
      <c r="B347">
        <v>169</v>
      </c>
      <c r="C347" s="1">
        <v>45967</v>
      </c>
      <c r="D347" t="s">
        <v>380</v>
      </c>
      <c r="E347">
        <v>2</v>
      </c>
      <c r="F347" t="str">
        <f>_xlfn.XLOOKUP(B347,Employee_Master!A:A,Employee_Master!E:E,"Not Found")</f>
        <v>Marketing</v>
      </c>
      <c r="G347" t="s">
        <v>386</v>
      </c>
      <c r="H347">
        <f t="shared" si="10"/>
        <v>2.464406779661017</v>
      </c>
      <c r="I347">
        <f t="shared" si="11"/>
        <v>62.5</v>
      </c>
    </row>
    <row r="348" spans="1:9">
      <c r="A348">
        <v>347</v>
      </c>
      <c r="B348">
        <v>169</v>
      </c>
      <c r="C348" s="1">
        <v>46005</v>
      </c>
      <c r="D348" t="s">
        <v>384</v>
      </c>
      <c r="E348">
        <v>4</v>
      </c>
      <c r="F348" t="str">
        <f>_xlfn.XLOOKUP(B348,Employee_Master!A:A,Employee_Master!E:E,"Not Found")</f>
        <v>Marketing</v>
      </c>
      <c r="G348" t="s">
        <v>386</v>
      </c>
      <c r="H348">
        <f t="shared" si="10"/>
        <v>2.4659863945578233</v>
      </c>
      <c r="I348">
        <f t="shared" si="11"/>
        <v>62.711864406779661</v>
      </c>
    </row>
    <row r="349" spans="1:9">
      <c r="A349">
        <v>348</v>
      </c>
      <c r="B349">
        <v>169</v>
      </c>
      <c r="C349" s="1">
        <v>45968</v>
      </c>
      <c r="D349" t="s">
        <v>380</v>
      </c>
      <c r="E349">
        <v>2</v>
      </c>
      <c r="F349" t="str">
        <f>_xlfn.XLOOKUP(B349,Employee_Master!A:A,Employee_Master!E:E,"Not Found")</f>
        <v>Marketing</v>
      </c>
      <c r="G349" t="s">
        <v>385</v>
      </c>
      <c r="H349">
        <f t="shared" si="10"/>
        <v>2.4607508532423208</v>
      </c>
      <c r="I349">
        <f t="shared" si="11"/>
        <v>62.925170068027214</v>
      </c>
    </row>
    <row r="350" spans="1:9">
      <c r="A350">
        <v>349</v>
      </c>
      <c r="B350">
        <v>169</v>
      </c>
      <c r="C350" s="1">
        <v>46251</v>
      </c>
      <c r="D350" t="s">
        <v>383</v>
      </c>
      <c r="E350">
        <v>2</v>
      </c>
      <c r="F350" t="str">
        <f>_xlfn.XLOOKUP(B350,Employee_Master!A:A,Employee_Master!E:E,"Not Found")</f>
        <v>Marketing</v>
      </c>
      <c r="G350" t="s">
        <v>381</v>
      </c>
      <c r="H350">
        <f t="shared" si="10"/>
        <v>2.4623287671232879</v>
      </c>
      <c r="I350">
        <f t="shared" si="11"/>
        <v>63.13993174061433</v>
      </c>
    </row>
    <row r="351" spans="1:9">
      <c r="A351">
        <v>350</v>
      </c>
      <c r="B351">
        <v>170</v>
      </c>
      <c r="C351" s="1">
        <v>45961</v>
      </c>
      <c r="D351" t="s">
        <v>382</v>
      </c>
      <c r="E351">
        <v>1</v>
      </c>
      <c r="F351" t="str">
        <f>_xlfn.XLOOKUP(B351,Employee_Master!A:A,Employee_Master!E:E,"Not Found")</f>
        <v>HR</v>
      </c>
      <c r="G351" t="s">
        <v>381</v>
      </c>
      <c r="H351">
        <f t="shared" si="10"/>
        <v>2.463917525773196</v>
      </c>
      <c r="I351">
        <f t="shared" si="11"/>
        <v>63.356164383561641</v>
      </c>
    </row>
    <row r="352" spans="1:9">
      <c r="A352">
        <v>351</v>
      </c>
      <c r="B352">
        <v>170</v>
      </c>
      <c r="C352" s="1">
        <v>46133</v>
      </c>
      <c r="D352" t="s">
        <v>384</v>
      </c>
      <c r="E352">
        <v>2</v>
      </c>
      <c r="F352" t="str">
        <f>_xlfn.XLOOKUP(B352,Employee_Master!A:A,Employee_Master!E:E,"Not Found")</f>
        <v>HR</v>
      </c>
      <c r="G352" t="s">
        <v>381</v>
      </c>
      <c r="H352">
        <f t="shared" si="10"/>
        <v>2.4689655172413794</v>
      </c>
      <c r="I352">
        <f t="shared" si="11"/>
        <v>63.230240549828174</v>
      </c>
    </row>
    <row r="353" spans="1:9">
      <c r="A353">
        <v>352</v>
      </c>
      <c r="B353">
        <v>170</v>
      </c>
      <c r="C353" s="1">
        <v>46131</v>
      </c>
      <c r="D353" t="s">
        <v>382</v>
      </c>
      <c r="E353">
        <v>2</v>
      </c>
      <c r="F353" t="str">
        <f>_xlfn.XLOOKUP(B353,Employee_Master!A:A,Employee_Master!E:E,"Not Found")</f>
        <v>HR</v>
      </c>
      <c r="G353" t="s">
        <v>381</v>
      </c>
      <c r="H353">
        <f t="shared" si="10"/>
        <v>2.4705882352941178</v>
      </c>
      <c r="I353">
        <f t="shared" si="11"/>
        <v>63.103448275862071</v>
      </c>
    </row>
    <row r="354" spans="1:9">
      <c r="A354">
        <v>353</v>
      </c>
      <c r="B354">
        <v>171</v>
      </c>
      <c r="C354" s="1">
        <v>46245</v>
      </c>
      <c r="D354" t="s">
        <v>382</v>
      </c>
      <c r="E354">
        <v>2</v>
      </c>
      <c r="F354" t="str">
        <f>_xlfn.XLOOKUP(B354,Employee_Master!A:A,Employee_Master!E:E,"Not Found")</f>
        <v>Customer Support</v>
      </c>
      <c r="G354" t="s">
        <v>381</v>
      </c>
      <c r="H354">
        <f t="shared" si="10"/>
        <v>2.4722222222222223</v>
      </c>
      <c r="I354">
        <f t="shared" si="11"/>
        <v>62.975778546712803</v>
      </c>
    </row>
    <row r="355" spans="1:9">
      <c r="A355">
        <v>354</v>
      </c>
      <c r="B355">
        <v>171</v>
      </c>
      <c r="C355" s="1">
        <v>46237</v>
      </c>
      <c r="D355" t="s">
        <v>383</v>
      </c>
      <c r="E355">
        <v>4</v>
      </c>
      <c r="F355" t="str">
        <f>_xlfn.XLOOKUP(B355,Employee_Master!A:A,Employee_Master!E:E,"Not Found")</f>
        <v>Customer Support</v>
      </c>
      <c r="G355" t="s">
        <v>381</v>
      </c>
      <c r="H355">
        <f t="shared" si="10"/>
        <v>2.4738675958188154</v>
      </c>
      <c r="I355">
        <f t="shared" si="11"/>
        <v>62.847222222222221</v>
      </c>
    </row>
    <row r="356" spans="1:9">
      <c r="A356">
        <v>355</v>
      </c>
      <c r="B356">
        <v>171</v>
      </c>
      <c r="C356" s="1">
        <v>46152</v>
      </c>
      <c r="D356" t="s">
        <v>384</v>
      </c>
      <c r="E356">
        <v>4</v>
      </c>
      <c r="F356" t="str">
        <f>_xlfn.XLOOKUP(B356,Employee_Master!A:A,Employee_Master!E:E,"Not Found")</f>
        <v>Customer Support</v>
      </c>
      <c r="G356" t="s">
        <v>381</v>
      </c>
      <c r="H356">
        <f t="shared" si="10"/>
        <v>2.4685314685314683</v>
      </c>
      <c r="I356">
        <f t="shared" si="11"/>
        <v>62.717770034843198</v>
      </c>
    </row>
    <row r="357" spans="1:9">
      <c r="A357">
        <v>356</v>
      </c>
      <c r="B357">
        <v>172</v>
      </c>
      <c r="C357" s="1">
        <v>45974</v>
      </c>
      <c r="D357" t="s">
        <v>380</v>
      </c>
      <c r="E357">
        <v>1</v>
      </c>
      <c r="F357" t="str">
        <f>_xlfn.XLOOKUP(B357,Employee_Master!A:A,Employee_Master!E:E,"Not Found")</f>
        <v>Finance</v>
      </c>
      <c r="G357" t="s">
        <v>381</v>
      </c>
      <c r="H357">
        <f t="shared" si="10"/>
        <v>2.4631578947368422</v>
      </c>
      <c r="I357">
        <f t="shared" si="11"/>
        <v>62.587412587412587</v>
      </c>
    </row>
    <row r="358" spans="1:9">
      <c r="A358">
        <v>357</v>
      </c>
      <c r="B358">
        <v>172</v>
      </c>
      <c r="C358" s="1">
        <v>46073</v>
      </c>
      <c r="D358" t="s">
        <v>382</v>
      </c>
      <c r="E358">
        <v>3</v>
      </c>
      <c r="F358" t="str">
        <f>_xlfn.XLOOKUP(B358,Employee_Master!A:A,Employee_Master!E:E,"Not Found")</f>
        <v>Finance</v>
      </c>
      <c r="G358" t="s">
        <v>385</v>
      </c>
      <c r="H358">
        <f t="shared" si="10"/>
        <v>2.4683098591549295</v>
      </c>
      <c r="I358">
        <f t="shared" si="11"/>
        <v>62.456140350877199</v>
      </c>
    </row>
    <row r="359" spans="1:9">
      <c r="A359">
        <v>358</v>
      </c>
      <c r="B359">
        <v>172</v>
      </c>
      <c r="C359" s="1">
        <v>46263</v>
      </c>
      <c r="D359" t="s">
        <v>383</v>
      </c>
      <c r="E359">
        <v>3</v>
      </c>
      <c r="F359" t="str">
        <f>_xlfn.XLOOKUP(B359,Employee_Master!A:A,Employee_Master!E:E,"Not Found")</f>
        <v>Finance</v>
      </c>
      <c r="G359" t="s">
        <v>386</v>
      </c>
      <c r="H359">
        <f t="shared" si="10"/>
        <v>2.4664310954063606</v>
      </c>
      <c r="I359">
        <f t="shared" si="11"/>
        <v>62.323943661971825</v>
      </c>
    </row>
    <row r="360" spans="1:9">
      <c r="A360">
        <v>359</v>
      </c>
      <c r="B360">
        <v>172</v>
      </c>
      <c r="C360" s="1">
        <v>46240</v>
      </c>
      <c r="D360" t="s">
        <v>383</v>
      </c>
      <c r="E360">
        <v>3</v>
      </c>
      <c r="F360" t="str">
        <f>_xlfn.XLOOKUP(B360,Employee_Master!A:A,Employee_Master!E:E,"Not Found")</f>
        <v>Finance</v>
      </c>
      <c r="G360" t="s">
        <v>385</v>
      </c>
      <c r="H360">
        <f t="shared" si="10"/>
        <v>2.4645390070921986</v>
      </c>
      <c r="I360">
        <f t="shared" si="11"/>
        <v>62.544169611307424</v>
      </c>
    </row>
    <row r="361" spans="1:9">
      <c r="A361">
        <v>360</v>
      </c>
      <c r="B361">
        <v>173</v>
      </c>
      <c r="C361" s="1">
        <v>46180</v>
      </c>
      <c r="D361" t="s">
        <v>382</v>
      </c>
      <c r="E361">
        <v>2</v>
      </c>
      <c r="F361" t="str">
        <f>_xlfn.XLOOKUP(B361,Employee_Master!A:A,Employee_Master!E:E,"Not Found")</f>
        <v>Marketing</v>
      </c>
      <c r="G361" t="s">
        <v>385</v>
      </c>
      <c r="H361">
        <f t="shared" si="10"/>
        <v>2.4626334519572954</v>
      </c>
      <c r="I361">
        <f t="shared" si="11"/>
        <v>62.765957446808507</v>
      </c>
    </row>
    <row r="362" spans="1:9">
      <c r="A362">
        <v>361</v>
      </c>
      <c r="B362">
        <v>173</v>
      </c>
      <c r="C362" s="1">
        <v>46103</v>
      </c>
      <c r="D362" t="s">
        <v>384</v>
      </c>
      <c r="E362">
        <v>4</v>
      </c>
      <c r="F362" t="str">
        <f>_xlfn.XLOOKUP(B362,Employee_Master!A:A,Employee_Master!E:E,"Not Found")</f>
        <v>Marketing</v>
      </c>
      <c r="G362" t="s">
        <v>381</v>
      </c>
      <c r="H362">
        <f t="shared" si="10"/>
        <v>2.4642857142857144</v>
      </c>
      <c r="I362">
        <f t="shared" si="11"/>
        <v>62.989323843416365</v>
      </c>
    </row>
    <row r="363" spans="1:9">
      <c r="A363">
        <v>362</v>
      </c>
      <c r="B363">
        <v>173</v>
      </c>
      <c r="C363" s="1">
        <v>46203</v>
      </c>
      <c r="D363" t="s">
        <v>384</v>
      </c>
      <c r="E363">
        <v>3</v>
      </c>
      <c r="F363" t="str">
        <f>_xlfn.XLOOKUP(B363,Employee_Master!A:A,Employee_Master!E:E,"Not Found")</f>
        <v>Marketing</v>
      </c>
      <c r="G363" t="s">
        <v>381</v>
      </c>
      <c r="H363">
        <f t="shared" si="10"/>
        <v>2.4587813620071683</v>
      </c>
      <c r="I363">
        <f t="shared" si="11"/>
        <v>63.214285714285708</v>
      </c>
    </row>
    <row r="364" spans="1:9">
      <c r="A364">
        <v>363</v>
      </c>
      <c r="B364">
        <v>173</v>
      </c>
      <c r="C364" s="1">
        <v>46069</v>
      </c>
      <c r="D364" t="s">
        <v>383</v>
      </c>
      <c r="E364">
        <v>2</v>
      </c>
      <c r="F364" t="str">
        <f>_xlfn.XLOOKUP(B364,Employee_Master!A:A,Employee_Master!E:E,"Not Found")</f>
        <v>Marketing</v>
      </c>
      <c r="G364" t="s">
        <v>381</v>
      </c>
      <c r="H364">
        <f t="shared" si="10"/>
        <v>2.4568345323741005</v>
      </c>
      <c r="I364">
        <f t="shared" si="11"/>
        <v>63.082437275985662</v>
      </c>
    </row>
    <row r="365" spans="1:9">
      <c r="A365">
        <v>364</v>
      </c>
      <c r="B365">
        <v>174</v>
      </c>
      <c r="C365" s="1">
        <v>46053</v>
      </c>
      <c r="D365" t="s">
        <v>380</v>
      </c>
      <c r="E365">
        <v>3</v>
      </c>
      <c r="F365" t="str">
        <f>_xlfn.XLOOKUP(B365,Employee_Master!A:A,Employee_Master!E:E,"Not Found")</f>
        <v>Marketing</v>
      </c>
      <c r="G365" t="s">
        <v>381</v>
      </c>
      <c r="H365">
        <f t="shared" si="10"/>
        <v>2.4584837545126352</v>
      </c>
      <c r="I365">
        <f t="shared" si="11"/>
        <v>62.949640287769782</v>
      </c>
    </row>
    <row r="366" spans="1:9">
      <c r="A366">
        <v>365</v>
      </c>
      <c r="B366">
        <v>174</v>
      </c>
      <c r="C366" s="1">
        <v>46029</v>
      </c>
      <c r="D366" t="s">
        <v>383</v>
      </c>
      <c r="E366">
        <v>4</v>
      </c>
      <c r="F366" t="str">
        <f>_xlfn.XLOOKUP(B366,Employee_Master!A:A,Employee_Master!E:E,"Not Found")</f>
        <v>Marketing</v>
      </c>
      <c r="G366" t="s">
        <v>381</v>
      </c>
      <c r="H366">
        <f t="shared" si="10"/>
        <v>2.4565217391304346</v>
      </c>
      <c r="I366">
        <f t="shared" si="11"/>
        <v>62.815884476534301</v>
      </c>
    </row>
    <row r="367" spans="1:9">
      <c r="A367">
        <v>366</v>
      </c>
      <c r="B367">
        <v>175</v>
      </c>
      <c r="C367" s="1">
        <v>46237</v>
      </c>
      <c r="D367" t="s">
        <v>382</v>
      </c>
      <c r="E367">
        <v>2</v>
      </c>
      <c r="F367" t="str">
        <f>_xlfn.XLOOKUP(B367,Employee_Master!A:A,Employee_Master!E:E,"Not Found")</f>
        <v>HR</v>
      </c>
      <c r="G367" t="s">
        <v>386</v>
      </c>
      <c r="H367">
        <f t="shared" si="10"/>
        <v>2.4509090909090907</v>
      </c>
      <c r="I367">
        <f t="shared" si="11"/>
        <v>62.681159420289859</v>
      </c>
    </row>
    <row r="368" spans="1:9">
      <c r="A368">
        <v>367</v>
      </c>
      <c r="B368">
        <v>175</v>
      </c>
      <c r="C368" s="1">
        <v>46002</v>
      </c>
      <c r="D368" t="s">
        <v>383</v>
      </c>
      <c r="E368">
        <v>2</v>
      </c>
      <c r="F368" t="str">
        <f>_xlfn.XLOOKUP(B368,Employee_Master!A:A,Employee_Master!E:E,"Not Found")</f>
        <v>HR</v>
      </c>
      <c r="G368" t="s">
        <v>381</v>
      </c>
      <c r="H368">
        <f t="shared" si="10"/>
        <v>2.4525547445255476</v>
      </c>
      <c r="I368">
        <f t="shared" si="11"/>
        <v>62.545454545454547</v>
      </c>
    </row>
    <row r="369" spans="1:9">
      <c r="A369">
        <v>368</v>
      </c>
      <c r="B369">
        <v>176</v>
      </c>
      <c r="C369" s="1">
        <v>46214</v>
      </c>
      <c r="D369" t="s">
        <v>383</v>
      </c>
      <c r="E369">
        <v>2</v>
      </c>
      <c r="F369" t="str">
        <f>_xlfn.XLOOKUP(B369,Employee_Master!A:A,Employee_Master!E:E,"Not Found")</f>
        <v>Marketing</v>
      </c>
      <c r="G369" t="s">
        <v>385</v>
      </c>
      <c r="H369">
        <f t="shared" si="10"/>
        <v>2.4542124542124544</v>
      </c>
      <c r="I369">
        <f t="shared" si="11"/>
        <v>62.773722627737229</v>
      </c>
    </row>
    <row r="370" spans="1:9">
      <c r="A370">
        <v>369</v>
      </c>
      <c r="B370">
        <v>176</v>
      </c>
      <c r="C370" s="1">
        <v>46228</v>
      </c>
      <c r="D370" t="s">
        <v>380</v>
      </c>
      <c r="E370">
        <v>1</v>
      </c>
      <c r="F370" t="str">
        <f>_xlfn.XLOOKUP(B370,Employee_Master!A:A,Employee_Master!E:E,"Not Found")</f>
        <v>Marketing</v>
      </c>
      <c r="G370" t="s">
        <v>381</v>
      </c>
      <c r="H370">
        <f t="shared" si="10"/>
        <v>2.4558823529411766</v>
      </c>
      <c r="I370">
        <f t="shared" si="11"/>
        <v>62.637362637362635</v>
      </c>
    </row>
    <row r="371" spans="1:9">
      <c r="A371">
        <v>370</v>
      </c>
      <c r="B371">
        <v>176</v>
      </c>
      <c r="C371" s="1">
        <v>46257</v>
      </c>
      <c r="D371" t="s">
        <v>380</v>
      </c>
      <c r="E371">
        <v>2</v>
      </c>
      <c r="F371" t="str">
        <f>_xlfn.XLOOKUP(B371,Employee_Master!A:A,Employee_Master!E:E,"Not Found")</f>
        <v>Marketing</v>
      </c>
      <c r="G371" t="s">
        <v>386</v>
      </c>
      <c r="H371">
        <f t="shared" si="10"/>
        <v>2.4612546125461257</v>
      </c>
      <c r="I371">
        <f t="shared" si="11"/>
        <v>62.867647058823529</v>
      </c>
    </row>
    <row r="372" spans="1:9">
      <c r="A372">
        <v>371</v>
      </c>
      <c r="B372">
        <v>176</v>
      </c>
      <c r="C372" s="1">
        <v>46255</v>
      </c>
      <c r="D372" t="s">
        <v>383</v>
      </c>
      <c r="E372">
        <v>2</v>
      </c>
      <c r="F372" t="str">
        <f>_xlfn.XLOOKUP(B372,Employee_Master!A:A,Employee_Master!E:E,"Not Found")</f>
        <v>Marketing</v>
      </c>
      <c r="G372" t="s">
        <v>385</v>
      </c>
      <c r="H372">
        <f t="shared" si="10"/>
        <v>2.4629629629629628</v>
      </c>
      <c r="I372">
        <f t="shared" si="11"/>
        <v>62.730627306273071</v>
      </c>
    </row>
    <row r="373" spans="1:9">
      <c r="A373">
        <v>372</v>
      </c>
      <c r="B373">
        <v>177</v>
      </c>
      <c r="C373" s="1">
        <v>46056</v>
      </c>
      <c r="D373" t="s">
        <v>382</v>
      </c>
      <c r="E373">
        <v>4</v>
      </c>
      <c r="F373" t="str">
        <f>_xlfn.XLOOKUP(B373,Employee_Master!A:A,Employee_Master!E:E,"Not Found")</f>
        <v>Marketing</v>
      </c>
      <c r="G373" t="s">
        <v>381</v>
      </c>
      <c r="H373">
        <f t="shared" si="10"/>
        <v>2.4646840148698885</v>
      </c>
      <c r="I373">
        <f t="shared" si="11"/>
        <v>62.962962962962962</v>
      </c>
    </row>
    <row r="374" spans="1:9">
      <c r="A374">
        <v>373</v>
      </c>
      <c r="B374">
        <v>177</v>
      </c>
      <c r="C374" s="1">
        <v>46221</v>
      </c>
      <c r="D374" t="s">
        <v>382</v>
      </c>
      <c r="E374">
        <v>3</v>
      </c>
      <c r="F374" t="str">
        <f>_xlfn.XLOOKUP(B374,Employee_Master!A:A,Employee_Master!E:E,"Not Found")</f>
        <v>Marketing</v>
      </c>
      <c r="G374" t="s">
        <v>381</v>
      </c>
      <c r="H374">
        <f t="shared" si="10"/>
        <v>2.4589552238805972</v>
      </c>
      <c r="I374">
        <f t="shared" si="11"/>
        <v>63.19702602230484</v>
      </c>
    </row>
    <row r="375" spans="1:9">
      <c r="A375">
        <v>374</v>
      </c>
      <c r="B375">
        <v>178</v>
      </c>
      <c r="C375" s="1">
        <v>46241</v>
      </c>
      <c r="D375" t="s">
        <v>384</v>
      </c>
      <c r="E375">
        <v>3</v>
      </c>
      <c r="F375" t="str">
        <f>_xlfn.XLOOKUP(B375,Employee_Master!A:A,Employee_Master!E:E,"Not Found")</f>
        <v>IT</v>
      </c>
      <c r="G375" t="s">
        <v>381</v>
      </c>
      <c r="H375">
        <f t="shared" si="10"/>
        <v>2.4569288389513106</v>
      </c>
      <c r="I375">
        <f t="shared" si="11"/>
        <v>63.059701492537314</v>
      </c>
    </row>
    <row r="376" spans="1:9">
      <c r="A376">
        <v>375</v>
      </c>
      <c r="B376">
        <v>178</v>
      </c>
      <c r="C376" s="1">
        <v>46123</v>
      </c>
      <c r="D376" t="s">
        <v>382</v>
      </c>
      <c r="E376">
        <v>1</v>
      </c>
      <c r="F376" t="str">
        <f>_xlfn.XLOOKUP(B376,Employee_Master!A:A,Employee_Master!E:E,"Not Found")</f>
        <v>IT</v>
      </c>
      <c r="G376" t="s">
        <v>381</v>
      </c>
      <c r="H376">
        <f t="shared" si="10"/>
        <v>2.4548872180451129</v>
      </c>
      <c r="I376">
        <f t="shared" si="11"/>
        <v>62.921348314606739</v>
      </c>
    </row>
    <row r="377" spans="1:9">
      <c r="A377">
        <v>376</v>
      </c>
      <c r="B377">
        <v>179</v>
      </c>
      <c r="C377" s="1">
        <v>46061</v>
      </c>
      <c r="D377" t="s">
        <v>382</v>
      </c>
      <c r="E377">
        <v>4</v>
      </c>
      <c r="F377" t="str">
        <f>_xlfn.XLOOKUP(B377,Employee_Master!A:A,Employee_Master!E:E,"Not Found")</f>
        <v>Marketing</v>
      </c>
      <c r="G377" t="s">
        <v>386</v>
      </c>
      <c r="H377">
        <f t="shared" si="10"/>
        <v>2.4603773584905659</v>
      </c>
      <c r="I377">
        <f t="shared" si="11"/>
        <v>62.781954887218049</v>
      </c>
    </row>
    <row r="378" spans="1:9">
      <c r="A378">
        <v>377</v>
      </c>
      <c r="B378">
        <v>180</v>
      </c>
      <c r="C378" s="1">
        <v>46072</v>
      </c>
      <c r="D378" t="s">
        <v>382</v>
      </c>
      <c r="E378">
        <v>2</v>
      </c>
      <c r="F378" t="str">
        <f>_xlfn.XLOOKUP(B378,Employee_Master!A:A,Employee_Master!E:E,"Not Found")</f>
        <v>Finance</v>
      </c>
      <c r="G378" t="s">
        <v>381</v>
      </c>
      <c r="H378">
        <f t="shared" si="10"/>
        <v>2.4545454545454546</v>
      </c>
      <c r="I378">
        <f t="shared" si="11"/>
        <v>62.641509433962263</v>
      </c>
    </row>
    <row r="379" spans="1:9">
      <c r="A379">
        <v>378</v>
      </c>
      <c r="B379">
        <v>180</v>
      </c>
      <c r="C379" s="1">
        <v>45957</v>
      </c>
      <c r="D379" t="s">
        <v>382</v>
      </c>
      <c r="E379">
        <v>4</v>
      </c>
      <c r="F379" t="str">
        <f>_xlfn.XLOOKUP(B379,Employee_Master!A:A,Employee_Master!E:E,"Not Found")</f>
        <v>Finance</v>
      </c>
      <c r="G379" t="s">
        <v>386</v>
      </c>
      <c r="H379">
        <f t="shared" si="10"/>
        <v>2.456273764258555</v>
      </c>
      <c r="I379">
        <f t="shared" si="11"/>
        <v>62.878787878787875</v>
      </c>
    </row>
    <row r="380" spans="1:9">
      <c r="A380">
        <v>379</v>
      </c>
      <c r="B380">
        <v>180</v>
      </c>
      <c r="C380" s="1">
        <v>45986</v>
      </c>
      <c r="D380" t="s">
        <v>382</v>
      </c>
      <c r="E380">
        <v>4</v>
      </c>
      <c r="F380" t="str">
        <f>_xlfn.XLOOKUP(B380,Employee_Master!A:A,Employee_Master!E:E,"Not Found")</f>
        <v>Finance</v>
      </c>
      <c r="G380" t="s">
        <v>385</v>
      </c>
      <c r="H380">
        <f t="shared" si="10"/>
        <v>2.4503816793893129</v>
      </c>
      <c r="I380">
        <f t="shared" si="11"/>
        <v>62.737642585551335</v>
      </c>
    </row>
    <row r="381" spans="1:9">
      <c r="A381">
        <v>380</v>
      </c>
      <c r="B381">
        <v>180</v>
      </c>
      <c r="C381" s="1">
        <v>46091</v>
      </c>
      <c r="D381" t="s">
        <v>384</v>
      </c>
      <c r="E381">
        <v>2</v>
      </c>
      <c r="F381" t="str">
        <f>_xlfn.XLOOKUP(B381,Employee_Master!A:A,Employee_Master!E:E,"Not Found")</f>
        <v>Finance</v>
      </c>
      <c r="G381" t="s">
        <v>381</v>
      </c>
      <c r="H381">
        <f t="shared" si="10"/>
        <v>2.4444444444444446</v>
      </c>
      <c r="I381">
        <f t="shared" si="11"/>
        <v>62.977099236641223</v>
      </c>
    </row>
    <row r="382" spans="1:9">
      <c r="A382">
        <v>381</v>
      </c>
      <c r="B382">
        <v>182</v>
      </c>
      <c r="C382" s="1">
        <v>45958</v>
      </c>
      <c r="D382" t="s">
        <v>384</v>
      </c>
      <c r="E382">
        <v>1</v>
      </c>
      <c r="F382" t="str">
        <f>_xlfn.XLOOKUP(B382,Employee_Master!A:A,Employee_Master!E:E,"Not Found")</f>
        <v>Marketing</v>
      </c>
      <c r="G382" t="s">
        <v>381</v>
      </c>
      <c r="H382">
        <f t="shared" si="10"/>
        <v>2.4461538461538463</v>
      </c>
      <c r="I382">
        <f t="shared" si="11"/>
        <v>63.218390804597703</v>
      </c>
    </row>
    <row r="383" spans="1:9">
      <c r="A383">
        <v>382</v>
      </c>
      <c r="B383">
        <v>182</v>
      </c>
      <c r="C383" s="1">
        <v>45986</v>
      </c>
      <c r="D383" t="s">
        <v>383</v>
      </c>
      <c r="E383">
        <v>2</v>
      </c>
      <c r="F383" t="str">
        <f>_xlfn.XLOOKUP(B383,Employee_Master!A:A,Employee_Master!E:E,"Not Found")</f>
        <v>Marketing</v>
      </c>
      <c r="G383" t="s">
        <v>381</v>
      </c>
      <c r="H383">
        <f t="shared" si="10"/>
        <v>2.4517374517374519</v>
      </c>
      <c r="I383">
        <f t="shared" si="11"/>
        <v>63.076923076923073</v>
      </c>
    </row>
    <row r="384" spans="1:9">
      <c r="A384">
        <v>383</v>
      </c>
      <c r="B384">
        <v>183</v>
      </c>
      <c r="C384" s="1">
        <v>46035</v>
      </c>
      <c r="D384" t="s">
        <v>384</v>
      </c>
      <c r="E384">
        <v>1</v>
      </c>
      <c r="F384" t="str">
        <f>_xlfn.XLOOKUP(B384,Employee_Master!A:A,Employee_Master!E:E,"Not Found")</f>
        <v>HR</v>
      </c>
      <c r="G384" t="s">
        <v>381</v>
      </c>
      <c r="H384">
        <f t="shared" si="10"/>
        <v>2.4534883720930232</v>
      </c>
      <c r="I384">
        <f t="shared" si="11"/>
        <v>62.93436293436293</v>
      </c>
    </row>
    <row r="385" spans="1:9">
      <c r="A385">
        <v>384</v>
      </c>
      <c r="B385">
        <v>183</v>
      </c>
      <c r="C385" s="1">
        <v>45988</v>
      </c>
      <c r="D385" t="s">
        <v>383</v>
      </c>
      <c r="E385">
        <v>3</v>
      </c>
      <c r="F385" t="str">
        <f>_xlfn.XLOOKUP(B385,Employee_Master!A:A,Employee_Master!E:E,"Not Found")</f>
        <v>HR</v>
      </c>
      <c r="G385" t="s">
        <v>381</v>
      </c>
      <c r="H385">
        <f t="shared" si="10"/>
        <v>2.4591439688715955</v>
      </c>
      <c r="I385">
        <f t="shared" si="11"/>
        <v>62.790697674418603</v>
      </c>
    </row>
    <row r="386" spans="1:9">
      <c r="A386">
        <v>385</v>
      </c>
      <c r="B386">
        <v>183</v>
      </c>
      <c r="C386" s="1">
        <v>46151</v>
      </c>
      <c r="D386" t="s">
        <v>380</v>
      </c>
      <c r="E386">
        <v>2</v>
      </c>
      <c r="F386" t="str">
        <f>_xlfn.XLOOKUP(B386,Employee_Master!A:A,Employee_Master!E:E,"Not Found")</f>
        <v>HR</v>
      </c>
      <c r="G386" t="s">
        <v>381</v>
      </c>
      <c r="H386">
        <f t="shared" ref="H386:H449" si="12">AVERAGE(E386:E1025)</f>
        <v>2.45703125</v>
      </c>
      <c r="I386">
        <f t="shared" ref="I386:I449" si="13">COUNTIF(G385:G1024,"Approved")/COUNTA(G385:G1024)*100</f>
        <v>62.645914396887157</v>
      </c>
    </row>
    <row r="387" spans="1:9">
      <c r="A387">
        <v>386</v>
      </c>
      <c r="B387">
        <v>184</v>
      </c>
      <c r="C387" s="1">
        <v>46240</v>
      </c>
      <c r="D387" t="s">
        <v>383</v>
      </c>
      <c r="E387">
        <v>3</v>
      </c>
      <c r="F387" t="str">
        <f>_xlfn.XLOOKUP(B387,Employee_Master!A:A,Employee_Master!E:E,"Not Found")</f>
        <v>Customer Support</v>
      </c>
      <c r="G387" t="s">
        <v>381</v>
      </c>
      <c r="H387">
        <f t="shared" si="12"/>
        <v>2.4588235294117649</v>
      </c>
      <c r="I387">
        <f t="shared" si="13"/>
        <v>62.5</v>
      </c>
    </row>
    <row r="388" spans="1:9">
      <c r="A388">
        <v>387</v>
      </c>
      <c r="B388">
        <v>184</v>
      </c>
      <c r="C388" s="1">
        <v>46008</v>
      </c>
      <c r="D388" t="s">
        <v>384</v>
      </c>
      <c r="E388">
        <v>3</v>
      </c>
      <c r="F388" t="str">
        <f>_xlfn.XLOOKUP(B388,Employee_Master!A:A,Employee_Master!E:E,"Not Found")</f>
        <v>Customer Support</v>
      </c>
      <c r="G388" t="s">
        <v>381</v>
      </c>
      <c r="H388">
        <f t="shared" si="12"/>
        <v>2.4566929133858268</v>
      </c>
      <c r="I388">
        <f t="shared" si="13"/>
        <v>62.352941176470587</v>
      </c>
    </row>
    <row r="389" spans="1:9">
      <c r="A389">
        <v>388</v>
      </c>
      <c r="B389">
        <v>184</v>
      </c>
      <c r="C389" s="1">
        <v>46018</v>
      </c>
      <c r="D389" t="s">
        <v>382</v>
      </c>
      <c r="E389">
        <v>2</v>
      </c>
      <c r="F389" t="str">
        <f>_xlfn.XLOOKUP(B389,Employee_Master!A:A,Employee_Master!E:E,"Not Found")</f>
        <v>Customer Support</v>
      </c>
      <c r="G389" t="s">
        <v>386</v>
      </c>
      <c r="H389">
        <f t="shared" si="12"/>
        <v>2.4545454545454546</v>
      </c>
      <c r="I389">
        <f t="shared" si="13"/>
        <v>62.204724409448822</v>
      </c>
    </row>
    <row r="390" spans="1:9">
      <c r="A390">
        <v>389</v>
      </c>
      <c r="B390">
        <v>184</v>
      </c>
      <c r="C390" s="1">
        <v>46246</v>
      </c>
      <c r="D390" t="s">
        <v>384</v>
      </c>
      <c r="E390">
        <v>2</v>
      </c>
      <c r="F390" t="str">
        <f>_xlfn.XLOOKUP(B390,Employee_Master!A:A,Employee_Master!E:E,"Not Found")</f>
        <v>Customer Support</v>
      </c>
      <c r="G390" t="s">
        <v>381</v>
      </c>
      <c r="H390">
        <f t="shared" si="12"/>
        <v>2.4563492063492065</v>
      </c>
      <c r="I390">
        <f t="shared" si="13"/>
        <v>62.055335968379445</v>
      </c>
    </row>
    <row r="391" spans="1:9">
      <c r="A391">
        <v>390</v>
      </c>
      <c r="B391">
        <v>185</v>
      </c>
      <c r="C391" s="1">
        <v>46245</v>
      </c>
      <c r="D391" t="s">
        <v>383</v>
      </c>
      <c r="E391">
        <v>4</v>
      </c>
      <c r="F391" t="str">
        <f>_xlfn.XLOOKUP(B391,Employee_Master!A:A,Employee_Master!E:E,"Not Found")</f>
        <v>Finance</v>
      </c>
      <c r="G391" t="s">
        <v>381</v>
      </c>
      <c r="H391">
        <f t="shared" si="12"/>
        <v>2.4581673306772909</v>
      </c>
      <c r="I391">
        <f t="shared" si="13"/>
        <v>62.301587301587304</v>
      </c>
    </row>
    <row r="392" spans="1:9">
      <c r="A392">
        <v>391</v>
      </c>
      <c r="B392">
        <v>185</v>
      </c>
      <c r="C392" s="1">
        <v>45979</v>
      </c>
      <c r="D392" t="s">
        <v>380</v>
      </c>
      <c r="E392">
        <v>4</v>
      </c>
      <c r="F392" t="str">
        <f>_xlfn.XLOOKUP(B392,Employee_Master!A:A,Employee_Master!E:E,"Not Found")</f>
        <v>Finance</v>
      </c>
      <c r="G392" t="s">
        <v>381</v>
      </c>
      <c r="H392">
        <f t="shared" si="12"/>
        <v>2.452</v>
      </c>
      <c r="I392">
        <f t="shared" si="13"/>
        <v>62.151394422310759</v>
      </c>
    </row>
    <row r="393" spans="1:9">
      <c r="A393">
        <v>392</v>
      </c>
      <c r="B393">
        <v>185</v>
      </c>
      <c r="C393" s="1">
        <v>46054</v>
      </c>
      <c r="D393" t="s">
        <v>382</v>
      </c>
      <c r="E393">
        <v>2</v>
      </c>
      <c r="F393" t="str">
        <f>_xlfn.XLOOKUP(B393,Employee_Master!A:A,Employee_Master!E:E,"Not Found")</f>
        <v>Finance</v>
      </c>
      <c r="G393" t="s">
        <v>381</v>
      </c>
      <c r="H393">
        <f t="shared" si="12"/>
        <v>2.4457831325301207</v>
      </c>
      <c r="I393">
        <f t="shared" si="13"/>
        <v>62</v>
      </c>
    </row>
    <row r="394" spans="1:9">
      <c r="A394">
        <v>393</v>
      </c>
      <c r="B394">
        <v>185</v>
      </c>
      <c r="C394" s="1">
        <v>46043</v>
      </c>
      <c r="D394" t="s">
        <v>383</v>
      </c>
      <c r="E394">
        <v>1</v>
      </c>
      <c r="F394" t="str">
        <f>_xlfn.XLOOKUP(B394,Employee_Master!A:A,Employee_Master!E:E,"Not Found")</f>
        <v>Finance</v>
      </c>
      <c r="G394" t="s">
        <v>381</v>
      </c>
      <c r="H394">
        <f t="shared" si="12"/>
        <v>2.4475806451612905</v>
      </c>
      <c r="I394">
        <f t="shared" si="13"/>
        <v>61.847389558232933</v>
      </c>
    </row>
    <row r="395" spans="1:9">
      <c r="A395">
        <v>394</v>
      </c>
      <c r="B395">
        <v>186</v>
      </c>
      <c r="C395" s="1">
        <v>46274</v>
      </c>
      <c r="D395" t="s">
        <v>383</v>
      </c>
      <c r="E395">
        <v>4</v>
      </c>
      <c r="F395" t="str">
        <f>_xlfn.XLOOKUP(B395,Employee_Master!A:A,Employee_Master!E:E,"Not Found")</f>
        <v>Operations</v>
      </c>
      <c r="G395" t="s">
        <v>386</v>
      </c>
      <c r="H395">
        <f t="shared" si="12"/>
        <v>2.4534412955465585</v>
      </c>
      <c r="I395">
        <f t="shared" si="13"/>
        <v>61.693548387096776</v>
      </c>
    </row>
    <row r="396" spans="1:9">
      <c r="A396">
        <v>395</v>
      </c>
      <c r="B396">
        <v>187</v>
      </c>
      <c r="C396" s="1">
        <v>46128</v>
      </c>
      <c r="D396" t="s">
        <v>382</v>
      </c>
      <c r="E396">
        <v>2</v>
      </c>
      <c r="F396" t="str">
        <f>_xlfn.XLOOKUP(B396,Employee_Master!A:A,Employee_Master!E:E,"Not Found")</f>
        <v>Operations</v>
      </c>
      <c r="G396" t="s">
        <v>381</v>
      </c>
      <c r="H396">
        <f t="shared" si="12"/>
        <v>2.4471544715447155</v>
      </c>
      <c r="I396">
        <f t="shared" si="13"/>
        <v>61.53846153846154</v>
      </c>
    </row>
    <row r="397" spans="1:9">
      <c r="A397">
        <v>396</v>
      </c>
      <c r="B397">
        <v>187</v>
      </c>
      <c r="C397" s="1">
        <v>45982</v>
      </c>
      <c r="D397" t="s">
        <v>384</v>
      </c>
      <c r="E397">
        <v>4</v>
      </c>
      <c r="F397" t="str">
        <f>_xlfn.XLOOKUP(B397,Employee_Master!A:A,Employee_Master!E:E,"Not Found")</f>
        <v>Operations</v>
      </c>
      <c r="G397" t="s">
        <v>385</v>
      </c>
      <c r="H397">
        <f t="shared" si="12"/>
        <v>2.4489795918367347</v>
      </c>
      <c r="I397">
        <f t="shared" si="13"/>
        <v>61.788617886178862</v>
      </c>
    </row>
    <row r="398" spans="1:9">
      <c r="A398">
        <v>397</v>
      </c>
      <c r="B398">
        <v>187</v>
      </c>
      <c r="C398" s="1">
        <v>46157</v>
      </c>
      <c r="D398" t="s">
        <v>380</v>
      </c>
      <c r="E398">
        <v>4</v>
      </c>
      <c r="F398" t="str">
        <f>_xlfn.XLOOKUP(B398,Employee_Master!A:A,Employee_Master!E:E,"Not Found")</f>
        <v>Operations</v>
      </c>
      <c r="G398" t="s">
        <v>386</v>
      </c>
      <c r="H398">
        <f t="shared" si="12"/>
        <v>2.442622950819672</v>
      </c>
      <c r="I398">
        <f t="shared" si="13"/>
        <v>61.632653061224488</v>
      </c>
    </row>
    <row r="399" spans="1:9">
      <c r="A399">
        <v>398</v>
      </c>
      <c r="B399">
        <v>187</v>
      </c>
      <c r="C399" s="1">
        <v>46125</v>
      </c>
      <c r="D399" t="s">
        <v>384</v>
      </c>
      <c r="E399">
        <v>3</v>
      </c>
      <c r="F399" t="str">
        <f>_xlfn.XLOOKUP(B399,Employee_Master!A:A,Employee_Master!E:E,"Not Found")</f>
        <v>Operations</v>
      </c>
      <c r="G399" t="s">
        <v>381</v>
      </c>
      <c r="H399">
        <f t="shared" si="12"/>
        <v>2.4362139917695473</v>
      </c>
      <c r="I399">
        <f t="shared" si="13"/>
        <v>61.885245901639344</v>
      </c>
    </row>
    <row r="400" spans="1:9">
      <c r="A400">
        <v>399</v>
      </c>
      <c r="B400">
        <v>188</v>
      </c>
      <c r="C400" s="1">
        <v>46154</v>
      </c>
      <c r="D400" t="s">
        <v>383</v>
      </c>
      <c r="E400">
        <v>3</v>
      </c>
      <c r="F400" t="str">
        <f>_xlfn.XLOOKUP(B400,Employee_Master!A:A,Employee_Master!E:E,"Not Found")</f>
        <v>HR</v>
      </c>
      <c r="G400" t="s">
        <v>381</v>
      </c>
      <c r="H400">
        <f t="shared" si="12"/>
        <v>2.4338842975206614</v>
      </c>
      <c r="I400">
        <f t="shared" si="13"/>
        <v>62.139917695473244</v>
      </c>
    </row>
    <row r="401" spans="1:9">
      <c r="A401">
        <v>400</v>
      </c>
      <c r="B401">
        <v>188</v>
      </c>
      <c r="C401" s="1">
        <v>46186</v>
      </c>
      <c r="D401" t="s">
        <v>382</v>
      </c>
      <c r="E401">
        <v>4</v>
      </c>
      <c r="F401" t="str">
        <f>_xlfn.XLOOKUP(B401,Employee_Master!A:A,Employee_Master!E:E,"Not Found")</f>
        <v>HR</v>
      </c>
      <c r="G401" t="s">
        <v>386</v>
      </c>
      <c r="H401">
        <f t="shared" si="12"/>
        <v>2.4315352697095434</v>
      </c>
      <c r="I401">
        <f t="shared" si="13"/>
        <v>61.983471074380169</v>
      </c>
    </row>
    <row r="402" spans="1:9">
      <c r="A402">
        <v>401</v>
      </c>
      <c r="B402">
        <v>188</v>
      </c>
      <c r="C402" s="1">
        <v>46036</v>
      </c>
      <c r="D402" t="s">
        <v>383</v>
      </c>
      <c r="E402">
        <v>2</v>
      </c>
      <c r="F402" t="str">
        <f>_xlfn.XLOOKUP(B402,Employee_Master!A:A,Employee_Master!E:E,"Not Found")</f>
        <v>HR</v>
      </c>
      <c r="G402" t="s">
        <v>381</v>
      </c>
      <c r="H402">
        <f t="shared" si="12"/>
        <v>2.4249999999999998</v>
      </c>
      <c r="I402">
        <f t="shared" si="13"/>
        <v>61.825726141078839</v>
      </c>
    </row>
    <row r="403" spans="1:9">
      <c r="A403">
        <v>402</v>
      </c>
      <c r="B403">
        <v>189</v>
      </c>
      <c r="C403" s="1">
        <v>46288</v>
      </c>
      <c r="D403" t="s">
        <v>382</v>
      </c>
      <c r="E403">
        <v>2</v>
      </c>
      <c r="F403" t="str">
        <f>_xlfn.XLOOKUP(B403,Employee_Master!A:A,Employee_Master!E:E,"Not Found")</f>
        <v>Finance</v>
      </c>
      <c r="G403" t="s">
        <v>385</v>
      </c>
      <c r="H403">
        <f t="shared" si="12"/>
        <v>2.4267782426778242</v>
      </c>
      <c r="I403">
        <f t="shared" si="13"/>
        <v>62.083333333333336</v>
      </c>
    </row>
    <row r="404" spans="1:9">
      <c r="A404">
        <v>403</v>
      </c>
      <c r="B404">
        <v>189</v>
      </c>
      <c r="C404" s="1">
        <v>46037</v>
      </c>
      <c r="D404" t="s">
        <v>380</v>
      </c>
      <c r="E404">
        <v>3</v>
      </c>
      <c r="F404" t="str">
        <f>_xlfn.XLOOKUP(B404,Employee_Master!A:A,Employee_Master!E:E,"Not Found")</f>
        <v>Finance</v>
      </c>
      <c r="G404" t="s">
        <v>381</v>
      </c>
      <c r="H404">
        <f t="shared" si="12"/>
        <v>2.4285714285714284</v>
      </c>
      <c r="I404">
        <f t="shared" si="13"/>
        <v>61.924686192468613</v>
      </c>
    </row>
    <row r="405" spans="1:9">
      <c r="A405">
        <v>404</v>
      </c>
      <c r="B405">
        <v>189</v>
      </c>
      <c r="C405" s="1">
        <v>46138</v>
      </c>
      <c r="D405" t="s">
        <v>383</v>
      </c>
      <c r="E405">
        <v>2</v>
      </c>
      <c r="F405" t="str">
        <f>_xlfn.XLOOKUP(B405,Employee_Master!A:A,Employee_Master!E:E,"Not Found")</f>
        <v>Finance</v>
      </c>
      <c r="G405" t="s">
        <v>381</v>
      </c>
      <c r="H405">
        <f t="shared" si="12"/>
        <v>2.4261603375527425</v>
      </c>
      <c r="I405">
        <f t="shared" si="13"/>
        <v>62.184873949579831</v>
      </c>
    </row>
    <row r="406" spans="1:9">
      <c r="A406">
        <v>405</v>
      </c>
      <c r="B406">
        <v>189</v>
      </c>
      <c r="C406" s="1">
        <v>46049</v>
      </c>
      <c r="D406" t="s">
        <v>382</v>
      </c>
      <c r="E406">
        <v>4</v>
      </c>
      <c r="F406" t="str">
        <f>_xlfn.XLOOKUP(B406,Employee_Master!A:A,Employee_Master!E:E,"Not Found")</f>
        <v>Finance</v>
      </c>
      <c r="G406" t="s">
        <v>381</v>
      </c>
      <c r="H406">
        <f t="shared" si="12"/>
        <v>2.4279661016949152</v>
      </c>
      <c r="I406">
        <f t="shared" si="13"/>
        <v>62.025316455696199</v>
      </c>
    </row>
    <row r="407" spans="1:9">
      <c r="A407">
        <v>406</v>
      </c>
      <c r="B407">
        <v>190</v>
      </c>
      <c r="C407" s="1">
        <v>46055</v>
      </c>
      <c r="D407" t="s">
        <v>384</v>
      </c>
      <c r="E407">
        <v>4</v>
      </c>
      <c r="F407" t="str">
        <f>_xlfn.XLOOKUP(B407,Employee_Master!A:A,Employee_Master!E:E,"Not Found")</f>
        <v>HR</v>
      </c>
      <c r="G407" t="s">
        <v>381</v>
      </c>
      <c r="H407">
        <f t="shared" si="12"/>
        <v>2.4212765957446809</v>
      </c>
      <c r="I407">
        <f t="shared" si="13"/>
        <v>61.864406779661017</v>
      </c>
    </row>
    <row r="408" spans="1:9">
      <c r="A408">
        <v>407</v>
      </c>
      <c r="B408">
        <v>190</v>
      </c>
      <c r="C408" s="1">
        <v>46130</v>
      </c>
      <c r="D408" t="s">
        <v>383</v>
      </c>
      <c r="E408">
        <v>3</v>
      </c>
      <c r="F408" t="str">
        <f>_xlfn.XLOOKUP(B408,Employee_Master!A:A,Employee_Master!E:E,"Not Found")</f>
        <v>HR</v>
      </c>
      <c r="G408" t="s">
        <v>385</v>
      </c>
      <c r="H408">
        <f t="shared" si="12"/>
        <v>2.4145299145299144</v>
      </c>
      <c r="I408">
        <f t="shared" si="13"/>
        <v>61.702127659574465</v>
      </c>
    </row>
    <row r="409" spans="1:9">
      <c r="A409">
        <v>408</v>
      </c>
      <c r="B409">
        <v>190</v>
      </c>
      <c r="C409" s="1">
        <v>45941</v>
      </c>
      <c r="D409" t="s">
        <v>382</v>
      </c>
      <c r="E409">
        <v>4</v>
      </c>
      <c r="F409" t="str">
        <f>_xlfn.XLOOKUP(B409,Employee_Master!A:A,Employee_Master!E:E,"Not Found")</f>
        <v>HR</v>
      </c>
      <c r="G409" t="s">
        <v>385</v>
      </c>
      <c r="H409">
        <f t="shared" si="12"/>
        <v>2.4120171673819741</v>
      </c>
      <c r="I409">
        <f t="shared" si="13"/>
        <v>61.53846153846154</v>
      </c>
    </row>
    <row r="410" spans="1:9">
      <c r="A410">
        <v>409</v>
      </c>
      <c r="B410">
        <v>190</v>
      </c>
      <c r="C410" s="1">
        <v>46148</v>
      </c>
      <c r="D410" t="s">
        <v>384</v>
      </c>
      <c r="E410">
        <v>4</v>
      </c>
      <c r="F410" t="str">
        <f>_xlfn.XLOOKUP(B410,Employee_Master!A:A,Employee_Master!E:E,"Not Found")</f>
        <v>HR</v>
      </c>
      <c r="G410" t="s">
        <v>381</v>
      </c>
      <c r="H410">
        <f t="shared" si="12"/>
        <v>2.4051724137931036</v>
      </c>
      <c r="I410">
        <f t="shared" si="13"/>
        <v>61.802575107296143</v>
      </c>
    </row>
    <row r="411" spans="1:9">
      <c r="A411">
        <v>410</v>
      </c>
      <c r="B411">
        <v>191</v>
      </c>
      <c r="C411" s="1">
        <v>46048</v>
      </c>
      <c r="D411" t="s">
        <v>383</v>
      </c>
      <c r="E411">
        <v>3</v>
      </c>
      <c r="F411" t="str">
        <f>_xlfn.XLOOKUP(B411,Employee_Master!A:A,Employee_Master!E:E,"Not Found")</f>
        <v>IT</v>
      </c>
      <c r="G411" t="s">
        <v>381</v>
      </c>
      <c r="H411">
        <f t="shared" si="12"/>
        <v>2.3982683982683981</v>
      </c>
      <c r="I411">
        <f t="shared" si="13"/>
        <v>62.068965517241381</v>
      </c>
    </row>
    <row r="412" spans="1:9">
      <c r="A412">
        <v>411</v>
      </c>
      <c r="B412">
        <v>191</v>
      </c>
      <c r="C412" s="1">
        <v>46176</v>
      </c>
      <c r="D412" t="s">
        <v>380</v>
      </c>
      <c r="E412">
        <v>2</v>
      </c>
      <c r="F412" t="str">
        <f>_xlfn.XLOOKUP(B412,Employee_Master!A:A,Employee_Master!E:E,"Not Found")</f>
        <v>IT</v>
      </c>
      <c r="G412" t="s">
        <v>381</v>
      </c>
      <c r="H412">
        <f t="shared" si="12"/>
        <v>2.3956521739130436</v>
      </c>
      <c r="I412">
        <f t="shared" si="13"/>
        <v>61.904761904761905</v>
      </c>
    </row>
    <row r="413" spans="1:9">
      <c r="A413">
        <v>412</v>
      </c>
      <c r="B413">
        <v>192</v>
      </c>
      <c r="C413" s="1">
        <v>46261</v>
      </c>
      <c r="D413" t="s">
        <v>380</v>
      </c>
      <c r="E413">
        <v>1</v>
      </c>
      <c r="F413" t="str">
        <f>_xlfn.XLOOKUP(B413,Employee_Master!A:A,Employee_Master!E:E,"Not Found")</f>
        <v>Finance</v>
      </c>
      <c r="G413" t="s">
        <v>385</v>
      </c>
      <c r="H413">
        <f t="shared" si="12"/>
        <v>2.3973799126637556</v>
      </c>
      <c r="I413">
        <f t="shared" si="13"/>
        <v>61.739130434782609</v>
      </c>
    </row>
    <row r="414" spans="1:9">
      <c r="A414">
        <v>413</v>
      </c>
      <c r="B414">
        <v>192</v>
      </c>
      <c r="C414" s="1">
        <v>46117</v>
      </c>
      <c r="D414" t="s">
        <v>384</v>
      </c>
      <c r="E414">
        <v>2</v>
      </c>
      <c r="F414" t="str">
        <f>_xlfn.XLOOKUP(B414,Employee_Master!A:A,Employee_Master!E:E,"Not Found")</f>
        <v>Finance</v>
      </c>
      <c r="G414" t="s">
        <v>381</v>
      </c>
      <c r="H414">
        <f t="shared" si="12"/>
        <v>2.4035087719298245</v>
      </c>
      <c r="I414">
        <f t="shared" si="13"/>
        <v>61.572052401746724</v>
      </c>
    </row>
    <row r="415" spans="1:9">
      <c r="A415">
        <v>414</v>
      </c>
      <c r="B415">
        <v>192</v>
      </c>
      <c r="C415" s="1">
        <v>46293</v>
      </c>
      <c r="D415" t="s">
        <v>380</v>
      </c>
      <c r="E415">
        <v>1</v>
      </c>
      <c r="F415" t="str">
        <f>_xlfn.XLOOKUP(B415,Employee_Master!A:A,Employee_Master!E:E,"Not Found")</f>
        <v>Finance</v>
      </c>
      <c r="G415" t="s">
        <v>386</v>
      </c>
      <c r="H415">
        <f t="shared" si="12"/>
        <v>2.4052863436123348</v>
      </c>
      <c r="I415">
        <f t="shared" si="13"/>
        <v>61.842105263157897</v>
      </c>
    </row>
    <row r="416" spans="1:9">
      <c r="A416">
        <v>415</v>
      </c>
      <c r="B416">
        <v>192</v>
      </c>
      <c r="C416" s="1">
        <v>46287</v>
      </c>
      <c r="D416" t="s">
        <v>384</v>
      </c>
      <c r="E416">
        <v>3</v>
      </c>
      <c r="F416" t="str">
        <f>_xlfn.XLOOKUP(B416,Employee_Master!A:A,Employee_Master!E:E,"Not Found")</f>
        <v>Finance</v>
      </c>
      <c r="G416" t="s">
        <v>381</v>
      </c>
      <c r="H416">
        <f t="shared" si="12"/>
        <v>2.4115044247787609</v>
      </c>
      <c r="I416">
        <f t="shared" si="13"/>
        <v>61.674008810572687</v>
      </c>
    </row>
    <row r="417" spans="1:9">
      <c r="A417">
        <v>416</v>
      </c>
      <c r="B417">
        <v>193</v>
      </c>
      <c r="C417" s="1">
        <v>46061</v>
      </c>
      <c r="D417" t="s">
        <v>382</v>
      </c>
      <c r="E417">
        <v>2</v>
      </c>
      <c r="F417" t="str">
        <f>_xlfn.XLOOKUP(B417,Employee_Master!A:A,Employee_Master!E:E,"Not Found")</f>
        <v>Sales</v>
      </c>
      <c r="G417" t="s">
        <v>381</v>
      </c>
      <c r="H417">
        <f t="shared" si="12"/>
        <v>2.4088888888888889</v>
      </c>
      <c r="I417">
        <f t="shared" si="13"/>
        <v>61.946902654867252</v>
      </c>
    </row>
    <row r="418" spans="1:9">
      <c r="A418">
        <v>417</v>
      </c>
      <c r="B418">
        <v>193</v>
      </c>
      <c r="C418" s="1">
        <v>46003</v>
      </c>
      <c r="D418" t="s">
        <v>382</v>
      </c>
      <c r="E418">
        <v>3</v>
      </c>
      <c r="F418" t="str">
        <f>_xlfn.XLOOKUP(B418,Employee_Master!A:A,Employee_Master!E:E,"Not Found")</f>
        <v>Sales</v>
      </c>
      <c r="G418" t="s">
        <v>381</v>
      </c>
      <c r="H418">
        <f t="shared" si="12"/>
        <v>2.4107142857142856</v>
      </c>
      <c r="I418">
        <f t="shared" si="13"/>
        <v>61.777777777777779</v>
      </c>
    </row>
    <row r="419" spans="1:9">
      <c r="A419">
        <v>418</v>
      </c>
      <c r="B419">
        <v>193</v>
      </c>
      <c r="C419" s="1">
        <v>46048</v>
      </c>
      <c r="D419" t="s">
        <v>382</v>
      </c>
      <c r="E419">
        <v>3</v>
      </c>
      <c r="F419" t="str">
        <f>_xlfn.XLOOKUP(B419,Employee_Master!A:A,Employee_Master!E:E,"Not Found")</f>
        <v>Sales</v>
      </c>
      <c r="G419" t="s">
        <v>381</v>
      </c>
      <c r="H419">
        <f t="shared" si="12"/>
        <v>2.4080717488789238</v>
      </c>
      <c r="I419">
        <f t="shared" si="13"/>
        <v>61.607142857142861</v>
      </c>
    </row>
    <row r="420" spans="1:9">
      <c r="A420">
        <v>419</v>
      </c>
      <c r="B420">
        <v>193</v>
      </c>
      <c r="C420" s="1">
        <v>46197</v>
      </c>
      <c r="D420" t="s">
        <v>384</v>
      </c>
      <c r="E420">
        <v>2</v>
      </c>
      <c r="F420" t="str">
        <f>_xlfn.XLOOKUP(B420,Employee_Master!A:A,Employee_Master!E:E,"Not Found")</f>
        <v>Sales</v>
      </c>
      <c r="G420" t="s">
        <v>381</v>
      </c>
      <c r="H420">
        <f t="shared" si="12"/>
        <v>2.4054054054054053</v>
      </c>
      <c r="I420">
        <f t="shared" si="13"/>
        <v>61.434977578475333</v>
      </c>
    </row>
    <row r="421" spans="1:9">
      <c r="A421">
        <v>420</v>
      </c>
      <c r="B421">
        <v>194</v>
      </c>
      <c r="C421" s="1">
        <v>45957</v>
      </c>
      <c r="D421" t="s">
        <v>380</v>
      </c>
      <c r="E421">
        <v>3</v>
      </c>
      <c r="F421" t="str">
        <f>_xlfn.XLOOKUP(B421,Employee_Master!A:A,Employee_Master!E:E,"Not Found")</f>
        <v>Sales</v>
      </c>
      <c r="G421" t="s">
        <v>386</v>
      </c>
      <c r="H421">
        <f t="shared" si="12"/>
        <v>2.4072398190045248</v>
      </c>
      <c r="I421">
        <f t="shared" si="13"/>
        <v>61.261261261261254</v>
      </c>
    </row>
    <row r="422" spans="1:9">
      <c r="A422">
        <v>421</v>
      </c>
      <c r="B422">
        <v>194</v>
      </c>
      <c r="C422" s="1">
        <v>46171</v>
      </c>
      <c r="D422" t="s">
        <v>382</v>
      </c>
      <c r="E422">
        <v>2</v>
      </c>
      <c r="F422" t="str">
        <f>_xlfn.XLOOKUP(B422,Employee_Master!A:A,Employee_Master!E:E,"Not Found")</f>
        <v>Sales</v>
      </c>
      <c r="G422" t="s">
        <v>381</v>
      </c>
      <c r="H422">
        <f t="shared" si="12"/>
        <v>2.4045454545454548</v>
      </c>
      <c r="I422">
        <f t="shared" si="13"/>
        <v>61.085972850678736</v>
      </c>
    </row>
    <row r="423" spans="1:9">
      <c r="A423">
        <v>422</v>
      </c>
      <c r="B423">
        <v>194</v>
      </c>
      <c r="C423" s="1">
        <v>45939</v>
      </c>
      <c r="D423" t="s">
        <v>380</v>
      </c>
      <c r="E423">
        <v>1</v>
      </c>
      <c r="F423" t="str">
        <f>_xlfn.XLOOKUP(B423,Employee_Master!A:A,Employee_Master!E:E,"Not Found")</f>
        <v>Sales</v>
      </c>
      <c r="G423" t="s">
        <v>381</v>
      </c>
      <c r="H423">
        <f t="shared" si="12"/>
        <v>2.4063926940639271</v>
      </c>
      <c r="I423">
        <f t="shared" si="13"/>
        <v>61.363636363636367</v>
      </c>
    </row>
    <row r="424" spans="1:9">
      <c r="A424">
        <v>423</v>
      </c>
      <c r="B424">
        <v>194</v>
      </c>
      <c r="C424" s="1">
        <v>45982</v>
      </c>
      <c r="D424" t="s">
        <v>383</v>
      </c>
      <c r="E424">
        <v>2</v>
      </c>
      <c r="F424" t="str">
        <f>_xlfn.XLOOKUP(B424,Employee_Master!A:A,Employee_Master!E:E,"Not Found")</f>
        <v>Sales</v>
      </c>
      <c r="G424" t="s">
        <v>386</v>
      </c>
      <c r="H424">
        <f t="shared" si="12"/>
        <v>2.4128440366972477</v>
      </c>
      <c r="I424">
        <f t="shared" si="13"/>
        <v>61.187214611872143</v>
      </c>
    </row>
    <row r="425" spans="1:9">
      <c r="A425">
        <v>424</v>
      </c>
      <c r="B425">
        <v>196</v>
      </c>
      <c r="C425" s="1">
        <v>46214</v>
      </c>
      <c r="D425" t="s">
        <v>383</v>
      </c>
      <c r="E425">
        <v>2</v>
      </c>
      <c r="F425" t="str">
        <f>_xlfn.XLOOKUP(B425,Employee_Master!A:A,Employee_Master!E:E,"Not Found")</f>
        <v>Customer Support</v>
      </c>
      <c r="G425" t="s">
        <v>381</v>
      </c>
      <c r="H425">
        <f t="shared" si="12"/>
        <v>2.414746543778802</v>
      </c>
      <c r="I425">
        <f t="shared" si="13"/>
        <v>61.009174311926607</v>
      </c>
    </row>
    <row r="426" spans="1:9">
      <c r="A426">
        <v>425</v>
      </c>
      <c r="B426">
        <v>196</v>
      </c>
      <c r="C426" s="1">
        <v>46204</v>
      </c>
      <c r="D426" t="s">
        <v>380</v>
      </c>
      <c r="E426">
        <v>2</v>
      </c>
      <c r="F426" t="str">
        <f>_xlfn.XLOOKUP(B426,Employee_Master!A:A,Employee_Master!E:E,"Not Found")</f>
        <v>Customer Support</v>
      </c>
      <c r="G426" t="s">
        <v>381</v>
      </c>
      <c r="H426">
        <f t="shared" si="12"/>
        <v>2.4166666666666665</v>
      </c>
      <c r="I426">
        <f t="shared" si="13"/>
        <v>61.29032258064516</v>
      </c>
    </row>
    <row r="427" spans="1:9">
      <c r="A427">
        <v>426</v>
      </c>
      <c r="B427">
        <v>196</v>
      </c>
      <c r="C427" s="1">
        <v>46097</v>
      </c>
      <c r="D427" t="s">
        <v>380</v>
      </c>
      <c r="E427">
        <v>3</v>
      </c>
      <c r="F427" t="str">
        <f>_xlfn.XLOOKUP(B427,Employee_Master!A:A,Employee_Master!E:E,"Not Found")</f>
        <v>Customer Support</v>
      </c>
      <c r="G427" t="s">
        <v>386</v>
      </c>
      <c r="H427">
        <f t="shared" si="12"/>
        <v>2.4186046511627906</v>
      </c>
      <c r="I427">
        <f t="shared" si="13"/>
        <v>61.111111111111114</v>
      </c>
    </row>
    <row r="428" spans="1:9">
      <c r="A428">
        <v>427</v>
      </c>
      <c r="B428">
        <v>198</v>
      </c>
      <c r="C428" s="1">
        <v>46189</v>
      </c>
      <c r="D428" t="s">
        <v>384</v>
      </c>
      <c r="E428">
        <v>4</v>
      </c>
      <c r="F428" t="str">
        <f>_xlfn.XLOOKUP(B428,Employee_Master!A:A,Employee_Master!E:E,"Not Found")</f>
        <v>IT</v>
      </c>
      <c r="G428" t="s">
        <v>381</v>
      </c>
      <c r="H428">
        <f t="shared" si="12"/>
        <v>2.4158878504672896</v>
      </c>
      <c r="I428">
        <f t="shared" si="13"/>
        <v>60.930232558139529</v>
      </c>
    </row>
    <row r="429" spans="1:9">
      <c r="A429">
        <v>428</v>
      </c>
      <c r="B429">
        <v>198</v>
      </c>
      <c r="C429" s="1">
        <v>46016</v>
      </c>
      <c r="D429" t="s">
        <v>384</v>
      </c>
      <c r="E429">
        <v>4</v>
      </c>
      <c r="F429" t="str">
        <f>_xlfn.XLOOKUP(B429,Employee_Master!A:A,Employee_Master!E:E,"Not Found")</f>
        <v>IT</v>
      </c>
      <c r="G429" t="s">
        <v>381</v>
      </c>
      <c r="H429">
        <f t="shared" si="12"/>
        <v>2.408450704225352</v>
      </c>
      <c r="I429">
        <f t="shared" si="13"/>
        <v>61.214953271028037</v>
      </c>
    </row>
    <row r="430" spans="1:9">
      <c r="A430">
        <v>429</v>
      </c>
      <c r="B430">
        <v>198</v>
      </c>
      <c r="C430" s="1">
        <v>45998</v>
      </c>
      <c r="D430" t="s">
        <v>380</v>
      </c>
      <c r="E430">
        <v>3</v>
      </c>
      <c r="F430" t="str">
        <f>_xlfn.XLOOKUP(B430,Employee_Master!A:A,Employee_Master!E:E,"Not Found")</f>
        <v>IT</v>
      </c>
      <c r="G430" t="s">
        <v>386</v>
      </c>
      <c r="H430">
        <f t="shared" si="12"/>
        <v>2.4009433962264151</v>
      </c>
      <c r="I430">
        <f t="shared" si="13"/>
        <v>61.032863849765263</v>
      </c>
    </row>
    <row r="431" spans="1:9">
      <c r="A431">
        <v>430</v>
      </c>
      <c r="B431">
        <v>198</v>
      </c>
      <c r="C431" s="1">
        <v>46073</v>
      </c>
      <c r="D431" t="s">
        <v>382</v>
      </c>
      <c r="E431">
        <v>2</v>
      </c>
      <c r="F431" t="str">
        <f>_xlfn.XLOOKUP(B431,Employee_Master!A:A,Employee_Master!E:E,"Not Found")</f>
        <v>IT</v>
      </c>
      <c r="G431" t="s">
        <v>385</v>
      </c>
      <c r="H431">
        <f t="shared" si="12"/>
        <v>2.3981042654028437</v>
      </c>
      <c r="I431">
        <f t="shared" si="13"/>
        <v>60.84905660377359</v>
      </c>
    </row>
    <row r="432" spans="1:9">
      <c r="A432">
        <v>431</v>
      </c>
      <c r="B432">
        <v>199</v>
      </c>
      <c r="C432" s="1">
        <v>46294</v>
      </c>
      <c r="D432" t="s">
        <v>384</v>
      </c>
      <c r="E432">
        <v>2</v>
      </c>
      <c r="F432" t="str">
        <f>_xlfn.XLOOKUP(B432,Employee_Master!A:A,Employee_Master!E:E,"Not Found")</f>
        <v>Finance</v>
      </c>
      <c r="G432" t="s">
        <v>381</v>
      </c>
      <c r="H432">
        <f t="shared" si="12"/>
        <v>2.4</v>
      </c>
      <c r="I432">
        <f t="shared" si="13"/>
        <v>61.137440758293835</v>
      </c>
    </row>
    <row r="433" spans="1:9">
      <c r="A433">
        <v>432</v>
      </c>
      <c r="B433">
        <v>200</v>
      </c>
      <c r="C433" s="1">
        <v>45952</v>
      </c>
      <c r="D433" t="s">
        <v>384</v>
      </c>
      <c r="E433">
        <v>4</v>
      </c>
      <c r="F433" t="str">
        <f>_xlfn.XLOOKUP(B433,Employee_Master!A:A,Employee_Master!E:E,"Not Found")</f>
        <v>Operations</v>
      </c>
      <c r="G433" t="s">
        <v>381</v>
      </c>
      <c r="H433">
        <f t="shared" si="12"/>
        <v>2.401913875598086</v>
      </c>
      <c r="I433">
        <f t="shared" si="13"/>
        <v>61.428571428571431</v>
      </c>
    </row>
    <row r="434" spans="1:9">
      <c r="A434">
        <v>433</v>
      </c>
      <c r="B434">
        <v>200</v>
      </c>
      <c r="C434" s="1">
        <v>45931</v>
      </c>
      <c r="D434" t="s">
        <v>383</v>
      </c>
      <c r="E434">
        <v>4</v>
      </c>
      <c r="F434" t="str">
        <f>_xlfn.XLOOKUP(B434,Employee_Master!A:A,Employee_Master!E:E,"Not Found")</f>
        <v>Operations</v>
      </c>
      <c r="G434" t="s">
        <v>386</v>
      </c>
      <c r="H434">
        <f t="shared" si="12"/>
        <v>2.3942307692307692</v>
      </c>
      <c r="I434">
        <f t="shared" si="13"/>
        <v>61.244019138755981</v>
      </c>
    </row>
    <row r="435" spans="1:9">
      <c r="A435">
        <v>434</v>
      </c>
      <c r="B435">
        <v>200</v>
      </c>
      <c r="C435" s="1">
        <v>46181</v>
      </c>
      <c r="D435" t="s">
        <v>382</v>
      </c>
      <c r="E435">
        <v>4</v>
      </c>
      <c r="F435" t="str">
        <f>_xlfn.XLOOKUP(B435,Employee_Master!A:A,Employee_Master!E:E,"Not Found")</f>
        <v>Operations</v>
      </c>
      <c r="G435" t="s">
        <v>386</v>
      </c>
      <c r="H435">
        <f t="shared" si="12"/>
        <v>2.3864734299516908</v>
      </c>
      <c r="I435">
        <f t="shared" si="13"/>
        <v>61.057692307692314</v>
      </c>
    </row>
    <row r="436" spans="1:9">
      <c r="A436">
        <v>435</v>
      </c>
      <c r="B436">
        <v>200</v>
      </c>
      <c r="C436" s="1">
        <v>46169</v>
      </c>
      <c r="D436" t="s">
        <v>383</v>
      </c>
      <c r="E436">
        <v>4</v>
      </c>
      <c r="F436" t="str">
        <f>_xlfn.XLOOKUP(B436,Employee_Master!A:A,Employee_Master!E:E,"Not Found")</f>
        <v>Operations</v>
      </c>
      <c r="G436" t="s">
        <v>381</v>
      </c>
      <c r="H436">
        <f t="shared" si="12"/>
        <v>2.378640776699029</v>
      </c>
      <c r="I436">
        <f t="shared" si="13"/>
        <v>61.35265700483091</v>
      </c>
    </row>
    <row r="437" spans="1:9">
      <c r="A437">
        <v>436</v>
      </c>
      <c r="B437">
        <v>201</v>
      </c>
      <c r="C437" s="1">
        <v>46139</v>
      </c>
      <c r="D437" t="s">
        <v>380</v>
      </c>
      <c r="E437">
        <v>4</v>
      </c>
      <c r="F437" t="str">
        <f>_xlfn.XLOOKUP(B437,Employee_Master!A:A,Employee_Master!E:E,"Not Found")</f>
        <v>Sales</v>
      </c>
      <c r="G437" t="s">
        <v>381</v>
      </c>
      <c r="H437">
        <f t="shared" si="12"/>
        <v>2.3707317073170731</v>
      </c>
      <c r="I437">
        <f t="shared" si="13"/>
        <v>61.650485436893199</v>
      </c>
    </row>
    <row r="438" spans="1:9">
      <c r="A438">
        <v>437</v>
      </c>
      <c r="B438">
        <v>201</v>
      </c>
      <c r="C438" s="1">
        <v>45949</v>
      </c>
      <c r="D438" t="s">
        <v>380</v>
      </c>
      <c r="E438">
        <v>1</v>
      </c>
      <c r="F438" t="str">
        <f>_xlfn.XLOOKUP(B438,Employee_Master!A:A,Employee_Master!E:E,"Not Found")</f>
        <v>Sales</v>
      </c>
      <c r="G438" t="s">
        <v>386</v>
      </c>
      <c r="H438">
        <f t="shared" si="12"/>
        <v>2.3627450980392157</v>
      </c>
      <c r="I438">
        <f t="shared" si="13"/>
        <v>61.463414634146339</v>
      </c>
    </row>
    <row r="439" spans="1:9">
      <c r="A439">
        <v>438</v>
      </c>
      <c r="B439">
        <v>201</v>
      </c>
      <c r="C439" s="1">
        <v>46119</v>
      </c>
      <c r="D439" t="s">
        <v>383</v>
      </c>
      <c r="E439">
        <v>1</v>
      </c>
      <c r="F439" t="str">
        <f>_xlfn.XLOOKUP(B439,Employee_Master!A:A,Employee_Master!E:E,"Not Found")</f>
        <v>Sales</v>
      </c>
      <c r="G439" t="s">
        <v>386</v>
      </c>
      <c r="H439">
        <f t="shared" si="12"/>
        <v>2.3694581280788176</v>
      </c>
      <c r="I439">
        <f t="shared" si="13"/>
        <v>61.274509803921575</v>
      </c>
    </row>
    <row r="440" spans="1:9">
      <c r="A440">
        <v>439</v>
      </c>
      <c r="B440">
        <v>201</v>
      </c>
      <c r="C440" s="1">
        <v>46142</v>
      </c>
      <c r="D440" t="s">
        <v>382</v>
      </c>
      <c r="E440">
        <v>4</v>
      </c>
      <c r="F440" t="str">
        <f>_xlfn.XLOOKUP(B440,Employee_Master!A:A,Employee_Master!E:E,"Not Found")</f>
        <v>Sales</v>
      </c>
      <c r="G440" t="s">
        <v>381</v>
      </c>
      <c r="H440">
        <f t="shared" si="12"/>
        <v>2.3762376237623761</v>
      </c>
      <c r="I440">
        <f t="shared" si="13"/>
        <v>61.576354679802961</v>
      </c>
    </row>
    <row r="441" spans="1:9">
      <c r="A441">
        <v>440</v>
      </c>
      <c r="B441">
        <v>202</v>
      </c>
      <c r="C441" s="1">
        <v>45943</v>
      </c>
      <c r="D441" t="s">
        <v>383</v>
      </c>
      <c r="E441">
        <v>4</v>
      </c>
      <c r="F441" t="str">
        <f>_xlfn.XLOOKUP(B441,Employee_Master!A:A,Employee_Master!E:E,"Not Found")</f>
        <v>Operations</v>
      </c>
      <c r="G441" t="s">
        <v>381</v>
      </c>
      <c r="H441">
        <f t="shared" si="12"/>
        <v>2.3681592039800994</v>
      </c>
      <c r="I441">
        <f t="shared" si="13"/>
        <v>61.881188118811878</v>
      </c>
    </row>
    <row r="442" spans="1:9">
      <c r="A442">
        <v>441</v>
      </c>
      <c r="B442">
        <v>202</v>
      </c>
      <c r="C442" s="1">
        <v>45939</v>
      </c>
      <c r="D442" t="s">
        <v>380</v>
      </c>
      <c r="E442">
        <v>4</v>
      </c>
      <c r="F442" t="str">
        <f>_xlfn.XLOOKUP(B442,Employee_Master!A:A,Employee_Master!E:E,"Not Found")</f>
        <v>Operations</v>
      </c>
      <c r="G442" t="s">
        <v>381</v>
      </c>
      <c r="H442">
        <f t="shared" si="12"/>
        <v>2.36</v>
      </c>
      <c r="I442">
        <f t="shared" si="13"/>
        <v>61.691542288557208</v>
      </c>
    </row>
    <row r="443" spans="1:9">
      <c r="A443">
        <v>442</v>
      </c>
      <c r="B443">
        <v>203</v>
      </c>
      <c r="C443" s="1">
        <v>46233</v>
      </c>
      <c r="D443" t="s">
        <v>380</v>
      </c>
      <c r="E443">
        <v>3</v>
      </c>
      <c r="F443" t="str">
        <f>_xlfn.XLOOKUP(B443,Employee_Master!A:A,Employee_Master!E:E,"Not Found")</f>
        <v>Customer Support</v>
      </c>
      <c r="G443" t="s">
        <v>385</v>
      </c>
      <c r="H443">
        <f t="shared" si="12"/>
        <v>2.3517587939698492</v>
      </c>
      <c r="I443">
        <f t="shared" si="13"/>
        <v>61.5</v>
      </c>
    </row>
    <row r="444" spans="1:9">
      <c r="A444">
        <v>443</v>
      </c>
      <c r="B444">
        <v>203</v>
      </c>
      <c r="C444" s="1">
        <v>46056</v>
      </c>
      <c r="D444" t="s">
        <v>380</v>
      </c>
      <c r="E444">
        <v>1</v>
      </c>
      <c r="F444" t="str">
        <f>_xlfn.XLOOKUP(B444,Employee_Master!A:A,Employee_Master!E:E,"Not Found")</f>
        <v>Customer Support</v>
      </c>
      <c r="G444" t="s">
        <v>381</v>
      </c>
      <c r="H444">
        <f t="shared" si="12"/>
        <v>2.3484848484848486</v>
      </c>
      <c r="I444">
        <f t="shared" si="13"/>
        <v>61.306532663316581</v>
      </c>
    </row>
    <row r="445" spans="1:9">
      <c r="A445">
        <v>444</v>
      </c>
      <c r="B445">
        <v>203</v>
      </c>
      <c r="C445" s="1">
        <v>46155</v>
      </c>
      <c r="D445" t="s">
        <v>383</v>
      </c>
      <c r="E445">
        <v>4</v>
      </c>
      <c r="F445" t="str">
        <f>_xlfn.XLOOKUP(B445,Employee_Master!A:A,Employee_Master!E:E,"Not Found")</f>
        <v>Customer Support</v>
      </c>
      <c r="G445" t="s">
        <v>385</v>
      </c>
      <c r="H445">
        <f t="shared" si="12"/>
        <v>2.3553299492385786</v>
      </c>
      <c r="I445">
        <f t="shared" si="13"/>
        <v>61.616161616161612</v>
      </c>
    </row>
    <row r="446" spans="1:9">
      <c r="A446">
        <v>445</v>
      </c>
      <c r="B446">
        <v>204</v>
      </c>
      <c r="C446" s="1">
        <v>46295</v>
      </c>
      <c r="D446" t="s">
        <v>382</v>
      </c>
      <c r="E446">
        <v>3</v>
      </c>
      <c r="F446" t="str">
        <f>_xlfn.XLOOKUP(B446,Employee_Master!A:A,Employee_Master!E:E,"Not Found")</f>
        <v>IT</v>
      </c>
      <c r="G446" t="s">
        <v>381</v>
      </c>
      <c r="H446">
        <f t="shared" si="12"/>
        <v>2.3469387755102042</v>
      </c>
      <c r="I446">
        <f t="shared" si="13"/>
        <v>61.421319796954307</v>
      </c>
    </row>
    <row r="447" spans="1:9">
      <c r="A447">
        <v>446</v>
      </c>
      <c r="B447">
        <v>204</v>
      </c>
      <c r="C447" s="1">
        <v>46168</v>
      </c>
      <c r="D447" t="s">
        <v>380</v>
      </c>
      <c r="E447">
        <v>4</v>
      </c>
      <c r="F447" t="str">
        <f>_xlfn.XLOOKUP(B447,Employee_Master!A:A,Employee_Master!E:E,"Not Found")</f>
        <v>IT</v>
      </c>
      <c r="G447" t="s">
        <v>381</v>
      </c>
      <c r="H447">
        <f t="shared" si="12"/>
        <v>2.3435897435897437</v>
      </c>
      <c r="I447">
        <f t="shared" si="13"/>
        <v>61.734693877551017</v>
      </c>
    </row>
    <row r="448" spans="1:9">
      <c r="A448">
        <v>447</v>
      </c>
      <c r="B448">
        <v>204</v>
      </c>
      <c r="C448" s="1">
        <v>46056</v>
      </c>
      <c r="D448" t="s">
        <v>380</v>
      </c>
      <c r="E448">
        <v>1</v>
      </c>
      <c r="F448" t="str">
        <f>_xlfn.XLOOKUP(B448,Employee_Master!A:A,Employee_Master!E:E,"Not Found")</f>
        <v>IT</v>
      </c>
      <c r="G448" t="s">
        <v>381</v>
      </c>
      <c r="H448">
        <f t="shared" si="12"/>
        <v>2.3350515463917527</v>
      </c>
      <c r="I448">
        <f t="shared" si="13"/>
        <v>61.53846153846154</v>
      </c>
    </row>
    <row r="449" spans="1:9">
      <c r="A449">
        <v>448</v>
      </c>
      <c r="B449">
        <v>205</v>
      </c>
      <c r="C449" s="1">
        <v>45958</v>
      </c>
      <c r="D449" t="s">
        <v>383</v>
      </c>
      <c r="E449">
        <v>4</v>
      </c>
      <c r="F449" t="str">
        <f>_xlfn.XLOOKUP(B449,Employee_Master!A:A,Employee_Master!E:E,"Not Found")</f>
        <v>IT</v>
      </c>
      <c r="G449" t="s">
        <v>385</v>
      </c>
      <c r="H449">
        <f t="shared" si="12"/>
        <v>2.3419689119170983</v>
      </c>
      <c r="I449">
        <f t="shared" si="13"/>
        <v>61.340206185567013</v>
      </c>
    </row>
    <row r="450" spans="1:9">
      <c r="A450">
        <v>449</v>
      </c>
      <c r="B450">
        <v>205</v>
      </c>
      <c r="C450" s="1">
        <v>46265</v>
      </c>
      <c r="D450" t="s">
        <v>382</v>
      </c>
      <c r="E450">
        <v>1</v>
      </c>
      <c r="F450" t="str">
        <f>_xlfn.XLOOKUP(B450,Employee_Master!A:A,Employee_Master!E:E,"Not Found")</f>
        <v>IT</v>
      </c>
      <c r="G450" t="s">
        <v>386</v>
      </c>
      <c r="H450">
        <f t="shared" ref="H450:H513" si="14">AVERAGE(E450:E1089)</f>
        <v>2.3333333333333335</v>
      </c>
      <c r="I450">
        <f t="shared" ref="I450:I513" si="15">COUNTIF(G449:G1088,"Approved")/COUNTA(G449:G1088)*100</f>
        <v>61.139896373056992</v>
      </c>
    </row>
    <row r="451" spans="1:9">
      <c r="A451">
        <v>450</v>
      </c>
      <c r="B451">
        <v>206</v>
      </c>
      <c r="C451" s="1">
        <v>46112</v>
      </c>
      <c r="D451" t="s">
        <v>382</v>
      </c>
      <c r="E451">
        <v>1</v>
      </c>
      <c r="F451" t="str">
        <f>_xlfn.XLOOKUP(B451,Employee_Master!A:A,Employee_Master!E:E,"Not Found")</f>
        <v>IT</v>
      </c>
      <c r="G451" t="s">
        <v>385</v>
      </c>
      <c r="H451">
        <f t="shared" si="14"/>
        <v>2.3403141361256545</v>
      </c>
      <c r="I451">
        <f t="shared" si="15"/>
        <v>61.458333333333336</v>
      </c>
    </row>
    <row r="452" spans="1:9">
      <c r="A452">
        <v>451</v>
      </c>
      <c r="B452">
        <v>206</v>
      </c>
      <c r="C452" s="1">
        <v>45965</v>
      </c>
      <c r="D452" t="s">
        <v>383</v>
      </c>
      <c r="E452">
        <v>3</v>
      </c>
      <c r="F452" t="str">
        <f>_xlfn.XLOOKUP(B452,Employee_Master!A:A,Employee_Master!E:E,"Not Found")</f>
        <v>IT</v>
      </c>
      <c r="G452" t="s">
        <v>381</v>
      </c>
      <c r="H452">
        <f t="shared" si="14"/>
        <v>2.3473684210526318</v>
      </c>
      <c r="I452">
        <f t="shared" si="15"/>
        <v>61.780104712041883</v>
      </c>
    </row>
    <row r="453" spans="1:9">
      <c r="A453">
        <v>452</v>
      </c>
      <c r="B453">
        <v>207</v>
      </c>
      <c r="C453" s="1">
        <v>46190</v>
      </c>
      <c r="D453" t="s">
        <v>380</v>
      </c>
      <c r="E453">
        <v>1</v>
      </c>
      <c r="F453" t="str">
        <f>_xlfn.XLOOKUP(B453,Employee_Master!A:A,Employee_Master!E:E,"Not Found")</f>
        <v>Finance</v>
      </c>
      <c r="G453" t="s">
        <v>381</v>
      </c>
      <c r="H453">
        <f t="shared" si="14"/>
        <v>2.3439153439153437</v>
      </c>
      <c r="I453">
        <f t="shared" si="15"/>
        <v>62.10526315789474</v>
      </c>
    </row>
    <row r="454" spans="1:9">
      <c r="A454">
        <v>453</v>
      </c>
      <c r="B454">
        <v>207</v>
      </c>
      <c r="C454" s="1">
        <v>46005</v>
      </c>
      <c r="D454" t="s">
        <v>383</v>
      </c>
      <c r="E454">
        <v>1</v>
      </c>
      <c r="F454" t="str">
        <f>_xlfn.XLOOKUP(B454,Employee_Master!A:A,Employee_Master!E:E,"Not Found")</f>
        <v>Finance</v>
      </c>
      <c r="G454" t="s">
        <v>381</v>
      </c>
      <c r="H454">
        <f t="shared" si="14"/>
        <v>2.3510638297872339</v>
      </c>
      <c r="I454">
        <f t="shared" si="15"/>
        <v>61.904761904761905</v>
      </c>
    </row>
    <row r="455" spans="1:9">
      <c r="A455">
        <v>454</v>
      </c>
      <c r="B455">
        <v>208</v>
      </c>
      <c r="C455" s="1">
        <v>46042</v>
      </c>
      <c r="D455" t="s">
        <v>383</v>
      </c>
      <c r="E455">
        <v>1</v>
      </c>
      <c r="F455" t="str">
        <f>_xlfn.XLOOKUP(B455,Employee_Master!A:A,Employee_Master!E:E,"Not Found")</f>
        <v>Marketing</v>
      </c>
      <c r="G455" t="s">
        <v>385</v>
      </c>
      <c r="H455">
        <f t="shared" si="14"/>
        <v>2.358288770053476</v>
      </c>
      <c r="I455">
        <f t="shared" si="15"/>
        <v>61.702127659574465</v>
      </c>
    </row>
    <row r="456" spans="1:9">
      <c r="A456">
        <v>455</v>
      </c>
      <c r="B456">
        <v>208</v>
      </c>
      <c r="C456" s="1">
        <v>46137</v>
      </c>
      <c r="D456" t="s">
        <v>383</v>
      </c>
      <c r="E456">
        <v>4</v>
      </c>
      <c r="F456" t="str">
        <f>_xlfn.XLOOKUP(B456,Employee_Master!A:A,Employee_Master!E:E,"Not Found")</f>
        <v>Marketing</v>
      </c>
      <c r="G456" t="s">
        <v>381</v>
      </c>
      <c r="H456">
        <f t="shared" si="14"/>
        <v>2.3655913978494625</v>
      </c>
      <c r="I456">
        <f t="shared" si="15"/>
        <v>61.497326203208559</v>
      </c>
    </row>
    <row r="457" spans="1:9">
      <c r="A457">
        <v>456</v>
      </c>
      <c r="B457">
        <v>208</v>
      </c>
      <c r="C457" s="1">
        <v>46249</v>
      </c>
      <c r="D457" t="s">
        <v>383</v>
      </c>
      <c r="E457">
        <v>3</v>
      </c>
      <c r="F457" t="str">
        <f>_xlfn.XLOOKUP(B457,Employee_Master!A:A,Employee_Master!E:E,"Not Found")</f>
        <v>Marketing</v>
      </c>
      <c r="G457" t="s">
        <v>381</v>
      </c>
      <c r="H457">
        <f t="shared" si="14"/>
        <v>2.3567567567567567</v>
      </c>
      <c r="I457">
        <f t="shared" si="15"/>
        <v>61.827956989247312</v>
      </c>
    </row>
    <row r="458" spans="1:9">
      <c r="A458">
        <v>457</v>
      </c>
      <c r="B458">
        <v>208</v>
      </c>
      <c r="C458" s="1">
        <v>45957</v>
      </c>
      <c r="D458" t="s">
        <v>384</v>
      </c>
      <c r="E458">
        <v>4</v>
      </c>
      <c r="F458" t="str">
        <f>_xlfn.XLOOKUP(B458,Employee_Master!A:A,Employee_Master!E:E,"Not Found")</f>
        <v>Marketing</v>
      </c>
      <c r="G458" t="s">
        <v>385</v>
      </c>
      <c r="H458">
        <f t="shared" si="14"/>
        <v>2.3532608695652173</v>
      </c>
      <c r="I458">
        <f t="shared" si="15"/>
        <v>61.621621621621628</v>
      </c>
    </row>
    <row r="459" spans="1:9">
      <c r="A459">
        <v>458</v>
      </c>
      <c r="B459">
        <v>209</v>
      </c>
      <c r="C459" s="1">
        <v>46194</v>
      </c>
      <c r="D459" t="s">
        <v>384</v>
      </c>
      <c r="E459">
        <v>1</v>
      </c>
      <c r="F459" t="str">
        <f>_xlfn.XLOOKUP(B459,Employee_Master!A:A,Employee_Master!E:E,"Not Found")</f>
        <v>Sales</v>
      </c>
      <c r="G459" t="s">
        <v>381</v>
      </c>
      <c r="H459">
        <f t="shared" si="14"/>
        <v>2.3442622950819674</v>
      </c>
      <c r="I459">
        <f t="shared" si="15"/>
        <v>61.413043478260867</v>
      </c>
    </row>
    <row r="460" spans="1:9">
      <c r="A460">
        <v>459</v>
      </c>
      <c r="B460">
        <v>209</v>
      </c>
      <c r="C460" s="1">
        <v>46124</v>
      </c>
      <c r="D460" t="s">
        <v>383</v>
      </c>
      <c r="E460">
        <v>4</v>
      </c>
      <c r="F460" t="str">
        <f>_xlfn.XLOOKUP(B460,Employee_Master!A:A,Employee_Master!E:E,"Not Found")</f>
        <v>Sales</v>
      </c>
      <c r="G460" t="s">
        <v>381</v>
      </c>
      <c r="H460">
        <f t="shared" si="14"/>
        <v>2.3516483516483517</v>
      </c>
      <c r="I460">
        <f t="shared" si="15"/>
        <v>61.748633879781423</v>
      </c>
    </row>
    <row r="461" spans="1:9">
      <c r="A461">
        <v>460</v>
      </c>
      <c r="B461">
        <v>209</v>
      </c>
      <c r="C461" s="1">
        <v>46004</v>
      </c>
      <c r="D461" t="s">
        <v>380</v>
      </c>
      <c r="E461">
        <v>2</v>
      </c>
      <c r="F461" t="str">
        <f>_xlfn.XLOOKUP(B461,Employee_Master!A:A,Employee_Master!E:E,"Not Found")</f>
        <v>Sales</v>
      </c>
      <c r="G461" t="s">
        <v>381</v>
      </c>
      <c r="H461">
        <f t="shared" si="14"/>
        <v>2.3425414364640882</v>
      </c>
      <c r="I461">
        <f t="shared" si="15"/>
        <v>61.53846153846154</v>
      </c>
    </row>
    <row r="462" spans="1:9">
      <c r="A462">
        <v>461</v>
      </c>
      <c r="B462">
        <v>210</v>
      </c>
      <c r="C462" s="1">
        <v>46127</v>
      </c>
      <c r="D462" t="s">
        <v>383</v>
      </c>
      <c r="E462">
        <v>4</v>
      </c>
      <c r="F462" t="str">
        <f>_xlfn.XLOOKUP(B462,Employee_Master!A:A,Employee_Master!E:E,"Not Found")</f>
        <v>Operations</v>
      </c>
      <c r="G462" t="s">
        <v>381</v>
      </c>
      <c r="H462">
        <f t="shared" si="14"/>
        <v>2.3444444444444446</v>
      </c>
      <c r="I462">
        <f t="shared" si="15"/>
        <v>61.325966850828728</v>
      </c>
    </row>
    <row r="463" spans="1:9">
      <c r="A463">
        <v>462</v>
      </c>
      <c r="B463">
        <v>210</v>
      </c>
      <c r="C463" s="1">
        <v>45952</v>
      </c>
      <c r="D463" t="s">
        <v>384</v>
      </c>
      <c r="E463">
        <v>3</v>
      </c>
      <c r="F463" t="str">
        <f>_xlfn.XLOOKUP(B463,Employee_Master!A:A,Employee_Master!E:E,"Not Found")</f>
        <v>Operations</v>
      </c>
      <c r="G463" t="s">
        <v>381</v>
      </c>
      <c r="H463">
        <f t="shared" si="14"/>
        <v>2.3351955307262569</v>
      </c>
      <c r="I463">
        <f t="shared" si="15"/>
        <v>61.111111111111114</v>
      </c>
    </row>
    <row r="464" spans="1:9">
      <c r="A464">
        <v>463</v>
      </c>
      <c r="B464">
        <v>210</v>
      </c>
      <c r="C464" s="1">
        <v>45999</v>
      </c>
      <c r="D464" t="s">
        <v>380</v>
      </c>
      <c r="E464">
        <v>4</v>
      </c>
      <c r="F464" t="str">
        <f>_xlfn.XLOOKUP(B464,Employee_Master!A:A,Employee_Master!E:E,"Not Found")</f>
        <v>Operations</v>
      </c>
      <c r="G464" t="s">
        <v>386</v>
      </c>
      <c r="H464">
        <f t="shared" si="14"/>
        <v>2.3314606741573032</v>
      </c>
      <c r="I464">
        <f t="shared" si="15"/>
        <v>60.893854748603346</v>
      </c>
    </row>
    <row r="465" spans="1:9">
      <c r="A465">
        <v>464</v>
      </c>
      <c r="B465">
        <v>210</v>
      </c>
      <c r="C465" s="1">
        <v>46030</v>
      </c>
      <c r="D465" t="s">
        <v>382</v>
      </c>
      <c r="E465">
        <v>2</v>
      </c>
      <c r="F465" t="str">
        <f>_xlfn.XLOOKUP(B465,Employee_Master!A:A,Employee_Master!E:E,"Not Found")</f>
        <v>Operations</v>
      </c>
      <c r="G465" t="s">
        <v>385</v>
      </c>
      <c r="H465">
        <f t="shared" si="14"/>
        <v>2.3220338983050848</v>
      </c>
      <c r="I465">
        <f t="shared" si="15"/>
        <v>60.674157303370791</v>
      </c>
    </row>
    <row r="466" spans="1:9">
      <c r="A466">
        <v>465</v>
      </c>
      <c r="B466">
        <v>211</v>
      </c>
      <c r="C466" s="1">
        <v>46221</v>
      </c>
      <c r="D466" t="s">
        <v>383</v>
      </c>
      <c r="E466">
        <v>2</v>
      </c>
      <c r="F466" t="str">
        <f>_xlfn.XLOOKUP(B466,Employee_Master!A:A,Employee_Master!E:E,"Not Found")</f>
        <v>HR</v>
      </c>
      <c r="G466" t="s">
        <v>381</v>
      </c>
      <c r="H466">
        <f t="shared" si="14"/>
        <v>2.3238636363636362</v>
      </c>
      <c r="I466">
        <f t="shared" si="15"/>
        <v>61.016949152542374</v>
      </c>
    </row>
    <row r="467" spans="1:9">
      <c r="A467">
        <v>466</v>
      </c>
      <c r="B467">
        <v>211</v>
      </c>
      <c r="C467" s="1">
        <v>45964</v>
      </c>
      <c r="D467" t="s">
        <v>380</v>
      </c>
      <c r="E467">
        <v>1</v>
      </c>
      <c r="F467" t="str">
        <f>_xlfn.XLOOKUP(B467,Employee_Master!A:A,Employee_Master!E:E,"Not Found")</f>
        <v>HR</v>
      </c>
      <c r="G467" t="s">
        <v>381</v>
      </c>
      <c r="H467">
        <f t="shared" si="14"/>
        <v>2.3257142857142856</v>
      </c>
      <c r="I467">
        <f t="shared" si="15"/>
        <v>61.363636363636367</v>
      </c>
    </row>
    <row r="468" spans="1:9">
      <c r="A468">
        <v>467</v>
      </c>
      <c r="B468">
        <v>211</v>
      </c>
      <c r="C468" s="1">
        <v>46178</v>
      </c>
      <c r="D468" t="s">
        <v>384</v>
      </c>
      <c r="E468">
        <v>2</v>
      </c>
      <c r="F468" t="str">
        <f>_xlfn.XLOOKUP(B468,Employee_Master!A:A,Employee_Master!E:E,"Not Found")</f>
        <v>HR</v>
      </c>
      <c r="G468" t="s">
        <v>385</v>
      </c>
      <c r="H468">
        <f t="shared" si="14"/>
        <v>2.3333333333333335</v>
      </c>
      <c r="I468">
        <f t="shared" si="15"/>
        <v>61.142857142857146</v>
      </c>
    </row>
    <row r="469" spans="1:9">
      <c r="A469">
        <v>468</v>
      </c>
      <c r="B469">
        <v>211</v>
      </c>
      <c r="C469" s="1">
        <v>46015</v>
      </c>
      <c r="D469" t="s">
        <v>382</v>
      </c>
      <c r="E469">
        <v>1</v>
      </c>
      <c r="F469" t="str">
        <f>_xlfn.XLOOKUP(B469,Employee_Master!A:A,Employee_Master!E:E,"Not Found")</f>
        <v>HR</v>
      </c>
      <c r="G469" t="s">
        <v>381</v>
      </c>
      <c r="H469">
        <f t="shared" si="14"/>
        <v>2.3352601156069364</v>
      </c>
      <c r="I469">
        <f t="shared" si="15"/>
        <v>60.919540229885058</v>
      </c>
    </row>
    <row r="470" spans="1:9">
      <c r="A470">
        <v>469</v>
      </c>
      <c r="B470">
        <v>212</v>
      </c>
      <c r="C470" s="1">
        <v>46106</v>
      </c>
      <c r="D470" t="s">
        <v>383</v>
      </c>
      <c r="E470">
        <v>4</v>
      </c>
      <c r="F470" t="str">
        <f>_xlfn.XLOOKUP(B470,Employee_Master!A:A,Employee_Master!E:E,"Not Found")</f>
        <v>Customer Support</v>
      </c>
      <c r="G470" t="s">
        <v>381</v>
      </c>
      <c r="H470">
        <f t="shared" si="14"/>
        <v>2.3430232558139537</v>
      </c>
      <c r="I470">
        <f t="shared" si="15"/>
        <v>61.271676300578036</v>
      </c>
    </row>
    <row r="471" spans="1:9">
      <c r="A471">
        <v>470</v>
      </c>
      <c r="B471">
        <v>212</v>
      </c>
      <c r="C471" s="1">
        <v>46226</v>
      </c>
      <c r="D471" t="s">
        <v>383</v>
      </c>
      <c r="E471">
        <v>3</v>
      </c>
      <c r="F471" t="str">
        <f>_xlfn.XLOOKUP(B471,Employee_Master!A:A,Employee_Master!E:E,"Not Found")</f>
        <v>Customer Support</v>
      </c>
      <c r="G471" t="s">
        <v>386</v>
      </c>
      <c r="H471">
        <f t="shared" si="14"/>
        <v>2.3333333333333335</v>
      </c>
      <c r="I471">
        <f t="shared" si="15"/>
        <v>61.046511627906973</v>
      </c>
    </row>
    <row r="472" spans="1:9">
      <c r="A472">
        <v>471</v>
      </c>
      <c r="B472">
        <v>212</v>
      </c>
      <c r="C472" s="1">
        <v>46010</v>
      </c>
      <c r="D472" t="s">
        <v>383</v>
      </c>
      <c r="E472">
        <v>2</v>
      </c>
      <c r="F472" t="str">
        <f>_xlfn.XLOOKUP(B472,Employee_Master!A:A,Employee_Master!E:E,"Not Found")</f>
        <v>Customer Support</v>
      </c>
      <c r="G472" t="s">
        <v>381</v>
      </c>
      <c r="H472">
        <f t="shared" si="14"/>
        <v>2.3294117647058825</v>
      </c>
      <c r="I472">
        <f t="shared" si="15"/>
        <v>60.818713450292393</v>
      </c>
    </row>
    <row r="473" spans="1:9">
      <c r="A473">
        <v>472</v>
      </c>
      <c r="B473">
        <v>214</v>
      </c>
      <c r="C473" s="1">
        <v>46178</v>
      </c>
      <c r="D473" t="s">
        <v>383</v>
      </c>
      <c r="E473">
        <v>3</v>
      </c>
      <c r="F473" t="str">
        <f>_xlfn.XLOOKUP(B473,Employee_Master!A:A,Employee_Master!E:E,"Not Found")</f>
        <v>Sales</v>
      </c>
      <c r="G473" t="s">
        <v>386</v>
      </c>
      <c r="H473">
        <f t="shared" si="14"/>
        <v>2.331360946745562</v>
      </c>
      <c r="I473">
        <f t="shared" si="15"/>
        <v>61.176470588235297</v>
      </c>
    </row>
    <row r="474" spans="1:9">
      <c r="A474">
        <v>473</v>
      </c>
      <c r="B474">
        <v>214</v>
      </c>
      <c r="C474" s="1">
        <v>46084</v>
      </c>
      <c r="D474" t="s">
        <v>382</v>
      </c>
      <c r="E474">
        <v>4</v>
      </c>
      <c r="F474" t="str">
        <f>_xlfn.XLOOKUP(B474,Employee_Master!A:A,Employee_Master!E:E,"Not Found")</f>
        <v>Sales</v>
      </c>
      <c r="G474" t="s">
        <v>381</v>
      </c>
      <c r="H474">
        <f t="shared" si="14"/>
        <v>2.3273809523809526</v>
      </c>
      <c r="I474">
        <f t="shared" si="15"/>
        <v>60.946745562130175</v>
      </c>
    </row>
    <row r="475" spans="1:9">
      <c r="A475">
        <v>474</v>
      </c>
      <c r="B475">
        <v>214</v>
      </c>
      <c r="C475" s="1">
        <v>46233</v>
      </c>
      <c r="D475" t="s">
        <v>383</v>
      </c>
      <c r="E475">
        <v>3</v>
      </c>
      <c r="F475" t="str">
        <f>_xlfn.XLOOKUP(B475,Employee_Master!A:A,Employee_Master!E:E,"Not Found")</f>
        <v>Sales</v>
      </c>
      <c r="G475" t="s">
        <v>381</v>
      </c>
      <c r="H475">
        <f t="shared" si="14"/>
        <v>2.317365269461078</v>
      </c>
      <c r="I475">
        <f t="shared" si="15"/>
        <v>61.30952380952381</v>
      </c>
    </row>
    <row r="476" spans="1:9">
      <c r="A476">
        <v>475</v>
      </c>
      <c r="B476">
        <v>215</v>
      </c>
      <c r="C476" s="1">
        <v>46215</v>
      </c>
      <c r="D476" t="s">
        <v>380</v>
      </c>
      <c r="E476">
        <v>2</v>
      </c>
      <c r="F476" t="str">
        <f>_xlfn.XLOOKUP(B476,Employee_Master!A:A,Employee_Master!E:E,"Not Found")</f>
        <v>Customer Support</v>
      </c>
      <c r="G476" t="s">
        <v>381</v>
      </c>
      <c r="H476">
        <f t="shared" si="14"/>
        <v>2.3132530120481927</v>
      </c>
      <c r="I476">
        <f t="shared" si="15"/>
        <v>61.077844311377248</v>
      </c>
    </row>
    <row r="477" spans="1:9">
      <c r="A477">
        <v>476</v>
      </c>
      <c r="B477">
        <v>216</v>
      </c>
      <c r="C477" s="1">
        <v>46009</v>
      </c>
      <c r="D477" t="s">
        <v>384</v>
      </c>
      <c r="E477">
        <v>3</v>
      </c>
      <c r="F477" t="str">
        <f>_xlfn.XLOOKUP(B477,Employee_Master!A:A,Employee_Master!E:E,"Not Found")</f>
        <v>Sales</v>
      </c>
      <c r="G477" t="s">
        <v>385</v>
      </c>
      <c r="H477">
        <f t="shared" si="14"/>
        <v>2.315151515151515</v>
      </c>
      <c r="I477">
        <f t="shared" si="15"/>
        <v>60.843373493975903</v>
      </c>
    </row>
    <row r="478" spans="1:9">
      <c r="A478">
        <v>477</v>
      </c>
      <c r="B478">
        <v>216</v>
      </c>
      <c r="C478" s="1">
        <v>46135</v>
      </c>
      <c r="D478" t="s">
        <v>382</v>
      </c>
      <c r="E478">
        <v>3</v>
      </c>
      <c r="F478" t="str">
        <f>_xlfn.XLOOKUP(B478,Employee_Master!A:A,Employee_Master!E:E,"Not Found")</f>
        <v>Sales</v>
      </c>
      <c r="G478" t="s">
        <v>381</v>
      </c>
      <c r="H478">
        <f t="shared" si="14"/>
        <v>2.3109756097560976</v>
      </c>
      <c r="I478">
        <f t="shared" si="15"/>
        <v>60.606060606060609</v>
      </c>
    </row>
    <row r="479" spans="1:9">
      <c r="A479">
        <v>478</v>
      </c>
      <c r="B479">
        <v>216</v>
      </c>
      <c r="C479" s="1">
        <v>45972</v>
      </c>
      <c r="D479" t="s">
        <v>380</v>
      </c>
      <c r="E479">
        <v>2</v>
      </c>
      <c r="F479" t="str">
        <f>_xlfn.XLOOKUP(B479,Employee_Master!A:A,Employee_Master!E:E,"Not Found")</f>
        <v>Sales</v>
      </c>
      <c r="G479" t="s">
        <v>386</v>
      </c>
      <c r="H479">
        <f t="shared" si="14"/>
        <v>2.3067484662576687</v>
      </c>
      <c r="I479">
        <f t="shared" si="15"/>
        <v>60.975609756097562</v>
      </c>
    </row>
    <row r="480" spans="1:9">
      <c r="A480">
        <v>479</v>
      </c>
      <c r="B480">
        <v>217</v>
      </c>
      <c r="C480" s="1">
        <v>46270</v>
      </c>
      <c r="D480" t="s">
        <v>384</v>
      </c>
      <c r="E480">
        <v>3</v>
      </c>
      <c r="F480" t="str">
        <f>_xlfn.XLOOKUP(B480,Employee_Master!A:A,Employee_Master!E:E,"Not Found")</f>
        <v>HR</v>
      </c>
      <c r="G480" t="s">
        <v>381</v>
      </c>
      <c r="H480">
        <f t="shared" si="14"/>
        <v>2.308641975308642</v>
      </c>
      <c r="I480">
        <f t="shared" si="15"/>
        <v>60.736196319018411</v>
      </c>
    </row>
    <row r="481" spans="1:9">
      <c r="A481">
        <v>480</v>
      </c>
      <c r="B481">
        <v>217</v>
      </c>
      <c r="C481" s="1">
        <v>46154</v>
      </c>
      <c r="D481" t="s">
        <v>382</v>
      </c>
      <c r="E481">
        <v>4</v>
      </c>
      <c r="F481" t="str">
        <f>_xlfn.XLOOKUP(B481,Employee_Master!A:A,Employee_Master!E:E,"Not Found")</f>
        <v>HR</v>
      </c>
      <c r="G481" t="s">
        <v>381</v>
      </c>
      <c r="H481">
        <f t="shared" si="14"/>
        <v>2.3043478260869565</v>
      </c>
      <c r="I481">
        <f t="shared" si="15"/>
        <v>61.111111111111114</v>
      </c>
    </row>
    <row r="482" spans="1:9">
      <c r="A482">
        <v>481</v>
      </c>
      <c r="B482">
        <v>217</v>
      </c>
      <c r="C482" s="1">
        <v>46143</v>
      </c>
      <c r="D482" t="s">
        <v>382</v>
      </c>
      <c r="E482">
        <v>1</v>
      </c>
      <c r="F482" t="str">
        <f>_xlfn.XLOOKUP(B482,Employee_Master!A:A,Employee_Master!E:E,"Not Found")</f>
        <v>HR</v>
      </c>
      <c r="G482" t="s">
        <v>381</v>
      </c>
      <c r="H482">
        <f t="shared" si="14"/>
        <v>2.2937500000000002</v>
      </c>
      <c r="I482">
        <f t="shared" si="15"/>
        <v>60.869565217391312</v>
      </c>
    </row>
    <row r="483" spans="1:9">
      <c r="A483">
        <v>482</v>
      </c>
      <c r="B483">
        <v>218</v>
      </c>
      <c r="C483" s="1">
        <v>45991</v>
      </c>
      <c r="D483" t="s">
        <v>383</v>
      </c>
      <c r="E483">
        <v>2</v>
      </c>
      <c r="F483" t="str">
        <f>_xlfn.XLOOKUP(B483,Employee_Master!A:A,Employee_Master!E:E,"Not Found")</f>
        <v>Finance</v>
      </c>
      <c r="G483" t="s">
        <v>385</v>
      </c>
      <c r="H483">
        <f t="shared" si="14"/>
        <v>2.3018867924528301</v>
      </c>
      <c r="I483">
        <f t="shared" si="15"/>
        <v>60.624999999999993</v>
      </c>
    </row>
    <row r="484" spans="1:9">
      <c r="A484">
        <v>483</v>
      </c>
      <c r="B484">
        <v>218</v>
      </c>
      <c r="C484" s="1">
        <v>46182</v>
      </c>
      <c r="D484" t="s">
        <v>382</v>
      </c>
      <c r="E484">
        <v>2</v>
      </c>
      <c r="F484" t="str">
        <f>_xlfn.XLOOKUP(B484,Employee_Master!A:A,Employee_Master!E:E,"Not Found")</f>
        <v>Finance</v>
      </c>
      <c r="G484" t="s">
        <v>385</v>
      </c>
      <c r="H484">
        <f t="shared" si="14"/>
        <v>2.3037974683544302</v>
      </c>
      <c r="I484">
        <f t="shared" si="15"/>
        <v>60.377358490566039</v>
      </c>
    </row>
    <row r="485" spans="1:9">
      <c r="A485">
        <v>484</v>
      </c>
      <c r="B485">
        <v>219</v>
      </c>
      <c r="C485" s="1">
        <v>46051</v>
      </c>
      <c r="D485" t="s">
        <v>383</v>
      </c>
      <c r="E485">
        <v>2</v>
      </c>
      <c r="F485" t="str">
        <f>_xlfn.XLOOKUP(B485,Employee_Master!A:A,Employee_Master!E:E,"Not Found")</f>
        <v>IT</v>
      </c>
      <c r="G485" t="s">
        <v>386</v>
      </c>
      <c r="H485">
        <f t="shared" si="14"/>
        <v>2.3057324840764331</v>
      </c>
      <c r="I485">
        <f t="shared" si="15"/>
        <v>60.75949367088608</v>
      </c>
    </row>
    <row r="486" spans="1:9">
      <c r="A486">
        <v>485</v>
      </c>
      <c r="B486">
        <v>219</v>
      </c>
      <c r="C486" s="1">
        <v>46015</v>
      </c>
      <c r="D486" t="s">
        <v>383</v>
      </c>
      <c r="E486">
        <v>2</v>
      </c>
      <c r="F486" t="str">
        <f>_xlfn.XLOOKUP(B486,Employee_Master!A:A,Employee_Master!E:E,"Not Found")</f>
        <v>IT</v>
      </c>
      <c r="G486" t="s">
        <v>386</v>
      </c>
      <c r="H486">
        <f t="shared" si="14"/>
        <v>2.3076923076923075</v>
      </c>
      <c r="I486">
        <f t="shared" si="15"/>
        <v>61.146496815286625</v>
      </c>
    </row>
    <row r="487" spans="1:9">
      <c r="A487">
        <v>486</v>
      </c>
      <c r="B487">
        <v>219</v>
      </c>
      <c r="C487" s="1">
        <v>46098</v>
      </c>
      <c r="D487" t="s">
        <v>382</v>
      </c>
      <c r="E487">
        <v>1</v>
      </c>
      <c r="F487" t="str">
        <f>_xlfn.XLOOKUP(B487,Employee_Master!A:A,Employee_Master!E:E,"Not Found")</f>
        <v>IT</v>
      </c>
      <c r="G487" t="s">
        <v>381</v>
      </c>
      <c r="H487">
        <f t="shared" si="14"/>
        <v>2.3096774193548386</v>
      </c>
      <c r="I487">
        <f t="shared" si="15"/>
        <v>61.53846153846154</v>
      </c>
    </row>
    <row r="488" spans="1:9">
      <c r="A488">
        <v>487</v>
      </c>
      <c r="B488">
        <v>223</v>
      </c>
      <c r="C488" s="1">
        <v>46207</v>
      </c>
      <c r="D488" t="s">
        <v>382</v>
      </c>
      <c r="E488">
        <v>4</v>
      </c>
      <c r="F488" t="str">
        <f>_xlfn.XLOOKUP(B488,Employee_Master!A:A,Employee_Master!E:E,"Not Found")</f>
        <v>Finance</v>
      </c>
      <c r="G488" t="s">
        <v>381</v>
      </c>
      <c r="H488">
        <f t="shared" si="14"/>
        <v>2.3181818181818183</v>
      </c>
      <c r="I488">
        <f t="shared" si="15"/>
        <v>61.935483870967744</v>
      </c>
    </row>
    <row r="489" spans="1:9">
      <c r="A489">
        <v>488</v>
      </c>
      <c r="B489">
        <v>224</v>
      </c>
      <c r="C489" s="1">
        <v>45957</v>
      </c>
      <c r="D489" t="s">
        <v>384</v>
      </c>
      <c r="E489">
        <v>4</v>
      </c>
      <c r="F489" t="str">
        <f>_xlfn.XLOOKUP(B489,Employee_Master!A:A,Employee_Master!E:E,"Not Found")</f>
        <v>HR</v>
      </c>
      <c r="G489" t="s">
        <v>381</v>
      </c>
      <c r="H489">
        <f t="shared" si="14"/>
        <v>2.3071895424836599</v>
      </c>
      <c r="I489">
        <f t="shared" si="15"/>
        <v>61.688311688311693</v>
      </c>
    </row>
    <row r="490" spans="1:9">
      <c r="A490">
        <v>489</v>
      </c>
      <c r="B490">
        <v>226</v>
      </c>
      <c r="C490" s="1">
        <v>46080</v>
      </c>
      <c r="D490" t="s">
        <v>383</v>
      </c>
      <c r="E490">
        <v>3</v>
      </c>
      <c r="F490" t="str">
        <f>_xlfn.XLOOKUP(B490,Employee_Master!A:A,Employee_Master!E:E,"Not Found")</f>
        <v>HR</v>
      </c>
      <c r="G490" t="s">
        <v>386</v>
      </c>
      <c r="H490">
        <f t="shared" si="14"/>
        <v>2.2960526315789473</v>
      </c>
      <c r="I490">
        <f t="shared" si="15"/>
        <v>61.437908496732028</v>
      </c>
    </row>
    <row r="491" spans="1:9">
      <c r="A491">
        <v>490</v>
      </c>
      <c r="B491">
        <v>229</v>
      </c>
      <c r="C491" s="1">
        <v>46089</v>
      </c>
      <c r="D491" t="s">
        <v>383</v>
      </c>
      <c r="E491">
        <v>1</v>
      </c>
      <c r="F491" t="str">
        <f>_xlfn.XLOOKUP(B491,Employee_Master!A:A,Employee_Master!E:E,"Not Found")</f>
        <v>Operations</v>
      </c>
      <c r="G491" t="s">
        <v>381</v>
      </c>
      <c r="H491">
        <f t="shared" si="14"/>
        <v>2.2913907284768213</v>
      </c>
      <c r="I491">
        <f t="shared" si="15"/>
        <v>61.184210526315788</v>
      </c>
    </row>
    <row r="492" spans="1:9">
      <c r="A492">
        <v>491</v>
      </c>
      <c r="B492">
        <v>230</v>
      </c>
      <c r="C492" s="1">
        <v>45973</v>
      </c>
      <c r="D492" t="s">
        <v>384</v>
      </c>
      <c r="E492">
        <v>1</v>
      </c>
      <c r="F492" t="str">
        <f>_xlfn.XLOOKUP(B492,Employee_Master!A:A,Employee_Master!E:E,"Not Found")</f>
        <v>Sales</v>
      </c>
      <c r="G492" t="s">
        <v>381</v>
      </c>
      <c r="H492">
        <f t="shared" si="14"/>
        <v>2.2999999999999998</v>
      </c>
      <c r="I492">
        <f t="shared" si="15"/>
        <v>61.589403973509938</v>
      </c>
    </row>
    <row r="493" spans="1:9">
      <c r="A493">
        <v>492</v>
      </c>
      <c r="B493">
        <v>230</v>
      </c>
      <c r="C493" s="1">
        <v>46018</v>
      </c>
      <c r="D493" t="s">
        <v>382</v>
      </c>
      <c r="E493">
        <v>4</v>
      </c>
      <c r="F493" t="str">
        <f>_xlfn.XLOOKUP(B493,Employee_Master!A:A,Employee_Master!E:E,"Not Found")</f>
        <v>Sales</v>
      </c>
      <c r="G493" t="s">
        <v>381</v>
      </c>
      <c r="H493">
        <f t="shared" si="14"/>
        <v>2.3087248322147653</v>
      </c>
      <c r="I493">
        <f t="shared" si="15"/>
        <v>61.333333333333329</v>
      </c>
    </row>
    <row r="494" spans="1:9">
      <c r="A494">
        <v>493</v>
      </c>
      <c r="B494">
        <v>230</v>
      </c>
      <c r="C494" s="1">
        <v>46067</v>
      </c>
      <c r="D494" t="s">
        <v>383</v>
      </c>
      <c r="E494">
        <v>1</v>
      </c>
      <c r="F494" t="str">
        <f>_xlfn.XLOOKUP(B494,Employee_Master!A:A,Employee_Master!E:E,"Not Found")</f>
        <v>Sales</v>
      </c>
      <c r="G494" t="s">
        <v>386</v>
      </c>
      <c r="H494">
        <f t="shared" si="14"/>
        <v>2.2972972972972974</v>
      </c>
      <c r="I494">
        <f t="shared" si="15"/>
        <v>61.073825503355707</v>
      </c>
    </row>
    <row r="495" spans="1:9">
      <c r="A495">
        <v>494</v>
      </c>
      <c r="B495">
        <v>230</v>
      </c>
      <c r="C495" s="1">
        <v>46076</v>
      </c>
      <c r="D495" t="s">
        <v>380</v>
      </c>
      <c r="E495">
        <v>1</v>
      </c>
      <c r="F495" t="str">
        <f>_xlfn.XLOOKUP(B495,Employee_Master!A:A,Employee_Master!E:E,"Not Found")</f>
        <v>Sales</v>
      </c>
      <c r="G495" t="s">
        <v>385</v>
      </c>
      <c r="H495">
        <f t="shared" si="14"/>
        <v>2.306122448979592</v>
      </c>
      <c r="I495">
        <f t="shared" si="15"/>
        <v>60.810810810810814</v>
      </c>
    </row>
    <row r="496" spans="1:9">
      <c r="A496">
        <v>495</v>
      </c>
      <c r="B496">
        <v>231</v>
      </c>
      <c r="C496" s="1">
        <v>46064</v>
      </c>
      <c r="D496" t="s">
        <v>380</v>
      </c>
      <c r="E496">
        <v>1</v>
      </c>
      <c r="F496" t="str">
        <f>_xlfn.XLOOKUP(B496,Employee_Master!A:A,Employee_Master!E:E,"Not Found")</f>
        <v>HR</v>
      </c>
      <c r="G496" t="s">
        <v>385</v>
      </c>
      <c r="H496">
        <f t="shared" si="14"/>
        <v>2.3150684931506849</v>
      </c>
      <c r="I496">
        <f t="shared" si="15"/>
        <v>61.224489795918366</v>
      </c>
    </row>
    <row r="497" spans="1:9">
      <c r="A497">
        <v>496</v>
      </c>
      <c r="B497">
        <v>231</v>
      </c>
      <c r="C497" s="1">
        <v>46241</v>
      </c>
      <c r="D497" t="s">
        <v>380</v>
      </c>
      <c r="E497">
        <v>3</v>
      </c>
      <c r="F497" t="str">
        <f>_xlfn.XLOOKUP(B497,Employee_Master!A:A,Employee_Master!E:E,"Not Found")</f>
        <v>HR</v>
      </c>
      <c r="G497" t="s">
        <v>381</v>
      </c>
      <c r="H497">
        <f t="shared" si="14"/>
        <v>2.3241379310344827</v>
      </c>
      <c r="I497">
        <f t="shared" si="15"/>
        <v>61.643835616438359</v>
      </c>
    </row>
    <row r="498" spans="1:9">
      <c r="A498">
        <v>497</v>
      </c>
      <c r="B498">
        <v>231</v>
      </c>
      <c r="C498" s="1">
        <v>46132</v>
      </c>
      <c r="D498" t="s">
        <v>383</v>
      </c>
      <c r="E498">
        <v>2</v>
      </c>
      <c r="F498" t="str">
        <f>_xlfn.XLOOKUP(B498,Employee_Master!A:A,Employee_Master!E:E,"Not Found")</f>
        <v>HR</v>
      </c>
      <c r="G498" t="s">
        <v>385</v>
      </c>
      <c r="H498">
        <f t="shared" si="14"/>
        <v>2.3194444444444446</v>
      </c>
      <c r="I498">
        <f t="shared" si="15"/>
        <v>62.068965517241381</v>
      </c>
    </row>
    <row r="499" spans="1:9">
      <c r="A499">
        <v>498</v>
      </c>
      <c r="B499">
        <v>231</v>
      </c>
      <c r="C499" s="1">
        <v>46162</v>
      </c>
      <c r="D499" t="s">
        <v>383</v>
      </c>
      <c r="E499">
        <v>3</v>
      </c>
      <c r="F499" t="str">
        <f>_xlfn.XLOOKUP(B499,Employee_Master!A:A,Employee_Master!E:E,"Not Found")</f>
        <v>HR</v>
      </c>
      <c r="G499" t="s">
        <v>381</v>
      </c>
      <c r="H499">
        <f t="shared" si="14"/>
        <v>2.3216783216783217</v>
      </c>
      <c r="I499">
        <f t="shared" si="15"/>
        <v>61.805555555555557</v>
      </c>
    </row>
    <row r="500" spans="1:9">
      <c r="A500">
        <v>499</v>
      </c>
      <c r="B500">
        <v>232</v>
      </c>
      <c r="C500" s="1">
        <v>46145</v>
      </c>
      <c r="D500" t="s">
        <v>380</v>
      </c>
      <c r="E500">
        <v>3</v>
      </c>
      <c r="F500" t="str">
        <f>_xlfn.XLOOKUP(B500,Employee_Master!A:A,Employee_Master!E:E,"Not Found")</f>
        <v>HR</v>
      </c>
      <c r="G500" t="s">
        <v>381</v>
      </c>
      <c r="H500">
        <f t="shared" si="14"/>
        <v>2.316901408450704</v>
      </c>
      <c r="I500">
        <f t="shared" si="15"/>
        <v>62.23776223776224</v>
      </c>
    </row>
    <row r="501" spans="1:9">
      <c r="A501">
        <v>500</v>
      </c>
      <c r="B501">
        <v>232</v>
      </c>
      <c r="C501" s="1">
        <v>46038</v>
      </c>
      <c r="D501" t="s">
        <v>380</v>
      </c>
      <c r="E501">
        <v>4</v>
      </c>
      <c r="F501" t="str">
        <f>_xlfn.XLOOKUP(B501,Employee_Master!A:A,Employee_Master!E:E,"Not Found")</f>
        <v>HR</v>
      </c>
      <c r="G501" t="s">
        <v>381</v>
      </c>
      <c r="H501">
        <f t="shared" si="14"/>
        <v>2.3120567375886525</v>
      </c>
      <c r="I501">
        <f t="shared" si="15"/>
        <v>61.971830985915489</v>
      </c>
    </row>
    <row r="502" spans="1:9">
      <c r="A502">
        <v>501</v>
      </c>
      <c r="B502">
        <v>232</v>
      </c>
      <c r="C502" s="1">
        <v>46291</v>
      </c>
      <c r="D502" t="s">
        <v>380</v>
      </c>
      <c r="E502">
        <v>1</v>
      </c>
      <c r="F502" t="str">
        <f>_xlfn.XLOOKUP(B502,Employee_Master!A:A,Employee_Master!E:E,"Not Found")</f>
        <v>HR</v>
      </c>
      <c r="G502" t="s">
        <v>381</v>
      </c>
      <c r="H502">
        <f t="shared" si="14"/>
        <v>2.2999999999999998</v>
      </c>
      <c r="I502">
        <f t="shared" si="15"/>
        <v>61.702127659574465</v>
      </c>
    </row>
    <row r="503" spans="1:9">
      <c r="A503">
        <v>502</v>
      </c>
      <c r="B503">
        <v>234</v>
      </c>
      <c r="C503" s="1">
        <v>45991</v>
      </c>
      <c r="D503" t="s">
        <v>380</v>
      </c>
      <c r="E503">
        <v>1</v>
      </c>
      <c r="F503" t="str">
        <f>_xlfn.XLOOKUP(B503,Employee_Master!A:A,Employee_Master!E:E,"Not Found")</f>
        <v>HR</v>
      </c>
      <c r="G503" t="s">
        <v>385</v>
      </c>
      <c r="H503">
        <f t="shared" si="14"/>
        <v>2.3093525179856114</v>
      </c>
      <c r="I503">
        <f t="shared" si="15"/>
        <v>61.428571428571431</v>
      </c>
    </row>
    <row r="504" spans="1:9">
      <c r="A504">
        <v>503</v>
      </c>
      <c r="B504">
        <v>234</v>
      </c>
      <c r="C504" s="1">
        <v>45995</v>
      </c>
      <c r="D504" t="s">
        <v>380</v>
      </c>
      <c r="E504">
        <v>1</v>
      </c>
      <c r="F504" t="str">
        <f>_xlfn.XLOOKUP(B504,Employee_Master!A:A,Employee_Master!E:E,"Not Found")</f>
        <v>HR</v>
      </c>
      <c r="G504" t="s">
        <v>381</v>
      </c>
      <c r="H504">
        <f t="shared" si="14"/>
        <v>2.318840579710145</v>
      </c>
      <c r="I504">
        <f t="shared" si="15"/>
        <v>61.151079136690647</v>
      </c>
    </row>
    <row r="505" spans="1:9">
      <c r="A505">
        <v>504</v>
      </c>
      <c r="B505">
        <v>234</v>
      </c>
      <c r="C505" s="1">
        <v>46101</v>
      </c>
      <c r="D505" t="s">
        <v>383</v>
      </c>
      <c r="E505">
        <v>2</v>
      </c>
      <c r="F505" t="str">
        <f>_xlfn.XLOOKUP(B505,Employee_Master!A:A,Employee_Master!E:E,"Not Found")</f>
        <v>HR</v>
      </c>
      <c r="G505" t="s">
        <v>385</v>
      </c>
      <c r="H505">
        <f t="shared" si="14"/>
        <v>2.3284671532846715</v>
      </c>
      <c r="I505">
        <f t="shared" si="15"/>
        <v>61.594202898550719</v>
      </c>
    </row>
    <row r="506" spans="1:9">
      <c r="A506">
        <v>505</v>
      </c>
      <c r="B506">
        <v>234</v>
      </c>
      <c r="C506" s="1">
        <v>46153</v>
      </c>
      <c r="D506" t="s">
        <v>382</v>
      </c>
      <c r="E506">
        <v>1</v>
      </c>
      <c r="F506" t="str">
        <f>_xlfn.XLOOKUP(B506,Employee_Master!A:A,Employee_Master!E:E,"Not Found")</f>
        <v>HR</v>
      </c>
      <c r="G506" t="s">
        <v>386</v>
      </c>
      <c r="H506">
        <f t="shared" si="14"/>
        <v>2.3308823529411766</v>
      </c>
      <c r="I506">
        <f t="shared" si="15"/>
        <v>61.313868613138688</v>
      </c>
    </row>
    <row r="507" spans="1:9">
      <c r="A507">
        <v>506</v>
      </c>
      <c r="B507">
        <v>235</v>
      </c>
      <c r="C507" s="1">
        <v>46085</v>
      </c>
      <c r="D507" t="s">
        <v>380</v>
      </c>
      <c r="E507">
        <v>4</v>
      </c>
      <c r="F507" t="str">
        <f>_xlfn.XLOOKUP(B507,Employee_Master!A:A,Employee_Master!E:E,"Not Found")</f>
        <v>Customer Support</v>
      </c>
      <c r="G507" t="s">
        <v>381</v>
      </c>
      <c r="H507">
        <f t="shared" si="14"/>
        <v>2.3407407407407406</v>
      </c>
      <c r="I507">
        <f t="shared" si="15"/>
        <v>61.764705882352942</v>
      </c>
    </row>
    <row r="508" spans="1:9">
      <c r="A508">
        <v>507</v>
      </c>
      <c r="B508">
        <v>235</v>
      </c>
      <c r="C508" s="1">
        <v>46117</v>
      </c>
      <c r="D508" t="s">
        <v>380</v>
      </c>
      <c r="E508">
        <v>4</v>
      </c>
      <c r="F508" t="str">
        <f>_xlfn.XLOOKUP(B508,Employee_Master!A:A,Employee_Master!E:E,"Not Found")</f>
        <v>Customer Support</v>
      </c>
      <c r="G508" t="s">
        <v>381</v>
      </c>
      <c r="H508">
        <f t="shared" si="14"/>
        <v>2.3283582089552239</v>
      </c>
      <c r="I508">
        <f t="shared" si="15"/>
        <v>62.222222222222221</v>
      </c>
    </row>
    <row r="509" spans="1:9">
      <c r="A509">
        <v>508</v>
      </c>
      <c r="B509">
        <v>235</v>
      </c>
      <c r="C509" s="1">
        <v>46107</v>
      </c>
      <c r="D509" t="s">
        <v>384</v>
      </c>
      <c r="E509">
        <v>1</v>
      </c>
      <c r="F509" t="str">
        <f>_xlfn.XLOOKUP(B509,Employee_Master!A:A,Employee_Master!E:E,"Not Found")</f>
        <v>Customer Support</v>
      </c>
      <c r="G509" t="s">
        <v>381</v>
      </c>
      <c r="H509">
        <f t="shared" si="14"/>
        <v>2.3157894736842106</v>
      </c>
      <c r="I509">
        <f t="shared" si="15"/>
        <v>61.940298507462686</v>
      </c>
    </row>
    <row r="510" spans="1:9">
      <c r="A510">
        <v>509</v>
      </c>
      <c r="B510">
        <v>235</v>
      </c>
      <c r="C510" s="1">
        <v>46060</v>
      </c>
      <c r="D510" t="s">
        <v>382</v>
      </c>
      <c r="E510">
        <v>2</v>
      </c>
      <c r="F510" t="str">
        <f>_xlfn.XLOOKUP(B510,Employee_Master!A:A,Employee_Master!E:E,"Not Found")</f>
        <v>Customer Support</v>
      </c>
      <c r="G510" t="s">
        <v>385</v>
      </c>
      <c r="H510">
        <f t="shared" si="14"/>
        <v>2.3257575757575757</v>
      </c>
      <c r="I510">
        <f t="shared" si="15"/>
        <v>61.65413533834586</v>
      </c>
    </row>
    <row r="511" spans="1:9">
      <c r="A511">
        <v>510</v>
      </c>
      <c r="B511">
        <v>236</v>
      </c>
      <c r="C511" s="1">
        <v>46268</v>
      </c>
      <c r="D511" t="s">
        <v>382</v>
      </c>
      <c r="E511">
        <v>3</v>
      </c>
      <c r="F511" t="str">
        <f>_xlfn.XLOOKUP(B511,Employee_Master!A:A,Employee_Master!E:E,"Not Found")</f>
        <v>IT</v>
      </c>
      <c r="G511" t="s">
        <v>385</v>
      </c>
      <c r="H511">
        <f t="shared" si="14"/>
        <v>2.3282442748091605</v>
      </c>
      <c r="I511">
        <f t="shared" si="15"/>
        <v>61.363636363636367</v>
      </c>
    </row>
    <row r="512" spans="1:9">
      <c r="A512">
        <v>511</v>
      </c>
      <c r="B512">
        <v>236</v>
      </c>
      <c r="C512" s="1">
        <v>45999</v>
      </c>
      <c r="D512" t="s">
        <v>383</v>
      </c>
      <c r="E512">
        <v>4</v>
      </c>
      <c r="F512" t="str">
        <f>_xlfn.XLOOKUP(B512,Employee_Master!A:A,Employee_Master!E:E,"Not Found")</f>
        <v>IT</v>
      </c>
      <c r="G512" t="s">
        <v>381</v>
      </c>
      <c r="H512">
        <f t="shared" si="14"/>
        <v>2.3230769230769233</v>
      </c>
      <c r="I512">
        <f t="shared" si="15"/>
        <v>61.832061068702295</v>
      </c>
    </row>
    <row r="513" spans="1:9">
      <c r="A513">
        <v>512</v>
      </c>
      <c r="B513">
        <v>236</v>
      </c>
      <c r="C513" s="1">
        <v>46221</v>
      </c>
      <c r="D513" t="s">
        <v>380</v>
      </c>
      <c r="E513">
        <v>1</v>
      </c>
      <c r="F513" t="str">
        <f>_xlfn.XLOOKUP(B513,Employee_Master!A:A,Employee_Master!E:E,"Not Found")</f>
        <v>IT</v>
      </c>
      <c r="G513" t="s">
        <v>381</v>
      </c>
      <c r="H513">
        <f t="shared" si="14"/>
        <v>2.3100775193798451</v>
      </c>
      <c r="I513">
        <f t="shared" si="15"/>
        <v>62.307692307692307</v>
      </c>
    </row>
    <row r="514" spans="1:9">
      <c r="A514">
        <v>513</v>
      </c>
      <c r="B514">
        <v>237</v>
      </c>
      <c r="C514" s="1">
        <v>46143</v>
      </c>
      <c r="D514" t="s">
        <v>384</v>
      </c>
      <c r="E514">
        <v>4</v>
      </c>
      <c r="F514" t="str">
        <f>_xlfn.XLOOKUP(B514,Employee_Master!A:A,Employee_Master!E:E,"Not Found")</f>
        <v>Sales</v>
      </c>
      <c r="G514" t="s">
        <v>381</v>
      </c>
      <c r="H514">
        <f t="shared" ref="H514:H577" si="16">AVERAGE(E514:E1153)</f>
        <v>2.3203125</v>
      </c>
      <c r="I514">
        <f t="shared" ref="I514:I577" si="17">COUNTIF(G513:G1152,"Approved")/COUNTA(G513:G1152)*100</f>
        <v>62.015503875968989</v>
      </c>
    </row>
    <row r="515" spans="1:9">
      <c r="A515">
        <v>514</v>
      </c>
      <c r="B515">
        <v>237</v>
      </c>
      <c r="C515" s="1">
        <v>46006</v>
      </c>
      <c r="D515" t="s">
        <v>384</v>
      </c>
      <c r="E515">
        <v>2</v>
      </c>
      <c r="F515" t="str">
        <f>_xlfn.XLOOKUP(B515,Employee_Master!A:A,Employee_Master!E:E,"Not Found")</f>
        <v>Sales</v>
      </c>
      <c r="G515" t="s">
        <v>381</v>
      </c>
      <c r="H515">
        <f t="shared" si="16"/>
        <v>2.3070866141732282</v>
      </c>
      <c r="I515">
        <f t="shared" si="17"/>
        <v>61.71875</v>
      </c>
    </row>
    <row r="516" spans="1:9">
      <c r="A516">
        <v>515</v>
      </c>
      <c r="B516">
        <v>238</v>
      </c>
      <c r="C516" s="1">
        <v>46240</v>
      </c>
      <c r="D516" t="s">
        <v>382</v>
      </c>
      <c r="E516">
        <v>3</v>
      </c>
      <c r="F516" t="str">
        <f>_xlfn.XLOOKUP(B516,Employee_Master!A:A,Employee_Master!E:E,"Not Found")</f>
        <v>Marketing</v>
      </c>
      <c r="G516" t="s">
        <v>381</v>
      </c>
      <c r="H516">
        <f t="shared" si="16"/>
        <v>2.3095238095238093</v>
      </c>
      <c r="I516">
        <f t="shared" si="17"/>
        <v>61.417322834645674</v>
      </c>
    </row>
    <row r="517" spans="1:9">
      <c r="A517">
        <v>516</v>
      </c>
      <c r="B517">
        <v>238</v>
      </c>
      <c r="C517" s="1">
        <v>46023</v>
      </c>
      <c r="D517" t="s">
        <v>382</v>
      </c>
      <c r="E517">
        <v>1</v>
      </c>
      <c r="F517" t="str">
        <f>_xlfn.XLOOKUP(B517,Employee_Master!A:A,Employee_Master!E:E,"Not Found")</f>
        <v>Marketing</v>
      </c>
      <c r="G517" t="s">
        <v>381</v>
      </c>
      <c r="H517">
        <f t="shared" si="16"/>
        <v>2.3039999999999998</v>
      </c>
      <c r="I517">
        <f t="shared" si="17"/>
        <v>61.111111111111114</v>
      </c>
    </row>
    <row r="518" spans="1:9">
      <c r="A518">
        <v>517</v>
      </c>
      <c r="B518">
        <v>238</v>
      </c>
      <c r="C518" s="1">
        <v>46254</v>
      </c>
      <c r="D518" t="s">
        <v>383</v>
      </c>
      <c r="E518">
        <v>3</v>
      </c>
      <c r="F518" t="str">
        <f>_xlfn.XLOOKUP(B518,Employee_Master!A:A,Employee_Master!E:E,"Not Found")</f>
        <v>Marketing</v>
      </c>
      <c r="G518" t="s">
        <v>386</v>
      </c>
      <c r="H518">
        <f t="shared" si="16"/>
        <v>2.314516129032258</v>
      </c>
      <c r="I518">
        <f t="shared" si="17"/>
        <v>60.8</v>
      </c>
    </row>
    <row r="519" spans="1:9">
      <c r="A519">
        <v>518</v>
      </c>
      <c r="B519">
        <v>238</v>
      </c>
      <c r="C519" s="1">
        <v>46121</v>
      </c>
      <c r="D519" t="s">
        <v>383</v>
      </c>
      <c r="E519">
        <v>1</v>
      </c>
      <c r="F519" t="str">
        <f>_xlfn.XLOOKUP(B519,Employee_Master!A:A,Employee_Master!E:E,"Not Found")</f>
        <v>Marketing</v>
      </c>
      <c r="G519" t="s">
        <v>381</v>
      </c>
      <c r="H519">
        <f t="shared" si="16"/>
        <v>2.3089430894308944</v>
      </c>
      <c r="I519">
        <f t="shared" si="17"/>
        <v>60.483870967741936</v>
      </c>
    </row>
    <row r="520" spans="1:9">
      <c r="A520">
        <v>519</v>
      </c>
      <c r="B520">
        <v>239</v>
      </c>
      <c r="C520" s="1">
        <v>46187</v>
      </c>
      <c r="D520" t="s">
        <v>380</v>
      </c>
      <c r="E520">
        <v>2</v>
      </c>
      <c r="F520" t="str">
        <f>_xlfn.XLOOKUP(B520,Employee_Master!A:A,Employee_Master!E:E,"Not Found")</f>
        <v>IT</v>
      </c>
      <c r="G520" t="s">
        <v>381</v>
      </c>
      <c r="H520">
        <f t="shared" si="16"/>
        <v>2.319672131147541</v>
      </c>
      <c r="I520">
        <f t="shared" si="17"/>
        <v>60.975609756097562</v>
      </c>
    </row>
    <row r="521" spans="1:9">
      <c r="A521">
        <v>520</v>
      </c>
      <c r="B521">
        <v>239</v>
      </c>
      <c r="C521" s="1">
        <v>46101</v>
      </c>
      <c r="D521" t="s">
        <v>383</v>
      </c>
      <c r="E521">
        <v>4</v>
      </c>
      <c r="F521" t="str">
        <f>_xlfn.XLOOKUP(B521,Employee_Master!A:A,Employee_Master!E:E,"Not Found")</f>
        <v>IT</v>
      </c>
      <c r="G521" t="s">
        <v>386</v>
      </c>
      <c r="H521">
        <f t="shared" si="16"/>
        <v>2.3223140495867769</v>
      </c>
      <c r="I521">
        <f t="shared" si="17"/>
        <v>60.655737704918032</v>
      </c>
    </row>
    <row r="522" spans="1:9">
      <c r="A522">
        <v>521</v>
      </c>
      <c r="B522">
        <v>239</v>
      </c>
      <c r="C522" s="1">
        <v>46233</v>
      </c>
      <c r="D522" t="s">
        <v>380</v>
      </c>
      <c r="E522">
        <v>4</v>
      </c>
      <c r="F522" t="str">
        <f>_xlfn.XLOOKUP(B522,Employee_Master!A:A,Employee_Master!E:E,"Not Found")</f>
        <v>IT</v>
      </c>
      <c r="G522" t="s">
        <v>381</v>
      </c>
      <c r="H522">
        <f t="shared" si="16"/>
        <v>2.3083333333333331</v>
      </c>
      <c r="I522">
        <f t="shared" si="17"/>
        <v>60.330578512396691</v>
      </c>
    </row>
    <row r="523" spans="1:9">
      <c r="A523">
        <v>522</v>
      </c>
      <c r="B523">
        <v>240</v>
      </c>
      <c r="C523" s="1">
        <v>46233</v>
      </c>
      <c r="D523" t="s">
        <v>383</v>
      </c>
      <c r="E523">
        <v>4</v>
      </c>
      <c r="F523" t="str">
        <f>_xlfn.XLOOKUP(B523,Employee_Master!A:A,Employee_Master!E:E,"Not Found")</f>
        <v>Finance</v>
      </c>
      <c r="G523" t="s">
        <v>381</v>
      </c>
      <c r="H523">
        <f t="shared" si="16"/>
        <v>2.2941176470588234</v>
      </c>
      <c r="I523">
        <f t="shared" si="17"/>
        <v>60.833333333333329</v>
      </c>
    </row>
    <row r="524" spans="1:9">
      <c r="A524">
        <v>523</v>
      </c>
      <c r="B524">
        <v>240</v>
      </c>
      <c r="C524" s="1">
        <v>46076</v>
      </c>
      <c r="D524" t="s">
        <v>383</v>
      </c>
      <c r="E524">
        <v>1</v>
      </c>
      <c r="F524" t="str">
        <f>_xlfn.XLOOKUP(B524,Employee_Master!A:A,Employee_Master!E:E,"Not Found")</f>
        <v>Finance</v>
      </c>
      <c r="G524" t="s">
        <v>385</v>
      </c>
      <c r="H524">
        <f t="shared" si="16"/>
        <v>2.2796610169491527</v>
      </c>
      <c r="I524">
        <f t="shared" si="17"/>
        <v>60.504201680672267</v>
      </c>
    </row>
    <row r="525" spans="1:9">
      <c r="A525">
        <v>524</v>
      </c>
      <c r="B525">
        <v>240</v>
      </c>
      <c r="C525" s="1">
        <v>46232</v>
      </c>
      <c r="D525" t="s">
        <v>384</v>
      </c>
      <c r="E525">
        <v>4</v>
      </c>
      <c r="F525" t="str">
        <f>_xlfn.XLOOKUP(B525,Employee_Master!A:A,Employee_Master!E:E,"Not Found")</f>
        <v>Finance</v>
      </c>
      <c r="G525" t="s">
        <v>385</v>
      </c>
      <c r="H525">
        <f t="shared" si="16"/>
        <v>2.2905982905982905</v>
      </c>
      <c r="I525">
        <f t="shared" si="17"/>
        <v>60.169491525423723</v>
      </c>
    </row>
    <row r="526" spans="1:9">
      <c r="A526">
        <v>525</v>
      </c>
      <c r="B526">
        <v>241</v>
      </c>
      <c r="C526" s="1">
        <v>46242</v>
      </c>
      <c r="D526" t="s">
        <v>380</v>
      </c>
      <c r="E526">
        <v>3</v>
      </c>
      <c r="F526" t="str">
        <f>_xlfn.XLOOKUP(B526,Employee_Master!A:A,Employee_Master!E:E,"Not Found")</f>
        <v>Finance</v>
      </c>
      <c r="G526" t="s">
        <v>386</v>
      </c>
      <c r="H526">
        <f t="shared" si="16"/>
        <v>2.2758620689655173</v>
      </c>
      <c r="I526">
        <f t="shared" si="17"/>
        <v>60.683760683760681</v>
      </c>
    </row>
    <row r="527" spans="1:9">
      <c r="A527">
        <v>526</v>
      </c>
      <c r="B527">
        <v>241</v>
      </c>
      <c r="C527" s="1">
        <v>46045</v>
      </c>
      <c r="D527" t="s">
        <v>382</v>
      </c>
      <c r="E527">
        <v>3</v>
      </c>
      <c r="F527" t="str">
        <f>_xlfn.XLOOKUP(B527,Employee_Master!A:A,Employee_Master!E:E,"Not Found")</f>
        <v>Finance</v>
      </c>
      <c r="G527" t="s">
        <v>381</v>
      </c>
      <c r="H527">
        <f t="shared" si="16"/>
        <v>2.2695652173913046</v>
      </c>
      <c r="I527">
        <f t="shared" si="17"/>
        <v>61.206896551724135</v>
      </c>
    </row>
    <row r="528" spans="1:9">
      <c r="A528">
        <v>527</v>
      </c>
      <c r="B528">
        <v>241</v>
      </c>
      <c r="C528" s="1">
        <v>46264</v>
      </c>
      <c r="D528" t="s">
        <v>384</v>
      </c>
      <c r="E528">
        <v>2</v>
      </c>
      <c r="F528" t="str">
        <f>_xlfn.XLOOKUP(B528,Employee_Master!A:A,Employee_Master!E:E,"Not Found")</f>
        <v>Finance</v>
      </c>
      <c r="G528" t="s">
        <v>386</v>
      </c>
      <c r="H528">
        <f t="shared" si="16"/>
        <v>2.263157894736842</v>
      </c>
      <c r="I528">
        <f t="shared" si="17"/>
        <v>61.739130434782609</v>
      </c>
    </row>
    <row r="529" spans="1:9">
      <c r="A529">
        <v>528</v>
      </c>
      <c r="B529">
        <v>242</v>
      </c>
      <c r="C529" s="1">
        <v>46133</v>
      </c>
      <c r="D529" t="s">
        <v>383</v>
      </c>
      <c r="E529">
        <v>1</v>
      </c>
      <c r="F529" t="str">
        <f>_xlfn.XLOOKUP(B529,Employee_Master!A:A,Employee_Master!E:E,"Not Found")</f>
        <v>HR</v>
      </c>
      <c r="G529" t="s">
        <v>386</v>
      </c>
      <c r="H529">
        <f t="shared" si="16"/>
        <v>2.2654867256637168</v>
      </c>
      <c r="I529">
        <f t="shared" si="17"/>
        <v>61.403508771929829</v>
      </c>
    </row>
    <row r="530" spans="1:9">
      <c r="A530">
        <v>529</v>
      </c>
      <c r="B530">
        <v>242</v>
      </c>
      <c r="C530" s="1">
        <v>46048</v>
      </c>
      <c r="D530" t="s">
        <v>384</v>
      </c>
      <c r="E530">
        <v>2</v>
      </c>
      <c r="F530" t="str">
        <f>_xlfn.XLOOKUP(B530,Employee_Master!A:A,Employee_Master!E:E,"Not Found")</f>
        <v>HR</v>
      </c>
      <c r="G530" t="s">
        <v>385</v>
      </c>
      <c r="H530">
        <f t="shared" si="16"/>
        <v>2.2767857142857144</v>
      </c>
      <c r="I530">
        <f t="shared" si="17"/>
        <v>61.946902654867252</v>
      </c>
    </row>
    <row r="531" spans="1:9">
      <c r="A531">
        <v>530</v>
      </c>
      <c r="B531">
        <v>243</v>
      </c>
      <c r="C531" s="1">
        <v>46134</v>
      </c>
      <c r="D531" t="s">
        <v>384</v>
      </c>
      <c r="E531">
        <v>4</v>
      </c>
      <c r="F531" t="str">
        <f>_xlfn.XLOOKUP(B531,Employee_Master!A:A,Employee_Master!E:E,"Not Found")</f>
        <v>Operations</v>
      </c>
      <c r="G531" t="s">
        <v>381</v>
      </c>
      <c r="H531">
        <f t="shared" si="16"/>
        <v>2.2792792792792791</v>
      </c>
      <c r="I531">
        <f t="shared" si="17"/>
        <v>62.5</v>
      </c>
    </row>
    <row r="532" spans="1:9">
      <c r="A532">
        <v>531</v>
      </c>
      <c r="B532">
        <v>245</v>
      </c>
      <c r="C532" s="1">
        <v>46205</v>
      </c>
      <c r="D532" t="s">
        <v>382</v>
      </c>
      <c r="E532">
        <v>1</v>
      </c>
      <c r="F532" t="str">
        <f>_xlfn.XLOOKUP(B532,Employee_Master!A:A,Employee_Master!E:E,"Not Found")</f>
        <v>Customer Support</v>
      </c>
      <c r="G532" t="s">
        <v>386</v>
      </c>
      <c r="H532">
        <f t="shared" si="16"/>
        <v>2.2636363636363637</v>
      </c>
      <c r="I532">
        <f t="shared" si="17"/>
        <v>63.063063063063062</v>
      </c>
    </row>
    <row r="533" spans="1:9">
      <c r="A533">
        <v>532</v>
      </c>
      <c r="B533">
        <v>245</v>
      </c>
      <c r="C533" s="1">
        <v>46258</v>
      </c>
      <c r="D533" t="s">
        <v>383</v>
      </c>
      <c r="E533">
        <v>1</v>
      </c>
      <c r="F533" t="str">
        <f>_xlfn.XLOOKUP(B533,Employee_Master!A:A,Employee_Master!E:E,"Not Found")</f>
        <v>Customer Support</v>
      </c>
      <c r="G533" t="s">
        <v>385</v>
      </c>
      <c r="H533">
        <f t="shared" si="16"/>
        <v>2.2752293577981653</v>
      </c>
      <c r="I533">
        <f t="shared" si="17"/>
        <v>62.727272727272734</v>
      </c>
    </row>
    <row r="534" spans="1:9">
      <c r="A534">
        <v>533</v>
      </c>
      <c r="B534">
        <v>246</v>
      </c>
      <c r="C534" s="1">
        <v>46040</v>
      </c>
      <c r="D534" t="s">
        <v>383</v>
      </c>
      <c r="E534">
        <v>1</v>
      </c>
      <c r="F534" t="str">
        <f>_xlfn.XLOOKUP(B534,Employee_Master!A:A,Employee_Master!E:E,"Not Found")</f>
        <v>Finance</v>
      </c>
      <c r="G534" t="s">
        <v>381</v>
      </c>
      <c r="H534">
        <f t="shared" si="16"/>
        <v>2.2870370370370372</v>
      </c>
      <c r="I534">
        <f t="shared" si="17"/>
        <v>63.302752293577981</v>
      </c>
    </row>
    <row r="535" spans="1:9">
      <c r="A535">
        <v>534</v>
      </c>
      <c r="B535">
        <v>246</v>
      </c>
      <c r="C535" s="1">
        <v>46130</v>
      </c>
      <c r="D535" t="s">
        <v>383</v>
      </c>
      <c r="E535">
        <v>2</v>
      </c>
      <c r="F535" t="str">
        <f>_xlfn.XLOOKUP(B535,Employee_Master!A:A,Employee_Master!E:E,"Not Found")</f>
        <v>Finance</v>
      </c>
      <c r="G535" t="s">
        <v>386</v>
      </c>
      <c r="H535">
        <f t="shared" si="16"/>
        <v>2.2990654205607477</v>
      </c>
      <c r="I535">
        <f t="shared" si="17"/>
        <v>63.888888888888886</v>
      </c>
    </row>
    <row r="536" spans="1:9">
      <c r="A536">
        <v>535</v>
      </c>
      <c r="B536">
        <v>246</v>
      </c>
      <c r="C536" s="1">
        <v>46266</v>
      </c>
      <c r="D536" t="s">
        <v>380</v>
      </c>
      <c r="E536">
        <v>1</v>
      </c>
      <c r="F536" t="str">
        <f>_xlfn.XLOOKUP(B536,Employee_Master!A:A,Employee_Master!E:E,"Not Found")</f>
        <v>Finance</v>
      </c>
      <c r="G536" t="s">
        <v>385</v>
      </c>
      <c r="H536">
        <f t="shared" si="16"/>
        <v>2.3018867924528301</v>
      </c>
      <c r="I536">
        <f t="shared" si="17"/>
        <v>63.551401869158873</v>
      </c>
    </row>
    <row r="537" spans="1:9">
      <c r="A537">
        <v>536</v>
      </c>
      <c r="B537">
        <v>246</v>
      </c>
      <c r="C537" s="1">
        <v>45971</v>
      </c>
      <c r="D537" t="s">
        <v>383</v>
      </c>
      <c r="E537">
        <v>2</v>
      </c>
      <c r="F537" t="str">
        <f>_xlfn.XLOOKUP(B537,Employee_Master!A:A,Employee_Master!E:E,"Not Found")</f>
        <v>Finance</v>
      </c>
      <c r="G537" t="s">
        <v>385</v>
      </c>
      <c r="H537">
        <f t="shared" si="16"/>
        <v>2.3142857142857145</v>
      </c>
      <c r="I537">
        <f t="shared" si="17"/>
        <v>64.15094339622641</v>
      </c>
    </row>
    <row r="538" spans="1:9">
      <c r="A538">
        <v>537</v>
      </c>
      <c r="B538">
        <v>249</v>
      </c>
      <c r="C538" s="1">
        <v>46063</v>
      </c>
      <c r="D538" t="s">
        <v>380</v>
      </c>
      <c r="E538">
        <v>3</v>
      </c>
      <c r="F538" t="str">
        <f>_xlfn.XLOOKUP(B538,Employee_Master!A:A,Employee_Master!E:E,"Not Found")</f>
        <v>Sales</v>
      </c>
      <c r="G538" t="s">
        <v>381</v>
      </c>
      <c r="H538">
        <f t="shared" si="16"/>
        <v>2.3173076923076925</v>
      </c>
      <c r="I538">
        <f t="shared" si="17"/>
        <v>64.761904761904759</v>
      </c>
    </row>
    <row r="539" spans="1:9">
      <c r="A539">
        <v>538</v>
      </c>
      <c r="B539">
        <v>250</v>
      </c>
      <c r="C539" s="1">
        <v>46013</v>
      </c>
      <c r="D539" t="s">
        <v>382</v>
      </c>
      <c r="E539">
        <v>2</v>
      </c>
      <c r="F539" t="str">
        <f>_xlfn.XLOOKUP(B539,Employee_Master!A:A,Employee_Master!E:E,"Not Found")</f>
        <v>Customer Support</v>
      </c>
      <c r="G539" t="s">
        <v>381</v>
      </c>
      <c r="H539">
        <f t="shared" si="16"/>
        <v>2.3106796116504853</v>
      </c>
      <c r="I539">
        <f t="shared" si="17"/>
        <v>65.384615384615387</v>
      </c>
    </row>
    <row r="540" spans="1:9">
      <c r="A540">
        <v>539</v>
      </c>
      <c r="B540">
        <v>250</v>
      </c>
      <c r="C540" s="1">
        <v>46116</v>
      </c>
      <c r="D540" t="s">
        <v>384</v>
      </c>
      <c r="E540">
        <v>3</v>
      </c>
      <c r="F540" t="str">
        <f>_xlfn.XLOOKUP(B540,Employee_Master!A:A,Employee_Master!E:E,"Not Found")</f>
        <v>Customer Support</v>
      </c>
      <c r="G540" t="s">
        <v>381</v>
      </c>
      <c r="H540">
        <f t="shared" si="16"/>
        <v>2.3137254901960786</v>
      </c>
      <c r="I540">
        <f t="shared" si="17"/>
        <v>65.048543689320397</v>
      </c>
    </row>
    <row r="541" spans="1:9">
      <c r="A541">
        <v>540</v>
      </c>
      <c r="B541">
        <v>250</v>
      </c>
      <c r="C541" s="1">
        <v>46208</v>
      </c>
      <c r="D541" t="s">
        <v>384</v>
      </c>
      <c r="E541">
        <v>1</v>
      </c>
      <c r="F541" t="str">
        <f>_xlfn.XLOOKUP(B541,Employee_Master!A:A,Employee_Master!E:E,"Not Found")</f>
        <v>Customer Support</v>
      </c>
      <c r="G541" t="s">
        <v>381</v>
      </c>
      <c r="H541">
        <f t="shared" si="16"/>
        <v>2.3069306930693068</v>
      </c>
      <c r="I541">
        <f t="shared" si="17"/>
        <v>64.705882352941174</v>
      </c>
    </row>
    <row r="542" spans="1:9">
      <c r="A542">
        <v>541</v>
      </c>
      <c r="B542">
        <v>253</v>
      </c>
      <c r="C542" s="1">
        <v>45964</v>
      </c>
      <c r="D542" t="s">
        <v>383</v>
      </c>
      <c r="E542">
        <v>2</v>
      </c>
      <c r="F542" t="str">
        <f>_xlfn.XLOOKUP(B542,Employee_Master!A:A,Employee_Master!E:E,"Not Found")</f>
        <v>HR</v>
      </c>
      <c r="G542" t="s">
        <v>381</v>
      </c>
      <c r="H542">
        <f t="shared" si="16"/>
        <v>2.3199999999999998</v>
      </c>
      <c r="I542">
        <f t="shared" si="17"/>
        <v>64.356435643564353</v>
      </c>
    </row>
    <row r="543" spans="1:9">
      <c r="A543">
        <v>542</v>
      </c>
      <c r="B543">
        <v>254</v>
      </c>
      <c r="C543" s="1">
        <v>46103</v>
      </c>
      <c r="D543" t="s">
        <v>384</v>
      </c>
      <c r="E543">
        <v>4</v>
      </c>
      <c r="F543" t="str">
        <f>_xlfn.XLOOKUP(B543,Employee_Master!A:A,Employee_Master!E:E,"Not Found")</f>
        <v>Finance</v>
      </c>
      <c r="G543" t="s">
        <v>386</v>
      </c>
      <c r="H543">
        <f t="shared" si="16"/>
        <v>2.3232323232323231</v>
      </c>
      <c r="I543">
        <f t="shared" si="17"/>
        <v>64</v>
      </c>
    </row>
    <row r="544" spans="1:9">
      <c r="A544">
        <v>543</v>
      </c>
      <c r="B544">
        <v>254</v>
      </c>
      <c r="C544" s="1">
        <v>45993</v>
      </c>
      <c r="D544" t="s">
        <v>382</v>
      </c>
      <c r="E544">
        <v>3</v>
      </c>
      <c r="F544" t="str">
        <f>_xlfn.XLOOKUP(B544,Employee_Master!A:A,Employee_Master!E:E,"Not Found")</f>
        <v>Finance</v>
      </c>
      <c r="G544" t="s">
        <v>381</v>
      </c>
      <c r="H544">
        <f t="shared" si="16"/>
        <v>2.306122448979592</v>
      </c>
      <c r="I544">
        <f t="shared" si="17"/>
        <v>63.636363636363633</v>
      </c>
    </row>
    <row r="545" spans="1:9">
      <c r="A545">
        <v>544</v>
      </c>
      <c r="B545">
        <v>254</v>
      </c>
      <c r="C545" s="1">
        <v>46113</v>
      </c>
      <c r="D545" t="s">
        <v>384</v>
      </c>
      <c r="E545">
        <v>3</v>
      </c>
      <c r="F545" t="str">
        <f>_xlfn.XLOOKUP(B545,Employee_Master!A:A,Employee_Master!E:E,"Not Found")</f>
        <v>Finance</v>
      </c>
      <c r="G545" t="s">
        <v>381</v>
      </c>
      <c r="H545">
        <f t="shared" si="16"/>
        <v>2.2989690721649483</v>
      </c>
      <c r="I545">
        <f t="shared" si="17"/>
        <v>64.285714285714292</v>
      </c>
    </row>
    <row r="546" spans="1:9">
      <c r="A546">
        <v>545</v>
      </c>
      <c r="B546">
        <v>255</v>
      </c>
      <c r="C546" s="1">
        <v>46027</v>
      </c>
      <c r="D546" t="s">
        <v>383</v>
      </c>
      <c r="E546">
        <v>1</v>
      </c>
      <c r="F546" t="str">
        <f>_xlfn.XLOOKUP(B546,Employee_Master!A:A,Employee_Master!E:E,"Not Found")</f>
        <v>Customer Support</v>
      </c>
      <c r="G546" t="s">
        <v>386</v>
      </c>
      <c r="H546">
        <f t="shared" si="16"/>
        <v>2.2916666666666665</v>
      </c>
      <c r="I546">
        <f t="shared" si="17"/>
        <v>63.917525773195869</v>
      </c>
    </row>
    <row r="547" spans="1:9">
      <c r="A547">
        <v>546</v>
      </c>
      <c r="B547">
        <v>255</v>
      </c>
      <c r="C547" s="1">
        <v>45975</v>
      </c>
      <c r="D547" t="s">
        <v>384</v>
      </c>
      <c r="E547">
        <v>2</v>
      </c>
      <c r="F547" t="str">
        <f>_xlfn.XLOOKUP(B547,Employee_Master!A:A,Employee_Master!E:E,"Not Found")</f>
        <v>Customer Support</v>
      </c>
      <c r="G547" t="s">
        <v>381</v>
      </c>
      <c r="H547">
        <f t="shared" si="16"/>
        <v>2.3052631578947369</v>
      </c>
      <c r="I547">
        <f t="shared" si="17"/>
        <v>63.541666666666664</v>
      </c>
    </row>
    <row r="548" spans="1:9">
      <c r="A548">
        <v>547</v>
      </c>
      <c r="B548">
        <v>255</v>
      </c>
      <c r="C548" s="1">
        <v>46106</v>
      </c>
      <c r="D548" t="s">
        <v>380</v>
      </c>
      <c r="E548">
        <v>2</v>
      </c>
      <c r="F548" t="str">
        <f>_xlfn.XLOOKUP(B548,Employee_Master!A:A,Employee_Master!E:E,"Not Found")</f>
        <v>Customer Support</v>
      </c>
      <c r="G548" t="s">
        <v>385</v>
      </c>
      <c r="H548">
        <f t="shared" si="16"/>
        <v>2.3085106382978724</v>
      </c>
      <c r="I548">
        <f t="shared" si="17"/>
        <v>64.21052631578948</v>
      </c>
    </row>
    <row r="549" spans="1:9">
      <c r="A549">
        <v>548</v>
      </c>
      <c r="B549">
        <v>256</v>
      </c>
      <c r="C549" s="1">
        <v>45946</v>
      </c>
      <c r="D549" t="s">
        <v>383</v>
      </c>
      <c r="E549">
        <v>4</v>
      </c>
      <c r="F549" t="str">
        <f>_xlfn.XLOOKUP(B549,Employee_Master!A:A,Employee_Master!E:E,"Not Found")</f>
        <v>Sales</v>
      </c>
      <c r="G549" t="s">
        <v>385</v>
      </c>
      <c r="H549">
        <f t="shared" si="16"/>
        <v>2.3118279569892475</v>
      </c>
      <c r="I549">
        <f t="shared" si="17"/>
        <v>63.829787234042556</v>
      </c>
    </row>
    <row r="550" spans="1:9">
      <c r="A550">
        <v>549</v>
      </c>
      <c r="B550">
        <v>256</v>
      </c>
      <c r="C550" s="1">
        <v>45984</v>
      </c>
      <c r="D550" t="s">
        <v>382</v>
      </c>
      <c r="E550">
        <v>2</v>
      </c>
      <c r="F550" t="str">
        <f>_xlfn.XLOOKUP(B550,Employee_Master!A:A,Employee_Master!E:E,"Not Found")</f>
        <v>Sales</v>
      </c>
      <c r="G550" t="s">
        <v>381</v>
      </c>
      <c r="H550">
        <f t="shared" si="16"/>
        <v>2.2934782608695654</v>
      </c>
      <c r="I550">
        <f t="shared" si="17"/>
        <v>64.516129032258064</v>
      </c>
    </row>
    <row r="551" spans="1:9">
      <c r="A551">
        <v>550</v>
      </c>
      <c r="B551">
        <v>257</v>
      </c>
      <c r="C551" s="1">
        <v>46248</v>
      </c>
      <c r="D551" t="s">
        <v>382</v>
      </c>
      <c r="E551">
        <v>1</v>
      </c>
      <c r="F551" t="str">
        <f>_xlfn.XLOOKUP(B551,Employee_Master!A:A,Employee_Master!E:E,"Not Found")</f>
        <v>Finance</v>
      </c>
      <c r="G551" t="s">
        <v>381</v>
      </c>
      <c r="H551">
        <f t="shared" si="16"/>
        <v>2.2967032967032965</v>
      </c>
      <c r="I551">
        <f t="shared" si="17"/>
        <v>65.217391304347828</v>
      </c>
    </row>
    <row r="552" spans="1:9">
      <c r="A552">
        <v>551</v>
      </c>
      <c r="B552">
        <v>258</v>
      </c>
      <c r="C552" s="1">
        <v>46216</v>
      </c>
      <c r="D552" t="s">
        <v>382</v>
      </c>
      <c r="E552">
        <v>4</v>
      </c>
      <c r="F552" t="str">
        <f>_xlfn.XLOOKUP(B552,Employee_Master!A:A,Employee_Master!E:E,"Not Found")</f>
        <v>IT</v>
      </c>
      <c r="G552" t="s">
        <v>381</v>
      </c>
      <c r="H552">
        <f t="shared" si="16"/>
        <v>2.3111111111111109</v>
      </c>
      <c r="I552">
        <f t="shared" si="17"/>
        <v>64.835164835164832</v>
      </c>
    </row>
    <row r="553" spans="1:9">
      <c r="A553">
        <v>552</v>
      </c>
      <c r="B553">
        <v>258</v>
      </c>
      <c r="C553" s="1">
        <v>46259</v>
      </c>
      <c r="D553" t="s">
        <v>383</v>
      </c>
      <c r="E553">
        <v>2</v>
      </c>
      <c r="F553" t="str">
        <f>_xlfn.XLOOKUP(B553,Employee_Master!A:A,Employee_Master!E:E,"Not Found")</f>
        <v>IT</v>
      </c>
      <c r="G553" t="s">
        <v>381</v>
      </c>
      <c r="H553">
        <f t="shared" si="16"/>
        <v>2.292134831460674</v>
      </c>
      <c r="I553">
        <f t="shared" si="17"/>
        <v>64.444444444444443</v>
      </c>
    </row>
    <row r="554" spans="1:9">
      <c r="A554">
        <v>553</v>
      </c>
      <c r="B554">
        <v>258</v>
      </c>
      <c r="C554" s="1">
        <v>45949</v>
      </c>
      <c r="D554" t="s">
        <v>382</v>
      </c>
      <c r="E554">
        <v>2</v>
      </c>
      <c r="F554" t="str">
        <f>_xlfn.XLOOKUP(B554,Employee_Master!A:A,Employee_Master!E:E,"Not Found")</f>
        <v>IT</v>
      </c>
      <c r="G554" t="s">
        <v>381</v>
      </c>
      <c r="H554">
        <f t="shared" si="16"/>
        <v>2.2954545454545454</v>
      </c>
      <c r="I554">
        <f t="shared" si="17"/>
        <v>64.044943820224717</v>
      </c>
    </row>
    <row r="555" spans="1:9">
      <c r="A555">
        <v>554</v>
      </c>
      <c r="B555">
        <v>259</v>
      </c>
      <c r="C555" s="1">
        <v>46112</v>
      </c>
      <c r="D555" t="s">
        <v>384</v>
      </c>
      <c r="E555">
        <v>3</v>
      </c>
      <c r="F555" t="str">
        <f>_xlfn.XLOOKUP(B555,Employee_Master!A:A,Employee_Master!E:E,"Not Found")</f>
        <v>Customer Support</v>
      </c>
      <c r="G555" t="s">
        <v>381</v>
      </c>
      <c r="H555">
        <f t="shared" si="16"/>
        <v>2.2988505747126435</v>
      </c>
      <c r="I555">
        <f t="shared" si="17"/>
        <v>63.636363636363633</v>
      </c>
    </row>
    <row r="556" spans="1:9">
      <c r="A556">
        <v>555</v>
      </c>
      <c r="B556">
        <v>259</v>
      </c>
      <c r="C556" s="1">
        <v>46143</v>
      </c>
      <c r="D556" t="s">
        <v>384</v>
      </c>
      <c r="E556">
        <v>3</v>
      </c>
      <c r="F556" t="str">
        <f>_xlfn.XLOOKUP(B556,Employee_Master!A:A,Employee_Master!E:E,"Not Found")</f>
        <v>Customer Support</v>
      </c>
      <c r="G556" t="s">
        <v>385</v>
      </c>
      <c r="H556">
        <f t="shared" si="16"/>
        <v>2.2906976744186047</v>
      </c>
      <c r="I556">
        <f t="shared" si="17"/>
        <v>63.218390804597703</v>
      </c>
    </row>
    <row r="557" spans="1:9">
      <c r="A557">
        <v>556</v>
      </c>
      <c r="B557">
        <v>259</v>
      </c>
      <c r="C557" s="1">
        <v>45974</v>
      </c>
      <c r="D557" t="s">
        <v>380</v>
      </c>
      <c r="E557">
        <v>1</v>
      </c>
      <c r="F557" t="str">
        <f>_xlfn.XLOOKUP(B557,Employee_Master!A:A,Employee_Master!E:E,"Not Found")</f>
        <v>Customer Support</v>
      </c>
      <c r="G557" t="s">
        <v>386</v>
      </c>
      <c r="H557">
        <f t="shared" si="16"/>
        <v>2.2823529411764705</v>
      </c>
      <c r="I557">
        <f t="shared" si="17"/>
        <v>62.790697674418603</v>
      </c>
    </row>
    <row r="558" spans="1:9">
      <c r="A558">
        <v>557</v>
      </c>
      <c r="B558">
        <v>259</v>
      </c>
      <c r="C558" s="1">
        <v>46197</v>
      </c>
      <c r="D558" t="s">
        <v>384</v>
      </c>
      <c r="E558">
        <v>2</v>
      </c>
      <c r="F558" t="str">
        <f>_xlfn.XLOOKUP(B558,Employee_Master!A:A,Employee_Master!E:E,"Not Found")</f>
        <v>Customer Support</v>
      </c>
      <c r="G558" t="s">
        <v>385</v>
      </c>
      <c r="H558">
        <f t="shared" si="16"/>
        <v>2.2976190476190474</v>
      </c>
      <c r="I558">
        <f t="shared" si="17"/>
        <v>63.529411764705877</v>
      </c>
    </row>
    <row r="559" spans="1:9">
      <c r="A559">
        <v>558</v>
      </c>
      <c r="B559">
        <v>260</v>
      </c>
      <c r="C559" s="1">
        <v>46214</v>
      </c>
      <c r="D559" t="s">
        <v>383</v>
      </c>
      <c r="E559">
        <v>1</v>
      </c>
      <c r="F559" t="str">
        <f>_xlfn.XLOOKUP(B559,Employee_Master!A:A,Employee_Master!E:E,"Not Found")</f>
        <v>Finance</v>
      </c>
      <c r="G559" t="s">
        <v>386</v>
      </c>
      <c r="H559">
        <f t="shared" si="16"/>
        <v>2.3012048192771086</v>
      </c>
      <c r="I559">
        <f t="shared" si="17"/>
        <v>64.285714285714292</v>
      </c>
    </row>
    <row r="560" spans="1:9">
      <c r="A560">
        <v>559</v>
      </c>
      <c r="B560">
        <v>260</v>
      </c>
      <c r="C560" s="1">
        <v>45947</v>
      </c>
      <c r="D560" t="s">
        <v>383</v>
      </c>
      <c r="E560">
        <v>2</v>
      </c>
      <c r="F560" t="str">
        <f>_xlfn.XLOOKUP(B560,Employee_Master!A:A,Employee_Master!E:E,"Not Found")</f>
        <v>Finance</v>
      </c>
      <c r="G560" t="s">
        <v>381</v>
      </c>
      <c r="H560">
        <f t="shared" si="16"/>
        <v>2.3170731707317072</v>
      </c>
      <c r="I560">
        <f t="shared" si="17"/>
        <v>65.060240963855421</v>
      </c>
    </row>
    <row r="561" spans="1:9">
      <c r="A561">
        <v>560</v>
      </c>
      <c r="B561">
        <v>260</v>
      </c>
      <c r="C561" s="1">
        <v>46205</v>
      </c>
      <c r="D561" t="s">
        <v>382</v>
      </c>
      <c r="E561">
        <v>3</v>
      </c>
      <c r="F561" t="str">
        <f>_xlfn.XLOOKUP(B561,Employee_Master!A:A,Employee_Master!E:E,"Not Found")</f>
        <v>Finance</v>
      </c>
      <c r="G561" t="s">
        <v>381</v>
      </c>
      <c r="H561">
        <f t="shared" si="16"/>
        <v>2.3209876543209877</v>
      </c>
      <c r="I561">
        <f t="shared" si="17"/>
        <v>65.853658536585371</v>
      </c>
    </row>
    <row r="562" spans="1:9">
      <c r="A562">
        <v>561</v>
      </c>
      <c r="B562">
        <v>263</v>
      </c>
      <c r="C562" s="1">
        <v>46271</v>
      </c>
      <c r="D562" t="s">
        <v>380</v>
      </c>
      <c r="E562">
        <v>3</v>
      </c>
      <c r="F562" t="str">
        <f>_xlfn.XLOOKUP(B562,Employee_Master!A:A,Employee_Master!E:E,"Not Found")</f>
        <v>IT</v>
      </c>
      <c r="G562" t="s">
        <v>385</v>
      </c>
      <c r="H562">
        <f t="shared" si="16"/>
        <v>2.3125</v>
      </c>
      <c r="I562">
        <f t="shared" si="17"/>
        <v>65.432098765432102</v>
      </c>
    </row>
    <row r="563" spans="1:9">
      <c r="A563">
        <v>562</v>
      </c>
      <c r="B563">
        <v>263</v>
      </c>
      <c r="C563" s="1">
        <v>46009</v>
      </c>
      <c r="D563" t="s">
        <v>383</v>
      </c>
      <c r="E563">
        <v>3</v>
      </c>
      <c r="F563" t="str">
        <f>_xlfn.XLOOKUP(B563,Employee_Master!A:A,Employee_Master!E:E,"Not Found")</f>
        <v>IT</v>
      </c>
      <c r="G563" t="s">
        <v>385</v>
      </c>
      <c r="H563">
        <f t="shared" si="16"/>
        <v>2.3037974683544302</v>
      </c>
      <c r="I563">
        <f t="shared" si="17"/>
        <v>65</v>
      </c>
    </row>
    <row r="564" spans="1:9">
      <c r="A564">
        <v>563</v>
      </c>
      <c r="B564">
        <v>265</v>
      </c>
      <c r="C564" s="1">
        <v>46117</v>
      </c>
      <c r="D564" t="s">
        <v>384</v>
      </c>
      <c r="E564">
        <v>4</v>
      </c>
      <c r="F564" t="str">
        <f>_xlfn.XLOOKUP(B564,Employee_Master!A:A,Employee_Master!E:E,"Not Found")</f>
        <v>Sales</v>
      </c>
      <c r="G564" t="s">
        <v>381</v>
      </c>
      <c r="H564">
        <f t="shared" si="16"/>
        <v>2.2948717948717947</v>
      </c>
      <c r="I564">
        <f t="shared" si="17"/>
        <v>65.822784810126578</v>
      </c>
    </row>
    <row r="565" spans="1:9">
      <c r="A565">
        <v>564</v>
      </c>
      <c r="B565">
        <v>265</v>
      </c>
      <c r="C565" s="1">
        <v>46084</v>
      </c>
      <c r="D565" t="s">
        <v>382</v>
      </c>
      <c r="E565">
        <v>1</v>
      </c>
      <c r="F565" t="str">
        <f>_xlfn.XLOOKUP(B565,Employee_Master!A:A,Employee_Master!E:E,"Not Found")</f>
        <v>Sales</v>
      </c>
      <c r="G565" t="s">
        <v>381</v>
      </c>
      <c r="H565">
        <f t="shared" si="16"/>
        <v>2.2727272727272729</v>
      </c>
      <c r="I565">
        <f t="shared" si="17"/>
        <v>66.666666666666657</v>
      </c>
    </row>
    <row r="566" spans="1:9">
      <c r="A566">
        <v>565</v>
      </c>
      <c r="B566">
        <v>265</v>
      </c>
      <c r="C566" s="1">
        <v>46076</v>
      </c>
      <c r="D566" t="s">
        <v>383</v>
      </c>
      <c r="E566">
        <v>2</v>
      </c>
      <c r="F566" t="str">
        <f>_xlfn.XLOOKUP(B566,Employee_Master!A:A,Employee_Master!E:E,"Not Found")</f>
        <v>Sales</v>
      </c>
      <c r="G566" t="s">
        <v>381</v>
      </c>
      <c r="H566">
        <f t="shared" si="16"/>
        <v>2.2894736842105261</v>
      </c>
      <c r="I566">
        <f t="shared" si="17"/>
        <v>66.233766233766232</v>
      </c>
    </row>
    <row r="567" spans="1:9">
      <c r="A567">
        <v>566</v>
      </c>
      <c r="B567">
        <v>265</v>
      </c>
      <c r="C567" s="1">
        <v>46001</v>
      </c>
      <c r="D567" t="s">
        <v>384</v>
      </c>
      <c r="E567">
        <v>3</v>
      </c>
      <c r="F567" t="str">
        <f>_xlfn.XLOOKUP(B567,Employee_Master!A:A,Employee_Master!E:E,"Not Found")</f>
        <v>Sales</v>
      </c>
      <c r="G567" t="s">
        <v>381</v>
      </c>
      <c r="H567">
        <f t="shared" si="16"/>
        <v>2.2933333333333334</v>
      </c>
      <c r="I567">
        <f t="shared" si="17"/>
        <v>65.789473684210535</v>
      </c>
    </row>
    <row r="568" spans="1:9">
      <c r="A568">
        <v>567</v>
      </c>
      <c r="B568">
        <v>267</v>
      </c>
      <c r="C568" s="1">
        <v>46101</v>
      </c>
      <c r="D568" t="s">
        <v>383</v>
      </c>
      <c r="E568">
        <v>1</v>
      </c>
      <c r="F568" t="str">
        <f>_xlfn.XLOOKUP(B568,Employee_Master!A:A,Employee_Master!E:E,"Not Found")</f>
        <v>Sales</v>
      </c>
      <c r="G568" t="s">
        <v>381</v>
      </c>
      <c r="H568">
        <f t="shared" si="16"/>
        <v>2.2837837837837838</v>
      </c>
      <c r="I568">
        <f t="shared" si="17"/>
        <v>65.333333333333329</v>
      </c>
    </row>
    <row r="569" spans="1:9">
      <c r="A569">
        <v>568</v>
      </c>
      <c r="B569">
        <v>267</v>
      </c>
      <c r="C569" s="1">
        <v>46226</v>
      </c>
      <c r="D569" t="s">
        <v>380</v>
      </c>
      <c r="E569">
        <v>1</v>
      </c>
      <c r="F569" t="str">
        <f>_xlfn.XLOOKUP(B569,Employee_Master!A:A,Employee_Master!E:E,"Not Found")</f>
        <v>Sales</v>
      </c>
      <c r="G569" t="s">
        <v>381</v>
      </c>
      <c r="H569">
        <f t="shared" si="16"/>
        <v>2.3013698630136985</v>
      </c>
      <c r="I569">
        <f t="shared" si="17"/>
        <v>64.86486486486487</v>
      </c>
    </row>
    <row r="570" spans="1:9">
      <c r="A570">
        <v>569</v>
      </c>
      <c r="B570">
        <v>269</v>
      </c>
      <c r="C570" s="1">
        <v>46090</v>
      </c>
      <c r="D570" t="s">
        <v>384</v>
      </c>
      <c r="E570">
        <v>3</v>
      </c>
      <c r="F570" t="str">
        <f>_xlfn.XLOOKUP(B570,Employee_Master!A:A,Employee_Master!E:E,"Not Found")</f>
        <v>Customer Support</v>
      </c>
      <c r="G570" t="s">
        <v>386</v>
      </c>
      <c r="H570">
        <f t="shared" si="16"/>
        <v>2.3194444444444446</v>
      </c>
      <c r="I570">
        <f t="shared" si="17"/>
        <v>64.38356164383562</v>
      </c>
    </row>
    <row r="571" spans="1:9">
      <c r="A571">
        <v>570</v>
      </c>
      <c r="B571">
        <v>269</v>
      </c>
      <c r="C571" s="1">
        <v>46267</v>
      </c>
      <c r="D571" t="s">
        <v>383</v>
      </c>
      <c r="E571">
        <v>1</v>
      </c>
      <c r="F571" t="str">
        <f>_xlfn.XLOOKUP(B571,Employee_Master!A:A,Employee_Master!E:E,"Not Found")</f>
        <v>Customer Support</v>
      </c>
      <c r="G571" t="s">
        <v>385</v>
      </c>
      <c r="H571">
        <f t="shared" si="16"/>
        <v>2.3098591549295775</v>
      </c>
      <c r="I571">
        <f t="shared" si="17"/>
        <v>63.888888888888886</v>
      </c>
    </row>
    <row r="572" spans="1:9">
      <c r="A572">
        <v>571</v>
      </c>
      <c r="B572">
        <v>271</v>
      </c>
      <c r="C572" s="1">
        <v>46146</v>
      </c>
      <c r="D572" t="s">
        <v>384</v>
      </c>
      <c r="E572">
        <v>3</v>
      </c>
      <c r="F572" t="str">
        <f>_xlfn.XLOOKUP(B572,Employee_Master!A:A,Employee_Master!E:E,"Not Found")</f>
        <v>Operations</v>
      </c>
      <c r="G572" t="s">
        <v>381</v>
      </c>
      <c r="H572">
        <f t="shared" si="16"/>
        <v>2.3285714285714287</v>
      </c>
      <c r="I572">
        <f t="shared" si="17"/>
        <v>64.788732394366207</v>
      </c>
    </row>
    <row r="573" spans="1:9">
      <c r="A573">
        <v>572</v>
      </c>
      <c r="B573">
        <v>271</v>
      </c>
      <c r="C573" s="1">
        <v>45957</v>
      </c>
      <c r="D573" t="s">
        <v>380</v>
      </c>
      <c r="E573">
        <v>1</v>
      </c>
      <c r="F573" t="str">
        <f>_xlfn.XLOOKUP(B573,Employee_Master!A:A,Employee_Master!E:E,"Not Found")</f>
        <v>Operations</v>
      </c>
      <c r="G573" t="s">
        <v>381</v>
      </c>
      <c r="H573">
        <f t="shared" si="16"/>
        <v>2.318840579710145</v>
      </c>
      <c r="I573">
        <f t="shared" si="17"/>
        <v>65.714285714285708</v>
      </c>
    </row>
    <row r="574" spans="1:9">
      <c r="A574">
        <v>573</v>
      </c>
      <c r="B574">
        <v>272</v>
      </c>
      <c r="C574" s="1">
        <v>45933</v>
      </c>
      <c r="D574" t="s">
        <v>384</v>
      </c>
      <c r="E574">
        <v>4</v>
      </c>
      <c r="F574" t="str">
        <f>_xlfn.XLOOKUP(B574,Employee_Master!A:A,Employee_Master!E:E,"Not Found")</f>
        <v>HR</v>
      </c>
      <c r="G574" t="s">
        <v>381</v>
      </c>
      <c r="H574">
        <f t="shared" si="16"/>
        <v>2.3382352941176472</v>
      </c>
      <c r="I574">
        <f t="shared" si="17"/>
        <v>65.217391304347828</v>
      </c>
    </row>
    <row r="575" spans="1:9">
      <c r="A575">
        <v>574</v>
      </c>
      <c r="B575">
        <v>272</v>
      </c>
      <c r="C575" s="1">
        <v>46171</v>
      </c>
      <c r="D575" t="s">
        <v>383</v>
      </c>
      <c r="E575">
        <v>4</v>
      </c>
      <c r="F575" t="str">
        <f>_xlfn.XLOOKUP(B575,Employee_Master!A:A,Employee_Master!E:E,"Not Found")</f>
        <v>HR</v>
      </c>
      <c r="G575" t="s">
        <v>386</v>
      </c>
      <c r="H575">
        <f t="shared" si="16"/>
        <v>2.3134328358208953</v>
      </c>
      <c r="I575">
        <f t="shared" si="17"/>
        <v>64.705882352941174</v>
      </c>
    </row>
    <row r="576" spans="1:9">
      <c r="A576">
        <v>575</v>
      </c>
      <c r="B576">
        <v>272</v>
      </c>
      <c r="C576" s="1">
        <v>45985</v>
      </c>
      <c r="D576" t="s">
        <v>383</v>
      </c>
      <c r="E576">
        <v>2</v>
      </c>
      <c r="F576" t="str">
        <f>_xlfn.XLOOKUP(B576,Employee_Master!A:A,Employee_Master!E:E,"Not Found")</f>
        <v>HR</v>
      </c>
      <c r="G576" t="s">
        <v>386</v>
      </c>
      <c r="H576">
        <f t="shared" si="16"/>
        <v>2.2878787878787881</v>
      </c>
      <c r="I576">
        <f t="shared" si="17"/>
        <v>64.179104477611943</v>
      </c>
    </row>
    <row r="577" spans="1:9">
      <c r="A577">
        <v>576</v>
      </c>
      <c r="B577">
        <v>272</v>
      </c>
      <c r="C577" s="1">
        <v>46218</v>
      </c>
      <c r="D577" t="s">
        <v>380</v>
      </c>
      <c r="E577">
        <v>1</v>
      </c>
      <c r="F577" t="str">
        <f>_xlfn.XLOOKUP(B577,Employee_Master!A:A,Employee_Master!E:E,"Not Found")</f>
        <v>HR</v>
      </c>
      <c r="G577" t="s">
        <v>381</v>
      </c>
      <c r="H577">
        <f t="shared" si="16"/>
        <v>2.2923076923076922</v>
      </c>
      <c r="I577">
        <f t="shared" si="17"/>
        <v>65.151515151515156</v>
      </c>
    </row>
    <row r="578" spans="1:9">
      <c r="A578">
        <v>577</v>
      </c>
      <c r="B578">
        <v>273</v>
      </c>
      <c r="C578" s="1">
        <v>46025</v>
      </c>
      <c r="D578" t="s">
        <v>384</v>
      </c>
      <c r="E578">
        <v>1</v>
      </c>
      <c r="F578" t="str">
        <f>_xlfn.XLOOKUP(B578,Employee_Master!A:A,Employee_Master!E:E,"Not Found")</f>
        <v>Marketing</v>
      </c>
      <c r="G578" t="s">
        <v>385</v>
      </c>
      <c r="H578">
        <f t="shared" ref="H578:H641" si="18">AVERAGE(E578:E1217)</f>
        <v>2.3125</v>
      </c>
      <c r="I578">
        <f t="shared" ref="I578:I641" si="19">COUNTIF(G577:G1216,"Approved")/COUNTA(G577:G1216)*100</f>
        <v>66.153846153846146</v>
      </c>
    </row>
    <row r="579" spans="1:9">
      <c r="A579">
        <v>578</v>
      </c>
      <c r="B579">
        <v>274</v>
      </c>
      <c r="C579" s="1">
        <v>46293</v>
      </c>
      <c r="D579" t="s">
        <v>380</v>
      </c>
      <c r="E579">
        <v>2</v>
      </c>
      <c r="F579" t="str">
        <f>_xlfn.XLOOKUP(B579,Employee_Master!A:A,Employee_Master!E:E,"Not Found")</f>
        <v>Sales</v>
      </c>
      <c r="G579" t="s">
        <v>386</v>
      </c>
      <c r="H579">
        <f t="shared" si="18"/>
        <v>2.3333333333333335</v>
      </c>
      <c r="I579">
        <f t="shared" si="19"/>
        <v>65.625</v>
      </c>
    </row>
    <row r="580" spans="1:9">
      <c r="A580">
        <v>579</v>
      </c>
      <c r="B580">
        <v>275</v>
      </c>
      <c r="C580" s="1">
        <v>46139</v>
      </c>
      <c r="D580" t="s">
        <v>384</v>
      </c>
      <c r="E580">
        <v>3</v>
      </c>
      <c r="F580" t="str">
        <f>_xlfn.XLOOKUP(B580,Employee_Master!A:A,Employee_Master!E:E,"Not Found")</f>
        <v>Marketing</v>
      </c>
      <c r="G580" t="s">
        <v>386</v>
      </c>
      <c r="H580">
        <f t="shared" si="18"/>
        <v>2.338709677419355</v>
      </c>
      <c r="I580">
        <f t="shared" si="19"/>
        <v>66.666666666666657</v>
      </c>
    </row>
    <row r="581" spans="1:9">
      <c r="A581">
        <v>580</v>
      </c>
      <c r="B581">
        <v>276</v>
      </c>
      <c r="C581" s="1">
        <v>46183</v>
      </c>
      <c r="D581" t="s">
        <v>380</v>
      </c>
      <c r="E581">
        <v>1</v>
      </c>
      <c r="F581" t="str">
        <f>_xlfn.XLOOKUP(B581,Employee_Master!A:A,Employee_Master!E:E,"Not Found")</f>
        <v>HR</v>
      </c>
      <c r="G581" t="s">
        <v>385</v>
      </c>
      <c r="H581">
        <f t="shared" si="18"/>
        <v>2.3278688524590163</v>
      </c>
      <c r="I581">
        <f t="shared" si="19"/>
        <v>67.741935483870961</v>
      </c>
    </row>
    <row r="582" spans="1:9">
      <c r="A582">
        <v>581</v>
      </c>
      <c r="B582">
        <v>277</v>
      </c>
      <c r="C582" s="1">
        <v>46244</v>
      </c>
      <c r="D582" t="s">
        <v>382</v>
      </c>
      <c r="E582">
        <v>2</v>
      </c>
      <c r="F582" t="str">
        <f>_xlfn.XLOOKUP(B582,Employee_Master!A:A,Employee_Master!E:E,"Not Found")</f>
        <v>Marketing</v>
      </c>
      <c r="G582" t="s">
        <v>386</v>
      </c>
      <c r="H582">
        <f t="shared" si="18"/>
        <v>2.35</v>
      </c>
      <c r="I582">
        <f t="shared" si="19"/>
        <v>68.852459016393439</v>
      </c>
    </row>
    <row r="583" spans="1:9">
      <c r="A583">
        <v>582</v>
      </c>
      <c r="B583">
        <v>278</v>
      </c>
      <c r="C583" s="1">
        <v>46107</v>
      </c>
      <c r="D583" t="s">
        <v>380</v>
      </c>
      <c r="E583">
        <v>4</v>
      </c>
      <c r="F583" t="str">
        <f>_xlfn.XLOOKUP(B583,Employee_Master!A:A,Employee_Master!E:E,"Not Found")</f>
        <v>Finance</v>
      </c>
      <c r="G583" t="s">
        <v>386</v>
      </c>
      <c r="H583">
        <f t="shared" si="18"/>
        <v>2.3559322033898304</v>
      </c>
      <c r="I583">
        <f t="shared" si="19"/>
        <v>70</v>
      </c>
    </row>
    <row r="584" spans="1:9">
      <c r="A584">
        <v>583</v>
      </c>
      <c r="B584">
        <v>278</v>
      </c>
      <c r="C584" s="1">
        <v>46141</v>
      </c>
      <c r="D584" t="s">
        <v>383</v>
      </c>
      <c r="E584">
        <v>3</v>
      </c>
      <c r="F584" t="str">
        <f>_xlfn.XLOOKUP(B584,Employee_Master!A:A,Employee_Master!E:E,"Not Found")</f>
        <v>Finance</v>
      </c>
      <c r="G584" t="s">
        <v>381</v>
      </c>
      <c r="H584">
        <f t="shared" si="18"/>
        <v>2.3275862068965516</v>
      </c>
      <c r="I584">
        <f t="shared" si="19"/>
        <v>71.186440677966104</v>
      </c>
    </row>
    <row r="585" spans="1:9">
      <c r="A585">
        <v>584</v>
      </c>
      <c r="B585">
        <v>279</v>
      </c>
      <c r="C585" s="1">
        <v>45994</v>
      </c>
      <c r="D585" t="s">
        <v>382</v>
      </c>
      <c r="E585">
        <v>3</v>
      </c>
      <c r="F585" t="str">
        <f>_xlfn.XLOOKUP(B585,Employee_Master!A:A,Employee_Master!E:E,"Not Found")</f>
        <v>Sales</v>
      </c>
      <c r="G585" t="s">
        <v>386</v>
      </c>
      <c r="H585">
        <f t="shared" si="18"/>
        <v>2.3157894736842106</v>
      </c>
      <c r="I585">
        <f t="shared" si="19"/>
        <v>72.41379310344827</v>
      </c>
    </row>
    <row r="586" spans="1:9">
      <c r="A586">
        <v>585</v>
      </c>
      <c r="B586">
        <v>279</v>
      </c>
      <c r="C586" s="1">
        <v>46185</v>
      </c>
      <c r="D586" t="s">
        <v>384</v>
      </c>
      <c r="E586">
        <v>1</v>
      </c>
      <c r="F586" t="str">
        <f>_xlfn.XLOOKUP(B586,Employee_Master!A:A,Employee_Master!E:E,"Not Found")</f>
        <v>Sales</v>
      </c>
      <c r="G586" t="s">
        <v>385</v>
      </c>
      <c r="H586">
        <f t="shared" si="18"/>
        <v>2.3035714285714284</v>
      </c>
      <c r="I586">
        <f t="shared" si="19"/>
        <v>71.929824561403507</v>
      </c>
    </row>
    <row r="587" spans="1:9">
      <c r="A587">
        <v>586</v>
      </c>
      <c r="B587">
        <v>279</v>
      </c>
      <c r="C587" s="1">
        <v>46233</v>
      </c>
      <c r="D587" t="s">
        <v>380</v>
      </c>
      <c r="E587">
        <v>3</v>
      </c>
      <c r="F587" t="str">
        <f>_xlfn.XLOOKUP(B587,Employee_Master!A:A,Employee_Master!E:E,"Not Found")</f>
        <v>Sales</v>
      </c>
      <c r="G587" t="s">
        <v>381</v>
      </c>
      <c r="H587">
        <f t="shared" si="18"/>
        <v>2.3272727272727272</v>
      </c>
      <c r="I587">
        <f t="shared" si="19"/>
        <v>73.214285714285708</v>
      </c>
    </row>
    <row r="588" spans="1:9">
      <c r="A588">
        <v>587</v>
      </c>
      <c r="B588">
        <v>279</v>
      </c>
      <c r="C588" s="1">
        <v>46226</v>
      </c>
      <c r="D588" t="s">
        <v>380</v>
      </c>
      <c r="E588">
        <v>1</v>
      </c>
      <c r="F588" t="str">
        <f>_xlfn.XLOOKUP(B588,Employee_Master!A:A,Employee_Master!E:E,"Not Found")</f>
        <v>Sales</v>
      </c>
      <c r="G588" t="s">
        <v>381</v>
      </c>
      <c r="H588">
        <f t="shared" si="18"/>
        <v>2.3148148148148149</v>
      </c>
      <c r="I588">
        <f t="shared" si="19"/>
        <v>74.545454545454547</v>
      </c>
    </row>
    <row r="589" spans="1:9">
      <c r="A589">
        <v>588</v>
      </c>
      <c r="B589">
        <v>280</v>
      </c>
      <c r="C589" s="1">
        <v>46295</v>
      </c>
      <c r="D589" t="s">
        <v>384</v>
      </c>
      <c r="E589">
        <v>2</v>
      </c>
      <c r="F589" t="str">
        <f>_xlfn.XLOOKUP(B589,Employee_Master!A:A,Employee_Master!E:E,"Not Found")</f>
        <v>IT</v>
      </c>
      <c r="G589" t="s">
        <v>381</v>
      </c>
      <c r="H589">
        <f t="shared" si="18"/>
        <v>2.3396226415094339</v>
      </c>
      <c r="I589">
        <f t="shared" si="19"/>
        <v>74.074074074074076</v>
      </c>
    </row>
    <row r="590" spans="1:9">
      <c r="A590">
        <v>589</v>
      </c>
      <c r="B590">
        <v>283</v>
      </c>
      <c r="C590" s="1">
        <v>45999</v>
      </c>
      <c r="D590" t="s">
        <v>380</v>
      </c>
      <c r="E590">
        <v>3</v>
      </c>
      <c r="F590" t="str">
        <f>_xlfn.XLOOKUP(B590,Employee_Master!A:A,Employee_Master!E:E,"Not Found")</f>
        <v>IT</v>
      </c>
      <c r="G590" t="s">
        <v>381</v>
      </c>
      <c r="H590">
        <f t="shared" si="18"/>
        <v>2.3461538461538463</v>
      </c>
      <c r="I590">
        <f t="shared" si="19"/>
        <v>73.584905660377359</v>
      </c>
    </row>
    <row r="591" spans="1:9">
      <c r="A591">
        <v>590</v>
      </c>
      <c r="B591">
        <v>283</v>
      </c>
      <c r="C591" s="1">
        <v>46225</v>
      </c>
      <c r="D591" t="s">
        <v>384</v>
      </c>
      <c r="E591">
        <v>2</v>
      </c>
      <c r="F591" t="str">
        <f>_xlfn.XLOOKUP(B591,Employee_Master!A:A,Employee_Master!E:E,"Not Found")</f>
        <v>IT</v>
      </c>
      <c r="G591" t="s">
        <v>381</v>
      </c>
      <c r="H591">
        <f t="shared" si="18"/>
        <v>2.3333333333333335</v>
      </c>
      <c r="I591">
        <f t="shared" si="19"/>
        <v>73.076923076923066</v>
      </c>
    </row>
    <row r="592" spans="1:9">
      <c r="A592">
        <v>591</v>
      </c>
      <c r="B592">
        <v>283</v>
      </c>
      <c r="C592" s="1">
        <v>46287</v>
      </c>
      <c r="D592" t="s">
        <v>384</v>
      </c>
      <c r="E592">
        <v>4</v>
      </c>
      <c r="F592" t="str">
        <f>_xlfn.XLOOKUP(B592,Employee_Master!A:A,Employee_Master!E:E,"Not Found")</f>
        <v>IT</v>
      </c>
      <c r="G592" t="s">
        <v>381</v>
      </c>
      <c r="H592">
        <f t="shared" si="18"/>
        <v>2.34</v>
      </c>
      <c r="I592">
        <f t="shared" si="19"/>
        <v>72.549019607843135</v>
      </c>
    </row>
    <row r="593" spans="1:9">
      <c r="A593">
        <v>592</v>
      </c>
      <c r="B593">
        <v>284</v>
      </c>
      <c r="C593" s="1">
        <v>46036</v>
      </c>
      <c r="D593" t="s">
        <v>382</v>
      </c>
      <c r="E593">
        <v>2</v>
      </c>
      <c r="F593" t="str">
        <f>_xlfn.XLOOKUP(B593,Employee_Master!A:A,Employee_Master!E:E,"Not Found")</f>
        <v>Sales</v>
      </c>
      <c r="G593" t="s">
        <v>381</v>
      </c>
      <c r="H593">
        <f t="shared" si="18"/>
        <v>2.306122448979592</v>
      </c>
      <c r="I593">
        <f t="shared" si="19"/>
        <v>72</v>
      </c>
    </row>
    <row r="594" spans="1:9">
      <c r="A594">
        <v>593</v>
      </c>
      <c r="B594">
        <v>284</v>
      </c>
      <c r="C594" s="1">
        <v>46262</v>
      </c>
      <c r="D594" t="s">
        <v>384</v>
      </c>
      <c r="E594">
        <v>3</v>
      </c>
      <c r="F594" t="str">
        <f>_xlfn.XLOOKUP(B594,Employee_Master!A:A,Employee_Master!E:E,"Not Found")</f>
        <v>Sales</v>
      </c>
      <c r="G594" t="s">
        <v>381</v>
      </c>
      <c r="H594">
        <f t="shared" si="18"/>
        <v>2.3125</v>
      </c>
      <c r="I594">
        <f t="shared" si="19"/>
        <v>71.428571428571431</v>
      </c>
    </row>
    <row r="595" spans="1:9">
      <c r="A595">
        <v>594</v>
      </c>
      <c r="B595">
        <v>285</v>
      </c>
      <c r="C595" s="1">
        <v>46124</v>
      </c>
      <c r="D595" t="s">
        <v>383</v>
      </c>
      <c r="E595">
        <v>4</v>
      </c>
      <c r="F595" t="str">
        <f>_xlfn.XLOOKUP(B595,Employee_Master!A:A,Employee_Master!E:E,"Not Found")</f>
        <v>IT</v>
      </c>
      <c r="G595" t="s">
        <v>381</v>
      </c>
      <c r="H595">
        <f t="shared" si="18"/>
        <v>2.2978723404255321</v>
      </c>
      <c r="I595">
        <f t="shared" si="19"/>
        <v>70.833333333333343</v>
      </c>
    </row>
    <row r="596" spans="1:9">
      <c r="A596">
        <v>595</v>
      </c>
      <c r="B596">
        <v>285</v>
      </c>
      <c r="C596" s="1">
        <v>46256</v>
      </c>
      <c r="D596" t="s">
        <v>380</v>
      </c>
      <c r="E596">
        <v>2</v>
      </c>
      <c r="F596" t="str">
        <f>_xlfn.XLOOKUP(B596,Employee_Master!A:A,Employee_Master!E:E,"Not Found")</f>
        <v>IT</v>
      </c>
      <c r="G596" t="s">
        <v>385</v>
      </c>
      <c r="H596">
        <f t="shared" si="18"/>
        <v>2.2608695652173911</v>
      </c>
      <c r="I596">
        <f t="shared" si="19"/>
        <v>70.212765957446805</v>
      </c>
    </row>
    <row r="597" spans="1:9">
      <c r="A597">
        <v>596</v>
      </c>
      <c r="B597">
        <v>285</v>
      </c>
      <c r="C597" s="1">
        <v>46111</v>
      </c>
      <c r="D597" t="s">
        <v>380</v>
      </c>
      <c r="E597">
        <v>2</v>
      </c>
      <c r="F597" t="str">
        <f>_xlfn.XLOOKUP(B597,Employee_Master!A:A,Employee_Master!E:E,"Not Found")</f>
        <v>IT</v>
      </c>
      <c r="G597" t="s">
        <v>385</v>
      </c>
      <c r="H597">
        <f t="shared" si="18"/>
        <v>2.2666666666666666</v>
      </c>
      <c r="I597">
        <f t="shared" si="19"/>
        <v>69.565217391304344</v>
      </c>
    </row>
    <row r="598" spans="1:9">
      <c r="A598">
        <v>597</v>
      </c>
      <c r="B598">
        <v>286</v>
      </c>
      <c r="C598" s="1">
        <v>46071</v>
      </c>
      <c r="D598" t="s">
        <v>382</v>
      </c>
      <c r="E598">
        <v>1</v>
      </c>
      <c r="F598" t="str">
        <f>_xlfn.XLOOKUP(B598,Employee_Master!A:A,Employee_Master!E:E,"Not Found")</f>
        <v>IT</v>
      </c>
      <c r="G598" t="s">
        <v>381</v>
      </c>
      <c r="H598">
        <f t="shared" si="18"/>
        <v>2.2727272727272729</v>
      </c>
      <c r="I598">
        <f t="shared" si="19"/>
        <v>71.111111111111114</v>
      </c>
    </row>
    <row r="599" spans="1:9">
      <c r="A599">
        <v>598</v>
      </c>
      <c r="B599">
        <v>286</v>
      </c>
      <c r="C599" s="1">
        <v>45932</v>
      </c>
      <c r="D599" t="s">
        <v>382</v>
      </c>
      <c r="E599">
        <v>4</v>
      </c>
      <c r="F599" t="str">
        <f>_xlfn.XLOOKUP(B599,Employee_Master!A:A,Employee_Master!E:E,"Not Found")</f>
        <v>IT</v>
      </c>
      <c r="G599" t="s">
        <v>381</v>
      </c>
      <c r="H599">
        <f t="shared" si="18"/>
        <v>2.3023255813953489</v>
      </c>
      <c r="I599">
        <f t="shared" si="19"/>
        <v>72.727272727272734</v>
      </c>
    </row>
    <row r="600" spans="1:9">
      <c r="A600">
        <v>599</v>
      </c>
      <c r="B600">
        <v>286</v>
      </c>
      <c r="C600" s="1">
        <v>45962</v>
      </c>
      <c r="D600" t="s">
        <v>384</v>
      </c>
      <c r="E600">
        <v>4</v>
      </c>
      <c r="F600" t="str">
        <f>_xlfn.XLOOKUP(B600,Employee_Master!A:A,Employee_Master!E:E,"Not Found")</f>
        <v>IT</v>
      </c>
      <c r="G600" t="s">
        <v>386</v>
      </c>
      <c r="H600">
        <f t="shared" si="18"/>
        <v>2.2619047619047619</v>
      </c>
      <c r="I600">
        <f t="shared" si="19"/>
        <v>72.093023255813947</v>
      </c>
    </row>
    <row r="601" spans="1:9">
      <c r="A601">
        <v>600</v>
      </c>
      <c r="B601">
        <v>287</v>
      </c>
      <c r="C601" s="1">
        <v>46035</v>
      </c>
      <c r="D601" t="s">
        <v>382</v>
      </c>
      <c r="E601">
        <v>1</v>
      </c>
      <c r="F601" t="str">
        <f>_xlfn.XLOOKUP(B601,Employee_Master!A:A,Employee_Master!E:E,"Not Found")</f>
        <v>Sales</v>
      </c>
      <c r="G601" t="s">
        <v>381</v>
      </c>
      <c r="H601">
        <f t="shared" si="18"/>
        <v>2.2195121951219514</v>
      </c>
      <c r="I601">
        <f t="shared" si="19"/>
        <v>71.428571428571431</v>
      </c>
    </row>
    <row r="602" spans="1:9">
      <c r="A602">
        <v>601</v>
      </c>
      <c r="B602">
        <v>287</v>
      </c>
      <c r="C602" s="1">
        <v>46003</v>
      </c>
      <c r="D602" t="s">
        <v>383</v>
      </c>
      <c r="E602">
        <v>3</v>
      </c>
      <c r="F602" t="str">
        <f>_xlfn.XLOOKUP(B602,Employee_Master!A:A,Employee_Master!E:E,"Not Found")</f>
        <v>Sales</v>
      </c>
      <c r="G602" t="s">
        <v>381</v>
      </c>
      <c r="H602">
        <f t="shared" si="18"/>
        <v>2.25</v>
      </c>
      <c r="I602">
        <f t="shared" si="19"/>
        <v>73.170731707317074</v>
      </c>
    </row>
    <row r="603" spans="1:9">
      <c r="A603">
        <v>602</v>
      </c>
      <c r="B603">
        <v>288</v>
      </c>
      <c r="C603" s="1">
        <v>45938</v>
      </c>
      <c r="D603" t="s">
        <v>382</v>
      </c>
      <c r="E603">
        <v>1</v>
      </c>
      <c r="F603" t="str">
        <f>_xlfn.XLOOKUP(B603,Employee_Master!A:A,Employee_Master!E:E,"Not Found")</f>
        <v>IT</v>
      </c>
      <c r="G603" t="s">
        <v>386</v>
      </c>
      <c r="H603">
        <f t="shared" si="18"/>
        <v>2.2307692307692308</v>
      </c>
      <c r="I603">
        <f t="shared" si="19"/>
        <v>72.5</v>
      </c>
    </row>
    <row r="604" spans="1:9">
      <c r="A604">
        <v>603</v>
      </c>
      <c r="B604">
        <v>288</v>
      </c>
      <c r="C604" s="1">
        <v>46163</v>
      </c>
      <c r="D604" t="s">
        <v>383</v>
      </c>
      <c r="E604">
        <v>3</v>
      </c>
      <c r="F604" t="str">
        <f>_xlfn.XLOOKUP(B604,Employee_Master!A:A,Employee_Master!E:E,"Not Found")</f>
        <v>IT</v>
      </c>
      <c r="G604" t="s">
        <v>381</v>
      </c>
      <c r="H604">
        <f t="shared" si="18"/>
        <v>2.263157894736842</v>
      </c>
      <c r="I604">
        <f t="shared" si="19"/>
        <v>71.794871794871796</v>
      </c>
    </row>
    <row r="605" spans="1:9">
      <c r="A605">
        <v>604</v>
      </c>
      <c r="B605">
        <v>288</v>
      </c>
      <c r="C605" s="1">
        <v>46161</v>
      </c>
      <c r="D605" t="s">
        <v>380</v>
      </c>
      <c r="E605">
        <v>3</v>
      </c>
      <c r="F605" t="str">
        <f>_xlfn.XLOOKUP(B605,Employee_Master!A:A,Employee_Master!E:E,"Not Found")</f>
        <v>IT</v>
      </c>
      <c r="G605" t="s">
        <v>385</v>
      </c>
      <c r="H605">
        <f t="shared" si="18"/>
        <v>2.2432432432432434</v>
      </c>
      <c r="I605">
        <f t="shared" si="19"/>
        <v>73.68421052631578</v>
      </c>
    </row>
    <row r="606" spans="1:9">
      <c r="A606">
        <v>605</v>
      </c>
      <c r="B606">
        <v>289</v>
      </c>
      <c r="C606" s="1">
        <v>46069</v>
      </c>
      <c r="D606" t="s">
        <v>380</v>
      </c>
      <c r="E606">
        <v>4</v>
      </c>
      <c r="F606" t="str">
        <f>_xlfn.XLOOKUP(B606,Employee_Master!A:A,Employee_Master!E:E,"Not Found")</f>
        <v>Customer Support</v>
      </c>
      <c r="G606" t="s">
        <v>381</v>
      </c>
      <c r="H606">
        <f t="shared" si="18"/>
        <v>2.2222222222222223</v>
      </c>
      <c r="I606">
        <f t="shared" si="19"/>
        <v>72.972972972972968</v>
      </c>
    </row>
    <row r="607" spans="1:9">
      <c r="A607">
        <v>606</v>
      </c>
      <c r="B607">
        <v>289</v>
      </c>
      <c r="C607" s="1">
        <v>46155</v>
      </c>
      <c r="D607" t="s">
        <v>380</v>
      </c>
      <c r="E607">
        <v>1</v>
      </c>
      <c r="F607" t="str">
        <f>_xlfn.XLOOKUP(B607,Employee_Master!A:A,Employee_Master!E:E,"Not Found")</f>
        <v>Customer Support</v>
      </c>
      <c r="G607" t="s">
        <v>381</v>
      </c>
      <c r="H607">
        <f t="shared" si="18"/>
        <v>2.1714285714285713</v>
      </c>
      <c r="I607">
        <f t="shared" si="19"/>
        <v>75</v>
      </c>
    </row>
    <row r="608" spans="1:9">
      <c r="A608">
        <v>607</v>
      </c>
      <c r="B608">
        <v>289</v>
      </c>
      <c r="C608" s="1">
        <v>46261</v>
      </c>
      <c r="D608" t="s">
        <v>382</v>
      </c>
      <c r="E608">
        <v>4</v>
      </c>
      <c r="F608" t="str">
        <f>_xlfn.XLOOKUP(B608,Employee_Master!A:A,Employee_Master!E:E,"Not Found")</f>
        <v>Customer Support</v>
      </c>
      <c r="G608" t="s">
        <v>381</v>
      </c>
      <c r="H608">
        <f t="shared" si="18"/>
        <v>2.2058823529411766</v>
      </c>
      <c r="I608">
        <f t="shared" si="19"/>
        <v>74.285714285714292</v>
      </c>
    </row>
    <row r="609" spans="1:12">
      <c r="A609">
        <v>608</v>
      </c>
      <c r="B609">
        <v>290</v>
      </c>
      <c r="C609" s="1">
        <v>46191</v>
      </c>
      <c r="D609" t="s">
        <v>380</v>
      </c>
      <c r="E609">
        <v>1</v>
      </c>
      <c r="F609" t="str">
        <f>_xlfn.XLOOKUP(B609,Employee_Master!A:A,Employee_Master!E:E,"Not Found")</f>
        <v>Customer Support</v>
      </c>
      <c r="G609" t="s">
        <v>381</v>
      </c>
      <c r="H609">
        <f t="shared" si="18"/>
        <v>2.1515151515151514</v>
      </c>
      <c r="I609">
        <f t="shared" si="19"/>
        <v>73.529411764705884</v>
      </c>
    </row>
    <row r="610" spans="1:12">
      <c r="A610">
        <v>609</v>
      </c>
      <c r="B610">
        <v>290</v>
      </c>
      <c r="C610" s="1">
        <v>46120</v>
      </c>
      <c r="D610" t="s">
        <v>383</v>
      </c>
      <c r="E610">
        <v>1</v>
      </c>
      <c r="F610" t="str">
        <f>_xlfn.XLOOKUP(B610,Employee_Master!A:A,Employee_Master!E:E,"Not Found")</f>
        <v>Customer Support</v>
      </c>
      <c r="G610" t="s">
        <v>381</v>
      </c>
      <c r="H610">
        <f t="shared" si="18"/>
        <v>2.1875</v>
      </c>
      <c r="I610">
        <f t="shared" si="19"/>
        <v>72.727272727272734</v>
      </c>
    </row>
    <row r="611" spans="1:12">
      <c r="A611">
        <v>610</v>
      </c>
      <c r="B611">
        <v>290</v>
      </c>
      <c r="C611" s="1">
        <v>46268</v>
      </c>
      <c r="D611" t="s">
        <v>383</v>
      </c>
      <c r="E611">
        <v>4</v>
      </c>
      <c r="F611" t="str">
        <f>_xlfn.XLOOKUP(B611,Employee_Master!A:A,Employee_Master!E:E,"Not Found")</f>
        <v>Customer Support</v>
      </c>
      <c r="G611" t="s">
        <v>381</v>
      </c>
      <c r="H611">
        <f t="shared" si="18"/>
        <v>2.225806451612903</v>
      </c>
      <c r="I611">
        <f t="shared" si="19"/>
        <v>71.875</v>
      </c>
    </row>
    <row r="612" spans="1:12">
      <c r="A612">
        <v>611</v>
      </c>
      <c r="B612">
        <v>290</v>
      </c>
      <c r="C612" s="1">
        <v>45963</v>
      </c>
      <c r="D612" t="s">
        <v>384</v>
      </c>
      <c r="E612">
        <v>2</v>
      </c>
      <c r="F612" t="str">
        <f>_xlfn.XLOOKUP(B612,Employee_Master!A:A,Employee_Master!E:E,"Not Found")</f>
        <v>Customer Support</v>
      </c>
      <c r="G612" t="s">
        <v>381</v>
      </c>
      <c r="H612">
        <f t="shared" si="18"/>
        <v>2.1666666666666665</v>
      </c>
      <c r="I612">
        <f t="shared" si="19"/>
        <v>70.967741935483872</v>
      </c>
    </row>
    <row r="613" spans="1:12">
      <c r="A613">
        <v>612</v>
      </c>
      <c r="B613">
        <v>291</v>
      </c>
      <c r="C613" s="1">
        <v>46056</v>
      </c>
      <c r="D613" t="s">
        <v>380</v>
      </c>
      <c r="E613">
        <v>4</v>
      </c>
      <c r="F613" t="str">
        <f>_xlfn.XLOOKUP(B613,Employee_Master!A:A,Employee_Master!E:E,"Not Found")</f>
        <v>Sales</v>
      </c>
      <c r="G613" t="s">
        <v>386</v>
      </c>
      <c r="H613">
        <f t="shared" si="18"/>
        <v>2.1724137931034484</v>
      </c>
      <c r="I613">
        <f t="shared" si="19"/>
        <v>70</v>
      </c>
    </row>
    <row r="614" spans="1:12">
      <c r="A614">
        <v>613</v>
      </c>
      <c r="B614">
        <v>291</v>
      </c>
      <c r="C614" s="1">
        <v>45932</v>
      </c>
      <c r="D614" t="s">
        <v>380</v>
      </c>
      <c r="E614">
        <v>1</v>
      </c>
      <c r="F614" t="str">
        <f>_xlfn.XLOOKUP(B614,Employee_Master!A:A,Employee_Master!E:E,"Not Found")</f>
        <v>Sales</v>
      </c>
      <c r="G614" t="s">
        <v>381</v>
      </c>
      <c r="H614">
        <f t="shared" si="18"/>
        <v>2.1071428571428572</v>
      </c>
      <c r="I614">
        <f t="shared" si="19"/>
        <v>68.965517241379317</v>
      </c>
    </row>
    <row r="615" spans="1:12">
      <c r="A615">
        <v>614</v>
      </c>
      <c r="B615">
        <v>292</v>
      </c>
      <c r="C615" s="1">
        <v>46145</v>
      </c>
      <c r="D615" t="s">
        <v>383</v>
      </c>
      <c r="E615">
        <v>1</v>
      </c>
      <c r="F615" t="str">
        <f>_xlfn.XLOOKUP(B615,Employee_Master!A:A,Employee_Master!E:E,"Not Found")</f>
        <v>HR</v>
      </c>
      <c r="G615" t="s">
        <v>385</v>
      </c>
      <c r="H615">
        <f t="shared" si="18"/>
        <v>2.1481481481481484</v>
      </c>
      <c r="I615">
        <f t="shared" si="19"/>
        <v>71.428571428571431</v>
      </c>
    </row>
    <row r="616" spans="1:12">
      <c r="A616">
        <v>615</v>
      </c>
      <c r="B616">
        <v>292</v>
      </c>
      <c r="C616" s="1">
        <v>46030</v>
      </c>
      <c r="D616" t="s">
        <v>380</v>
      </c>
      <c r="E616">
        <v>1</v>
      </c>
      <c r="F616" t="str">
        <f>_xlfn.XLOOKUP(B616,Employee_Master!A:A,Employee_Master!E:E,"Not Found")</f>
        <v>HR</v>
      </c>
      <c r="G616" t="s">
        <v>381</v>
      </c>
      <c r="H616">
        <f t="shared" si="18"/>
        <v>2.1923076923076925</v>
      </c>
      <c r="I616">
        <f t="shared" si="19"/>
        <v>70.370370370370367</v>
      </c>
    </row>
    <row r="617" spans="1:12">
      <c r="A617">
        <v>616</v>
      </c>
      <c r="B617">
        <v>292</v>
      </c>
      <c r="C617" s="1">
        <v>46148</v>
      </c>
      <c r="D617" t="s">
        <v>383</v>
      </c>
      <c r="E617">
        <v>3</v>
      </c>
      <c r="F617" t="str">
        <f>_xlfn.XLOOKUP(B617,Employee_Master!A:A,Employee_Master!E:E,"Not Found")</f>
        <v>HR</v>
      </c>
      <c r="G617" t="s">
        <v>386</v>
      </c>
      <c r="H617">
        <f t="shared" si="18"/>
        <v>2.2400000000000002</v>
      </c>
      <c r="I617">
        <f t="shared" si="19"/>
        <v>73.076923076923066</v>
      </c>
    </row>
    <row r="618" spans="1:12">
      <c r="A618">
        <v>617</v>
      </c>
      <c r="B618">
        <v>292</v>
      </c>
      <c r="C618" s="1">
        <v>46033</v>
      </c>
      <c r="D618" t="s">
        <v>382</v>
      </c>
      <c r="E618">
        <v>3</v>
      </c>
      <c r="F618" t="str">
        <f>_xlfn.XLOOKUP(B618,Employee_Master!A:A,Employee_Master!E:E,"Not Found")</f>
        <v>HR</v>
      </c>
      <c r="G618" t="s">
        <v>381</v>
      </c>
      <c r="H618">
        <f t="shared" si="18"/>
        <v>2.2083333333333335</v>
      </c>
      <c r="I618">
        <f t="shared" si="19"/>
        <v>72</v>
      </c>
    </row>
    <row r="619" spans="1:12">
      <c r="A619">
        <v>618</v>
      </c>
      <c r="B619">
        <v>293</v>
      </c>
      <c r="C619" s="1">
        <v>46172</v>
      </c>
      <c r="D619" t="s">
        <v>380</v>
      </c>
      <c r="E619">
        <v>2</v>
      </c>
      <c r="F619" t="str">
        <f>_xlfn.XLOOKUP(B619,Employee_Master!A:A,Employee_Master!E:E,"Not Found")</f>
        <v>Marketing</v>
      </c>
      <c r="G619" t="s">
        <v>381</v>
      </c>
      <c r="H619">
        <f t="shared" si="18"/>
        <v>2.1739130434782608</v>
      </c>
      <c r="I619">
        <f t="shared" si="19"/>
        <v>75</v>
      </c>
    </row>
    <row r="620" spans="1:12">
      <c r="A620">
        <v>619</v>
      </c>
      <c r="B620">
        <v>293</v>
      </c>
      <c r="C620" s="1">
        <v>45954</v>
      </c>
      <c r="D620" t="s">
        <v>383</v>
      </c>
      <c r="E620">
        <v>3</v>
      </c>
      <c r="F620" t="str">
        <f>_xlfn.XLOOKUP(B620,Employee_Master!A:A,Employee_Master!E:E,"Not Found")</f>
        <v>Marketing</v>
      </c>
      <c r="G620" t="s">
        <v>385</v>
      </c>
      <c r="H620">
        <f t="shared" si="18"/>
        <v>2.1818181818181817</v>
      </c>
      <c r="I620">
        <f t="shared" si="19"/>
        <v>73.91304347826086</v>
      </c>
      <c r="K620" t="s">
        <v>400</v>
      </c>
      <c r="L620" t="s">
        <v>401</v>
      </c>
    </row>
    <row r="621" spans="1:12">
      <c r="A621">
        <v>620</v>
      </c>
      <c r="B621">
        <v>293</v>
      </c>
      <c r="C621" s="1">
        <v>46054</v>
      </c>
      <c r="D621" t="s">
        <v>383</v>
      </c>
      <c r="E621">
        <v>4</v>
      </c>
      <c r="F621" t="str">
        <f>_xlfn.XLOOKUP(B621,Employee_Master!A:A,Employee_Master!E:E,"Not Found")</f>
        <v>Marketing</v>
      </c>
      <c r="G621" t="s">
        <v>381</v>
      </c>
      <c r="H621">
        <f t="shared" si="18"/>
        <v>2.1428571428571428</v>
      </c>
      <c r="I621">
        <f t="shared" si="19"/>
        <v>72.727272727272734</v>
      </c>
      <c r="K621" t="s">
        <v>398</v>
      </c>
      <c r="L621">
        <f>COUNTA(A2:A641)</f>
        <v>640</v>
      </c>
    </row>
    <row r="622" spans="1:12">
      <c r="A622">
        <v>621</v>
      </c>
      <c r="B622">
        <v>294</v>
      </c>
      <c r="C622" s="1">
        <v>46218</v>
      </c>
      <c r="D622" t="s">
        <v>384</v>
      </c>
      <c r="E622">
        <v>1</v>
      </c>
      <c r="F622" t="str">
        <f>_xlfn.XLOOKUP(B622,Employee_Master!A:A,Employee_Master!E:E,"Not Found")</f>
        <v>HR</v>
      </c>
      <c r="G622" t="s">
        <v>381</v>
      </c>
      <c r="H622">
        <f t="shared" si="18"/>
        <v>2.0499999999999998</v>
      </c>
      <c r="I622">
        <f t="shared" si="19"/>
        <v>76.19047619047619</v>
      </c>
      <c r="K622" t="s">
        <v>399</v>
      </c>
      <c r="L622">
        <f>SUM(E2:E641)</f>
        <v>1576</v>
      </c>
    </row>
    <row r="623" spans="1:12">
      <c r="A623">
        <v>622</v>
      </c>
      <c r="B623">
        <v>294</v>
      </c>
      <c r="C623" s="1">
        <v>46220</v>
      </c>
      <c r="D623" t="s">
        <v>380</v>
      </c>
      <c r="E623">
        <v>2</v>
      </c>
      <c r="F623" t="str">
        <f>_xlfn.XLOOKUP(B623,Employee_Master!A:A,Employee_Master!E:E,"Not Found")</f>
        <v>HR</v>
      </c>
      <c r="G623" t="s">
        <v>385</v>
      </c>
      <c r="H623">
        <f t="shared" si="18"/>
        <v>2.1052631578947367</v>
      </c>
      <c r="I623">
        <f t="shared" si="19"/>
        <v>75</v>
      </c>
    </row>
    <row r="624" spans="1:12">
      <c r="A624">
        <v>623</v>
      </c>
      <c r="B624">
        <v>294</v>
      </c>
      <c r="C624" s="1">
        <v>45953</v>
      </c>
      <c r="D624" t="s">
        <v>380</v>
      </c>
      <c r="E624">
        <v>4</v>
      </c>
      <c r="F624" t="str">
        <f>_xlfn.XLOOKUP(B624,Employee_Master!A:A,Employee_Master!E:E,"Not Found")</f>
        <v>HR</v>
      </c>
      <c r="G624" t="s">
        <v>385</v>
      </c>
      <c r="H624">
        <f t="shared" si="18"/>
        <v>2.1111111111111112</v>
      </c>
      <c r="I624">
        <f t="shared" si="19"/>
        <v>73.68421052631578</v>
      </c>
    </row>
    <row r="625" spans="1:9">
      <c r="A625">
        <v>624</v>
      </c>
      <c r="B625">
        <v>295</v>
      </c>
      <c r="C625" s="1">
        <v>45968</v>
      </c>
      <c r="D625" t="s">
        <v>384</v>
      </c>
      <c r="E625">
        <v>4</v>
      </c>
      <c r="F625" t="str">
        <f>_xlfn.XLOOKUP(B625,Employee_Master!A:A,Employee_Master!E:E,"Not Found")</f>
        <v>Finance</v>
      </c>
      <c r="G625" t="s">
        <v>381</v>
      </c>
      <c r="H625">
        <f t="shared" si="18"/>
        <v>2</v>
      </c>
      <c r="I625">
        <f t="shared" si="19"/>
        <v>77.777777777777786</v>
      </c>
    </row>
    <row r="626" spans="1:9">
      <c r="A626">
        <v>625</v>
      </c>
      <c r="B626">
        <v>295</v>
      </c>
      <c r="C626" s="1">
        <v>46044</v>
      </c>
      <c r="D626" t="s">
        <v>380</v>
      </c>
      <c r="E626">
        <v>2</v>
      </c>
      <c r="F626" t="str">
        <f>_xlfn.XLOOKUP(B626,Employee_Master!A:A,Employee_Master!E:E,"Not Found")</f>
        <v>Finance</v>
      </c>
      <c r="G626" t="s">
        <v>381</v>
      </c>
      <c r="H626">
        <f t="shared" si="18"/>
        <v>1.875</v>
      </c>
      <c r="I626">
        <f t="shared" si="19"/>
        <v>82.35294117647058</v>
      </c>
    </row>
    <row r="627" spans="1:9">
      <c r="A627">
        <v>626</v>
      </c>
      <c r="B627">
        <v>295</v>
      </c>
      <c r="C627" s="1">
        <v>45980</v>
      </c>
      <c r="D627" t="s">
        <v>384</v>
      </c>
      <c r="E627">
        <v>3</v>
      </c>
      <c r="F627" t="str">
        <f>_xlfn.XLOOKUP(B627,Employee_Master!A:A,Employee_Master!E:E,"Not Found")</f>
        <v>Finance</v>
      </c>
      <c r="G627" t="s">
        <v>381</v>
      </c>
      <c r="H627">
        <f t="shared" si="18"/>
        <v>1.8666666666666667</v>
      </c>
      <c r="I627">
        <f t="shared" si="19"/>
        <v>81.25</v>
      </c>
    </row>
    <row r="628" spans="1:9">
      <c r="A628">
        <v>627</v>
      </c>
      <c r="B628">
        <v>295</v>
      </c>
      <c r="C628" s="1">
        <v>46231</v>
      </c>
      <c r="D628" t="s">
        <v>382</v>
      </c>
      <c r="E628">
        <v>1</v>
      </c>
      <c r="F628" t="str">
        <f>_xlfn.XLOOKUP(B628,Employee_Master!A:A,Employee_Master!E:E,"Not Found")</f>
        <v>Finance</v>
      </c>
      <c r="G628" t="s">
        <v>381</v>
      </c>
      <c r="H628">
        <f t="shared" si="18"/>
        <v>1.7857142857142858</v>
      </c>
      <c r="I628">
        <f t="shared" si="19"/>
        <v>80</v>
      </c>
    </row>
    <row r="629" spans="1:9">
      <c r="A629">
        <v>628</v>
      </c>
      <c r="B629">
        <v>296</v>
      </c>
      <c r="C629" s="1">
        <v>46161</v>
      </c>
      <c r="D629" t="s">
        <v>380</v>
      </c>
      <c r="E629">
        <v>1</v>
      </c>
      <c r="F629" t="str">
        <f>_xlfn.XLOOKUP(B629,Employee_Master!A:A,Employee_Master!E:E,"Not Found")</f>
        <v>Finance</v>
      </c>
      <c r="G629" t="s">
        <v>381</v>
      </c>
      <c r="H629">
        <f t="shared" si="18"/>
        <v>1.8461538461538463</v>
      </c>
      <c r="I629">
        <f t="shared" si="19"/>
        <v>78.571428571428569</v>
      </c>
    </row>
    <row r="630" spans="1:9">
      <c r="A630">
        <v>629</v>
      </c>
      <c r="B630">
        <v>296</v>
      </c>
      <c r="C630" s="1">
        <v>46052</v>
      </c>
      <c r="D630" t="s">
        <v>384</v>
      </c>
      <c r="E630">
        <v>1</v>
      </c>
      <c r="F630" t="str">
        <f>_xlfn.XLOOKUP(B630,Employee_Master!A:A,Employee_Master!E:E,"Not Found")</f>
        <v>Finance</v>
      </c>
      <c r="G630" t="s">
        <v>381</v>
      </c>
      <c r="H630">
        <f t="shared" si="18"/>
        <v>1.9166666666666667</v>
      </c>
      <c r="I630">
        <f t="shared" si="19"/>
        <v>76.923076923076934</v>
      </c>
    </row>
    <row r="631" spans="1:9">
      <c r="A631">
        <v>630</v>
      </c>
      <c r="B631">
        <v>296</v>
      </c>
      <c r="C631" s="1">
        <v>46237</v>
      </c>
      <c r="D631" t="s">
        <v>380</v>
      </c>
      <c r="E631">
        <v>1</v>
      </c>
      <c r="F631" t="str">
        <f>_xlfn.XLOOKUP(B631,Employee_Master!A:A,Employee_Master!E:E,"Not Found")</f>
        <v>Finance</v>
      </c>
      <c r="G631" t="s">
        <v>385</v>
      </c>
      <c r="H631">
        <f t="shared" si="18"/>
        <v>2</v>
      </c>
      <c r="I631">
        <f t="shared" si="19"/>
        <v>75</v>
      </c>
    </row>
    <row r="632" spans="1:9">
      <c r="A632">
        <v>631</v>
      </c>
      <c r="B632">
        <v>296</v>
      </c>
      <c r="C632" s="1">
        <v>46283</v>
      </c>
      <c r="D632" t="s">
        <v>383</v>
      </c>
      <c r="E632">
        <v>2</v>
      </c>
      <c r="F632" t="str">
        <f>_xlfn.XLOOKUP(B632,Employee_Master!A:A,Employee_Master!E:E,"Not Found")</f>
        <v>Finance</v>
      </c>
      <c r="G632" t="s">
        <v>381</v>
      </c>
      <c r="H632">
        <f t="shared" si="18"/>
        <v>2.1</v>
      </c>
      <c r="I632">
        <f t="shared" si="19"/>
        <v>72.727272727272734</v>
      </c>
    </row>
    <row r="633" spans="1:9">
      <c r="A633">
        <v>632</v>
      </c>
      <c r="B633">
        <v>297</v>
      </c>
      <c r="C633" s="1">
        <v>46041</v>
      </c>
      <c r="D633" t="s">
        <v>382</v>
      </c>
      <c r="E633">
        <v>3</v>
      </c>
      <c r="F633" t="str">
        <f>_xlfn.XLOOKUP(B633,Employee_Master!A:A,Employee_Master!E:E,"Not Found")</f>
        <v>IT</v>
      </c>
      <c r="G633" t="s">
        <v>381</v>
      </c>
      <c r="H633">
        <f t="shared" si="18"/>
        <v>2.1111111111111112</v>
      </c>
      <c r="I633">
        <f t="shared" si="19"/>
        <v>80</v>
      </c>
    </row>
    <row r="634" spans="1:9">
      <c r="A634">
        <v>633</v>
      </c>
      <c r="B634">
        <v>297</v>
      </c>
      <c r="C634" s="1">
        <v>45976</v>
      </c>
      <c r="D634" t="s">
        <v>380</v>
      </c>
      <c r="E634">
        <v>3</v>
      </c>
      <c r="F634" t="str">
        <f>_xlfn.XLOOKUP(B634,Employee_Master!A:A,Employee_Master!E:E,"Not Found")</f>
        <v>IT</v>
      </c>
      <c r="G634" t="s">
        <v>381</v>
      </c>
      <c r="H634">
        <f t="shared" si="18"/>
        <v>2</v>
      </c>
      <c r="I634">
        <f t="shared" si="19"/>
        <v>77.777777777777786</v>
      </c>
    </row>
    <row r="635" spans="1:9">
      <c r="A635">
        <v>634</v>
      </c>
      <c r="B635">
        <v>297</v>
      </c>
      <c r="C635" s="1">
        <v>46149</v>
      </c>
      <c r="D635" t="s">
        <v>383</v>
      </c>
      <c r="E635">
        <v>3</v>
      </c>
      <c r="F635" t="str">
        <f>_xlfn.XLOOKUP(B635,Employee_Master!A:A,Employee_Master!E:E,"Not Found")</f>
        <v>IT</v>
      </c>
      <c r="G635" t="s">
        <v>385</v>
      </c>
      <c r="H635">
        <f t="shared" si="18"/>
        <v>1.8571428571428572</v>
      </c>
      <c r="I635">
        <f t="shared" si="19"/>
        <v>75</v>
      </c>
    </row>
    <row r="636" spans="1:9">
      <c r="A636">
        <v>635</v>
      </c>
      <c r="B636">
        <v>298</v>
      </c>
      <c r="C636" s="1">
        <v>46287</v>
      </c>
      <c r="D636" t="s">
        <v>380</v>
      </c>
      <c r="E636">
        <v>1</v>
      </c>
      <c r="F636" t="str">
        <f>_xlfn.XLOOKUP(B636,Employee_Master!A:A,Employee_Master!E:E,"Not Found")</f>
        <v>IT</v>
      </c>
      <c r="G636" t="s">
        <v>381</v>
      </c>
      <c r="H636">
        <f t="shared" si="18"/>
        <v>1.6666666666666667</v>
      </c>
      <c r="I636">
        <f t="shared" si="19"/>
        <v>71.428571428571431</v>
      </c>
    </row>
    <row r="637" spans="1:9">
      <c r="A637">
        <v>636</v>
      </c>
      <c r="B637">
        <v>298</v>
      </c>
      <c r="C637" s="1">
        <v>46252</v>
      </c>
      <c r="D637" t="s">
        <v>384</v>
      </c>
      <c r="E637">
        <v>3</v>
      </c>
      <c r="F637" t="str">
        <f>_xlfn.XLOOKUP(B637,Employee_Master!A:A,Employee_Master!E:E,"Not Found")</f>
        <v>IT</v>
      </c>
      <c r="G637" t="s">
        <v>381</v>
      </c>
      <c r="H637">
        <f t="shared" si="18"/>
        <v>1.8</v>
      </c>
      <c r="I637">
        <f t="shared" si="19"/>
        <v>83.333333333333343</v>
      </c>
    </row>
    <row r="638" spans="1:9">
      <c r="A638">
        <v>637</v>
      </c>
      <c r="B638">
        <v>298</v>
      </c>
      <c r="C638" s="1">
        <v>46019</v>
      </c>
      <c r="D638" t="s">
        <v>380</v>
      </c>
      <c r="E638">
        <v>2</v>
      </c>
      <c r="F638" t="str">
        <f>_xlfn.XLOOKUP(B638,Employee_Master!A:A,Employee_Master!E:E,"Not Found")</f>
        <v>IT</v>
      </c>
      <c r="G638" t="s">
        <v>381</v>
      </c>
      <c r="H638">
        <f t="shared" si="18"/>
        <v>1.5</v>
      </c>
      <c r="I638">
        <f t="shared" si="19"/>
        <v>80</v>
      </c>
    </row>
    <row r="639" spans="1:9">
      <c r="A639">
        <v>638</v>
      </c>
      <c r="B639">
        <v>298</v>
      </c>
      <c r="C639" s="1">
        <v>46022</v>
      </c>
      <c r="D639" t="s">
        <v>380</v>
      </c>
      <c r="E639">
        <v>2</v>
      </c>
      <c r="F639" t="str">
        <f>_xlfn.XLOOKUP(B639,Employee_Master!A:A,Employee_Master!E:E,"Not Found")</f>
        <v>IT</v>
      </c>
      <c r="G639" t="s">
        <v>381</v>
      </c>
      <c r="H639">
        <f t="shared" si="18"/>
        <v>1.3333333333333333</v>
      </c>
      <c r="I639">
        <f t="shared" si="19"/>
        <v>75</v>
      </c>
    </row>
    <row r="640" spans="1:9">
      <c r="A640">
        <v>639</v>
      </c>
      <c r="B640">
        <v>299</v>
      </c>
      <c r="C640" s="1">
        <v>46082</v>
      </c>
      <c r="D640" t="s">
        <v>382</v>
      </c>
      <c r="E640">
        <v>1</v>
      </c>
      <c r="F640" t="str">
        <f>_xlfn.XLOOKUP(B640,Employee_Master!A:A,Employee_Master!E:E,"Not Found")</f>
        <v>Finance</v>
      </c>
      <c r="G640" t="s">
        <v>385</v>
      </c>
      <c r="H640">
        <f t="shared" si="18"/>
        <v>1</v>
      </c>
      <c r="I640">
        <f t="shared" si="19"/>
        <v>66.666666666666657</v>
      </c>
    </row>
    <row r="641" spans="1:9">
      <c r="A641">
        <v>640</v>
      </c>
      <c r="B641">
        <v>300</v>
      </c>
      <c r="C641" s="1">
        <v>46247</v>
      </c>
      <c r="D641" t="s">
        <v>380</v>
      </c>
      <c r="E641">
        <v>1</v>
      </c>
      <c r="F641" t="str">
        <f>_xlfn.XLOOKUP(B641,Employee_Master!A:A,Employee_Master!E:E,"Not Found")</f>
        <v>Marketing</v>
      </c>
      <c r="G641" t="s">
        <v>381</v>
      </c>
      <c r="H641">
        <f t="shared" si="18"/>
        <v>1</v>
      </c>
      <c r="I641">
        <f t="shared" si="19"/>
        <v>50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DBA9-BC05-4A05-8AD0-D3984F490223}">
  <dimension ref="A1:N641"/>
  <sheetViews>
    <sheetView topLeftCell="D2" workbookViewId="0">
      <selection activeCell="G11" sqref="G11"/>
    </sheetView>
  </sheetViews>
  <sheetFormatPr defaultRowHeight="14.4"/>
  <cols>
    <col min="3" max="3" width="15.21875" bestFit="1" customWidth="1"/>
    <col min="4" max="4" width="15.44140625" bestFit="1" customWidth="1"/>
    <col min="5" max="5" width="15.33203125" bestFit="1" customWidth="1"/>
    <col min="6" max="6" width="15.77734375" bestFit="1" customWidth="1"/>
    <col min="7" max="7" width="10.6640625" bestFit="1" customWidth="1"/>
    <col min="8" max="8" width="12.33203125" bestFit="1" customWidth="1"/>
    <col min="9" max="9" width="14.88671875" bestFit="1" customWidth="1"/>
  </cols>
  <sheetData>
    <row r="1" spans="1:14">
      <c r="A1" s="6" t="s">
        <v>376</v>
      </c>
      <c r="B1" s="6" t="s">
        <v>10</v>
      </c>
      <c r="C1" s="6" t="s">
        <v>377</v>
      </c>
      <c r="D1" s="6" t="s">
        <v>378</v>
      </c>
      <c r="E1" s="6" t="s">
        <v>23</v>
      </c>
      <c r="F1" s="20" t="s">
        <v>14</v>
      </c>
      <c r="G1" s="6" t="s">
        <v>379</v>
      </c>
      <c r="H1" s="6" t="s">
        <v>418</v>
      </c>
      <c r="I1" s="6" t="s">
        <v>419</v>
      </c>
    </row>
    <row r="2" spans="1:14">
      <c r="A2">
        <v>1</v>
      </c>
      <c r="B2">
        <v>1</v>
      </c>
      <c r="C2" s="1">
        <v>46185</v>
      </c>
      <c r="D2" t="s">
        <v>380</v>
      </c>
      <c r="E2">
        <v>4</v>
      </c>
      <c r="F2" t="str">
        <f>_xlfn.XLOOKUP(B2,Employee_Master!A:A,Employee_Master!E:E,"Not Found")</f>
        <v>Marketing</v>
      </c>
      <c r="G2" t="s">
        <v>381</v>
      </c>
      <c r="H2">
        <f t="shared" ref="H2:H65" si="0">AVERAGE(E2:E641)</f>
        <v>2.4624999999999999</v>
      </c>
      <c r="I2">
        <f t="shared" ref="I2:I65" si="1">COUNTIF(G1:G640,"Approved")/COUNTA(G1:G640)*100</f>
        <v>60.9375</v>
      </c>
    </row>
    <row r="3" spans="1:14">
      <c r="A3">
        <v>2</v>
      </c>
      <c r="B3">
        <v>1</v>
      </c>
      <c r="C3" s="1">
        <v>46066</v>
      </c>
      <c r="D3" t="s">
        <v>382</v>
      </c>
      <c r="E3">
        <v>3</v>
      </c>
      <c r="F3" t="str">
        <f>_xlfn.XLOOKUP(B3,Employee_Master!A:A,Employee_Master!E:E,"Not Found")</f>
        <v>Marketing</v>
      </c>
      <c r="G3" t="s">
        <v>381</v>
      </c>
      <c r="H3">
        <f t="shared" si="0"/>
        <v>2.460093896713615</v>
      </c>
      <c r="I3">
        <f t="shared" si="1"/>
        <v>61.09375</v>
      </c>
    </row>
    <row r="4" spans="1:14">
      <c r="A4">
        <v>3</v>
      </c>
      <c r="B4">
        <v>1</v>
      </c>
      <c r="C4" s="1">
        <v>46155</v>
      </c>
      <c r="D4" t="s">
        <v>383</v>
      </c>
      <c r="E4">
        <v>2</v>
      </c>
      <c r="F4" t="str">
        <f>_xlfn.XLOOKUP(B4,Employee_Master!A:A,Employee_Master!E:E,"Not Found")</f>
        <v>Marketing</v>
      </c>
      <c r="G4" t="s">
        <v>381</v>
      </c>
      <c r="H4">
        <f t="shared" si="0"/>
        <v>2.4592476489028212</v>
      </c>
      <c r="I4">
        <f t="shared" si="1"/>
        <v>61.032863849765263</v>
      </c>
    </row>
    <row r="5" spans="1:14">
      <c r="A5">
        <v>4</v>
      </c>
      <c r="B5">
        <v>1</v>
      </c>
      <c r="C5" s="1">
        <v>46096</v>
      </c>
      <c r="D5" t="s">
        <v>384</v>
      </c>
      <c r="E5">
        <v>1</v>
      </c>
      <c r="F5" t="str">
        <f>_xlfn.XLOOKUP(B5,Employee_Master!A:A,Employee_Master!E:E,"Not Found")</f>
        <v>Marketing</v>
      </c>
      <c r="G5" t="s">
        <v>381</v>
      </c>
      <c r="H5">
        <f t="shared" si="0"/>
        <v>2.4599686028257457</v>
      </c>
      <c r="I5">
        <f t="shared" si="1"/>
        <v>60.971786833855802</v>
      </c>
    </row>
    <row r="6" spans="1:14">
      <c r="A6">
        <v>5</v>
      </c>
      <c r="B6">
        <v>2</v>
      </c>
      <c r="C6" s="1">
        <v>46089</v>
      </c>
      <c r="D6" t="s">
        <v>383</v>
      </c>
      <c r="E6">
        <v>2</v>
      </c>
      <c r="F6" t="str">
        <f>_xlfn.XLOOKUP(B6,Employee_Master!A:A,Employee_Master!E:E,"Not Found")</f>
        <v>IT</v>
      </c>
      <c r="G6" t="s">
        <v>385</v>
      </c>
      <c r="H6">
        <f t="shared" si="0"/>
        <v>2.4622641509433962</v>
      </c>
      <c r="I6">
        <f t="shared" si="1"/>
        <v>60.910518053375199</v>
      </c>
    </row>
    <row r="7" spans="1:14">
      <c r="A7">
        <v>6</v>
      </c>
      <c r="B7">
        <v>2</v>
      </c>
      <c r="C7" s="1">
        <v>46247</v>
      </c>
      <c r="D7" t="s">
        <v>384</v>
      </c>
      <c r="E7">
        <v>2</v>
      </c>
      <c r="F7" t="str">
        <f>_xlfn.XLOOKUP(B7,Employee_Master!A:A,Employee_Master!E:E,"Not Found")</f>
        <v>IT</v>
      </c>
      <c r="G7" t="s">
        <v>381</v>
      </c>
      <c r="H7">
        <f t="shared" si="0"/>
        <v>2.4629921259842518</v>
      </c>
      <c r="I7">
        <f t="shared" si="1"/>
        <v>60.84905660377359</v>
      </c>
    </row>
    <row r="8" spans="1:14">
      <c r="A8">
        <v>7</v>
      </c>
      <c r="B8">
        <v>2</v>
      </c>
      <c r="C8" s="1">
        <v>45977</v>
      </c>
      <c r="D8" t="s">
        <v>382</v>
      </c>
      <c r="E8">
        <v>3</v>
      </c>
      <c r="F8" t="str">
        <f>_xlfn.XLOOKUP(B8,Employee_Master!A:A,Employee_Master!E:E,"Not Found")</f>
        <v>IT</v>
      </c>
      <c r="G8" t="s">
        <v>381</v>
      </c>
      <c r="H8">
        <f t="shared" si="0"/>
        <v>2.4637223974763405</v>
      </c>
      <c r="I8">
        <f t="shared" si="1"/>
        <v>60.944881889763778</v>
      </c>
    </row>
    <row r="9" spans="1:14">
      <c r="A9">
        <v>8</v>
      </c>
      <c r="B9">
        <v>2</v>
      </c>
      <c r="C9" s="1">
        <v>46105</v>
      </c>
      <c r="D9" t="s">
        <v>383</v>
      </c>
      <c r="E9">
        <v>4</v>
      </c>
      <c r="F9" t="str">
        <f>_xlfn.XLOOKUP(B9,Employee_Master!A:A,Employee_Master!E:E,"Not Found")</f>
        <v>IT</v>
      </c>
      <c r="G9" t="s">
        <v>381</v>
      </c>
      <c r="H9">
        <f t="shared" si="0"/>
        <v>2.4628751974723539</v>
      </c>
      <c r="I9">
        <f t="shared" si="1"/>
        <v>60.883280757097793</v>
      </c>
    </row>
    <row r="10" spans="1:14">
      <c r="A10">
        <v>9</v>
      </c>
      <c r="B10">
        <v>3</v>
      </c>
      <c r="C10" s="1">
        <v>45984</v>
      </c>
      <c r="D10" t="s">
        <v>383</v>
      </c>
      <c r="E10">
        <v>1</v>
      </c>
      <c r="F10" t="str">
        <f>_xlfn.XLOOKUP(B10,Employee_Master!A:A,Employee_Master!E:E,"Not Found")</f>
        <v>Customer Support</v>
      </c>
      <c r="G10" t="s">
        <v>381</v>
      </c>
      <c r="H10">
        <f t="shared" si="0"/>
        <v>2.4604430379746836</v>
      </c>
      <c r="I10">
        <f t="shared" si="1"/>
        <v>60.821484992101105</v>
      </c>
    </row>
    <row r="11" spans="1:14">
      <c r="A11">
        <v>10</v>
      </c>
      <c r="B11">
        <v>3</v>
      </c>
      <c r="C11" s="1">
        <v>46046</v>
      </c>
      <c r="D11" t="s">
        <v>382</v>
      </c>
      <c r="E11">
        <v>1</v>
      </c>
      <c r="F11" t="str">
        <f>_xlfn.XLOOKUP(B11,Employee_Master!A:A,Employee_Master!E:E,"Not Found")</f>
        <v>Customer Support</v>
      </c>
      <c r="G11" t="s">
        <v>381</v>
      </c>
      <c r="H11">
        <f t="shared" si="0"/>
        <v>2.4627575277337561</v>
      </c>
      <c r="I11">
        <f t="shared" si="1"/>
        <v>60.75949367088608</v>
      </c>
      <c r="N11">
        <f>COUNTA(A2:A641)</f>
        <v>640</v>
      </c>
    </row>
    <row r="12" spans="1:14">
      <c r="A12">
        <v>11</v>
      </c>
      <c r="B12">
        <v>3</v>
      </c>
      <c r="C12" s="1">
        <v>46211</v>
      </c>
      <c r="D12" t="s">
        <v>380</v>
      </c>
      <c r="E12">
        <v>3</v>
      </c>
      <c r="F12" t="str">
        <f>_xlfn.XLOOKUP(B12,Employee_Master!A:A,Employee_Master!E:E,"Not Found")</f>
        <v>Customer Support</v>
      </c>
      <c r="G12" t="s">
        <v>381</v>
      </c>
      <c r="H12">
        <f t="shared" si="0"/>
        <v>2.4650793650793652</v>
      </c>
      <c r="I12">
        <f t="shared" si="1"/>
        <v>60.697305863708394</v>
      </c>
      <c r="N12">
        <f>SUM(E2:E641)</f>
        <v>1576</v>
      </c>
    </row>
    <row r="13" spans="1:14">
      <c r="A13">
        <v>12</v>
      </c>
      <c r="B13">
        <v>4</v>
      </c>
      <c r="C13" s="1">
        <v>46045</v>
      </c>
      <c r="D13" t="s">
        <v>380</v>
      </c>
      <c r="E13">
        <v>2</v>
      </c>
      <c r="F13" t="str">
        <f>_xlfn.XLOOKUP(B13,Employee_Master!A:A,Employee_Master!E:E,"Not Found")</f>
        <v>HR</v>
      </c>
      <c r="G13" t="s">
        <v>381</v>
      </c>
      <c r="H13">
        <f t="shared" si="0"/>
        <v>2.4642289348171702</v>
      </c>
      <c r="I13">
        <f t="shared" si="1"/>
        <v>60.634920634920633</v>
      </c>
    </row>
    <row r="14" spans="1:14">
      <c r="A14">
        <v>13</v>
      </c>
      <c r="B14">
        <v>4</v>
      </c>
      <c r="C14" s="1">
        <v>46156</v>
      </c>
      <c r="D14" t="s">
        <v>380</v>
      </c>
      <c r="E14">
        <v>2</v>
      </c>
      <c r="F14" t="str">
        <f>_xlfn.XLOOKUP(B14,Employee_Master!A:A,Employee_Master!E:E,"Not Found")</f>
        <v>HR</v>
      </c>
      <c r="G14" t="s">
        <v>381</v>
      </c>
      <c r="H14">
        <f t="shared" si="0"/>
        <v>2.4649681528662422</v>
      </c>
      <c r="I14">
        <f t="shared" si="1"/>
        <v>60.57233704292527</v>
      </c>
    </row>
    <row r="15" spans="1:14">
      <c r="A15">
        <v>14</v>
      </c>
      <c r="B15">
        <v>4</v>
      </c>
      <c r="C15" s="1">
        <v>46082</v>
      </c>
      <c r="D15" t="s">
        <v>380</v>
      </c>
      <c r="E15">
        <v>1</v>
      </c>
      <c r="F15" t="str">
        <f>_xlfn.XLOOKUP(B15,Employee_Master!A:A,Employee_Master!E:E,"Not Found")</f>
        <v>HR</v>
      </c>
      <c r="G15" t="s">
        <v>386</v>
      </c>
      <c r="H15">
        <f t="shared" si="0"/>
        <v>2.4657097288676235</v>
      </c>
      <c r="I15">
        <f t="shared" si="1"/>
        <v>60.509554140127385</v>
      </c>
    </row>
    <row r="16" spans="1:14">
      <c r="A16">
        <v>15</v>
      </c>
      <c r="B16">
        <v>5</v>
      </c>
      <c r="C16" s="1">
        <v>46155</v>
      </c>
      <c r="D16" t="s">
        <v>382</v>
      </c>
      <c r="E16">
        <v>2</v>
      </c>
      <c r="F16" t="str">
        <f>_xlfn.XLOOKUP(B16,Employee_Master!A:A,Employee_Master!E:E,"Not Found")</f>
        <v>Sales</v>
      </c>
      <c r="G16" t="s">
        <v>385</v>
      </c>
      <c r="H16">
        <f t="shared" si="0"/>
        <v>2.4680511182108624</v>
      </c>
      <c r="I16">
        <f t="shared" si="1"/>
        <v>60.446570972886761</v>
      </c>
    </row>
    <row r="17" spans="1:9">
      <c r="A17">
        <v>16</v>
      </c>
      <c r="B17">
        <v>5</v>
      </c>
      <c r="C17" s="1">
        <v>46026</v>
      </c>
      <c r="D17" t="s">
        <v>382</v>
      </c>
      <c r="E17">
        <v>4</v>
      </c>
      <c r="F17" t="str">
        <f>_xlfn.XLOOKUP(B17,Employee_Master!A:A,Employee_Master!E:E,"Not Found")</f>
        <v>Sales</v>
      </c>
      <c r="G17" t="s">
        <v>381</v>
      </c>
      <c r="H17">
        <f t="shared" si="0"/>
        <v>2.4687999999999999</v>
      </c>
      <c r="I17">
        <f t="shared" si="1"/>
        <v>60.543130990415342</v>
      </c>
    </row>
    <row r="18" spans="1:9">
      <c r="A18">
        <v>17</v>
      </c>
      <c r="B18">
        <v>5</v>
      </c>
      <c r="C18" s="1">
        <v>46292</v>
      </c>
      <c r="D18" t="s">
        <v>383</v>
      </c>
      <c r="E18">
        <v>3</v>
      </c>
      <c r="F18" t="str">
        <f>_xlfn.XLOOKUP(B18,Employee_Master!A:A,Employee_Master!E:E,"Not Found")</f>
        <v>Sales</v>
      </c>
      <c r="G18" t="s">
        <v>385</v>
      </c>
      <c r="H18">
        <f t="shared" si="0"/>
        <v>2.4663461538461537</v>
      </c>
      <c r="I18">
        <f t="shared" si="1"/>
        <v>60.640000000000008</v>
      </c>
    </row>
    <row r="19" spans="1:9">
      <c r="A19">
        <v>18</v>
      </c>
      <c r="B19">
        <v>6</v>
      </c>
      <c r="C19" s="1">
        <v>46117</v>
      </c>
      <c r="D19" t="s">
        <v>380</v>
      </c>
      <c r="E19">
        <v>3</v>
      </c>
      <c r="F19" t="str">
        <f>_xlfn.XLOOKUP(B19,Employee_Master!A:A,Employee_Master!E:E,"Not Found")</f>
        <v>Sales</v>
      </c>
      <c r="G19" t="s">
        <v>386</v>
      </c>
      <c r="H19">
        <f t="shared" si="0"/>
        <v>2.465489566613162</v>
      </c>
      <c r="I19">
        <f t="shared" si="1"/>
        <v>60.576923076923073</v>
      </c>
    </row>
    <row r="20" spans="1:9">
      <c r="A20">
        <v>19</v>
      </c>
      <c r="B20">
        <v>6</v>
      </c>
      <c r="C20" s="1">
        <v>46113</v>
      </c>
      <c r="D20" t="s">
        <v>384</v>
      </c>
      <c r="E20">
        <v>2</v>
      </c>
      <c r="F20" t="str">
        <f>_xlfn.XLOOKUP(B20,Employee_Master!A:A,Employee_Master!E:E,"Not Found")</f>
        <v>Sales</v>
      </c>
      <c r="G20" t="s">
        <v>381</v>
      </c>
      <c r="H20">
        <f t="shared" si="0"/>
        <v>2.464630225080386</v>
      </c>
      <c r="I20">
        <f t="shared" si="1"/>
        <v>60.674157303370791</v>
      </c>
    </row>
    <row r="21" spans="1:9">
      <c r="A21">
        <v>20</v>
      </c>
      <c r="B21">
        <v>7</v>
      </c>
      <c r="C21" s="1">
        <v>46206</v>
      </c>
      <c r="D21" t="s">
        <v>380</v>
      </c>
      <c r="E21">
        <v>1</v>
      </c>
      <c r="F21" t="str">
        <f>_xlfn.XLOOKUP(B21,Employee_Master!A:A,Employee_Master!E:E,"Not Found")</f>
        <v>Marketing</v>
      </c>
      <c r="G21" t="s">
        <v>386</v>
      </c>
      <c r="H21">
        <f t="shared" si="0"/>
        <v>2.4653784219001609</v>
      </c>
      <c r="I21">
        <f t="shared" si="1"/>
        <v>60.771704180064312</v>
      </c>
    </row>
    <row r="22" spans="1:9">
      <c r="A22">
        <v>21</v>
      </c>
      <c r="B22">
        <v>8</v>
      </c>
      <c r="C22" s="1">
        <v>46205</v>
      </c>
      <c r="D22" t="s">
        <v>383</v>
      </c>
      <c r="E22">
        <v>1</v>
      </c>
      <c r="F22" t="str">
        <f>_xlfn.XLOOKUP(B22,Employee_Master!A:A,Employee_Master!E:E,"Not Found")</f>
        <v>Finance</v>
      </c>
      <c r="G22" t="s">
        <v>386</v>
      </c>
      <c r="H22">
        <f t="shared" si="0"/>
        <v>2.467741935483871</v>
      </c>
      <c r="I22">
        <f t="shared" si="1"/>
        <v>60.708534621578103</v>
      </c>
    </row>
    <row r="23" spans="1:9">
      <c r="A23">
        <v>22</v>
      </c>
      <c r="B23">
        <v>8</v>
      </c>
      <c r="C23" s="1">
        <v>46047</v>
      </c>
      <c r="D23" t="s">
        <v>383</v>
      </c>
      <c r="E23">
        <v>2</v>
      </c>
      <c r="F23" t="str">
        <f>_xlfn.XLOOKUP(B23,Employee_Master!A:A,Employee_Master!E:E,"Not Found")</f>
        <v>Finance</v>
      </c>
      <c r="G23" t="s">
        <v>385</v>
      </c>
      <c r="H23">
        <f t="shared" si="0"/>
        <v>2.4701130856219708</v>
      </c>
      <c r="I23">
        <f t="shared" si="1"/>
        <v>60.806451612903224</v>
      </c>
    </row>
    <row r="24" spans="1:9">
      <c r="A24">
        <v>23</v>
      </c>
      <c r="B24">
        <v>8</v>
      </c>
      <c r="C24" s="1">
        <v>46068</v>
      </c>
      <c r="D24" t="s">
        <v>384</v>
      </c>
      <c r="E24">
        <v>4</v>
      </c>
      <c r="F24" t="str">
        <f>_xlfn.XLOOKUP(B24,Employee_Master!A:A,Employee_Master!E:E,"Not Found")</f>
        <v>Finance</v>
      </c>
      <c r="G24" t="s">
        <v>386</v>
      </c>
      <c r="H24">
        <f t="shared" si="0"/>
        <v>2.470873786407767</v>
      </c>
      <c r="I24">
        <f t="shared" si="1"/>
        <v>60.904684975767367</v>
      </c>
    </row>
    <row r="25" spans="1:9">
      <c r="A25">
        <v>24</v>
      </c>
      <c r="B25">
        <v>9</v>
      </c>
      <c r="C25" s="1">
        <v>46185</v>
      </c>
      <c r="D25" t="s">
        <v>382</v>
      </c>
      <c r="E25">
        <v>1</v>
      </c>
      <c r="F25" t="str">
        <f>_xlfn.XLOOKUP(B25,Employee_Master!A:A,Employee_Master!E:E,"Not Found")</f>
        <v>HR</v>
      </c>
      <c r="G25" t="s">
        <v>381</v>
      </c>
      <c r="H25">
        <f t="shared" si="0"/>
        <v>2.4683954619124799</v>
      </c>
      <c r="I25">
        <f t="shared" si="1"/>
        <v>61.003236245954696</v>
      </c>
    </row>
    <row r="26" spans="1:9">
      <c r="A26">
        <v>25</v>
      </c>
      <c r="B26">
        <v>9</v>
      </c>
      <c r="C26" s="1">
        <v>45942</v>
      </c>
      <c r="D26" t="s">
        <v>382</v>
      </c>
      <c r="E26">
        <v>1</v>
      </c>
      <c r="F26" t="str">
        <f>_xlfn.XLOOKUP(B26,Employee_Master!A:A,Employee_Master!E:E,"Not Found")</f>
        <v>HR</v>
      </c>
      <c r="G26" t="s">
        <v>381</v>
      </c>
      <c r="H26">
        <f t="shared" si="0"/>
        <v>2.470779220779221</v>
      </c>
      <c r="I26">
        <f t="shared" si="1"/>
        <v>61.102106969205835</v>
      </c>
    </row>
    <row r="27" spans="1:9">
      <c r="A27">
        <v>26</v>
      </c>
      <c r="B27">
        <v>9</v>
      </c>
      <c r="C27" s="1">
        <v>46175</v>
      </c>
      <c r="D27" t="s">
        <v>380</v>
      </c>
      <c r="E27">
        <v>1</v>
      </c>
      <c r="F27" t="str">
        <f>_xlfn.XLOOKUP(B27,Employee_Master!A:A,Employee_Master!E:E,"Not Found")</f>
        <v>HR</v>
      </c>
      <c r="G27" t="s">
        <v>381</v>
      </c>
      <c r="H27">
        <f t="shared" si="0"/>
        <v>2.473170731707317</v>
      </c>
      <c r="I27">
        <f t="shared" si="1"/>
        <v>61.038961038961034</v>
      </c>
    </row>
    <row r="28" spans="1:9">
      <c r="A28">
        <v>27</v>
      </c>
      <c r="B28">
        <v>11</v>
      </c>
      <c r="C28" s="1">
        <v>46222</v>
      </c>
      <c r="D28" t="s">
        <v>383</v>
      </c>
      <c r="E28">
        <v>1</v>
      </c>
      <c r="F28" t="str">
        <f>_xlfn.XLOOKUP(B28,Employee_Master!A:A,Employee_Master!E:E,"Not Found")</f>
        <v>HR</v>
      </c>
      <c r="G28" t="s">
        <v>386</v>
      </c>
      <c r="H28">
        <f t="shared" si="0"/>
        <v>2.4755700325732901</v>
      </c>
      <c r="I28">
        <f t="shared" si="1"/>
        <v>60.975609756097562</v>
      </c>
    </row>
    <row r="29" spans="1:9">
      <c r="A29">
        <v>28</v>
      </c>
      <c r="B29">
        <v>11</v>
      </c>
      <c r="C29" s="1">
        <v>46182</v>
      </c>
      <c r="D29" t="s">
        <v>382</v>
      </c>
      <c r="E29">
        <v>2</v>
      </c>
      <c r="F29" t="str">
        <f>_xlfn.XLOOKUP(B29,Employee_Master!A:A,Employee_Master!E:E,"Not Found")</f>
        <v>HR</v>
      </c>
      <c r="G29" t="s">
        <v>385</v>
      </c>
      <c r="H29">
        <f t="shared" si="0"/>
        <v>2.4779771615008155</v>
      </c>
      <c r="I29">
        <f t="shared" si="1"/>
        <v>60.912052117263848</v>
      </c>
    </row>
    <row r="30" spans="1:9">
      <c r="A30">
        <v>29</v>
      </c>
      <c r="B30">
        <v>12</v>
      </c>
      <c r="C30" s="1">
        <v>46269</v>
      </c>
      <c r="D30" t="s">
        <v>382</v>
      </c>
      <c r="E30">
        <v>3</v>
      </c>
      <c r="F30" t="str">
        <f>_xlfn.XLOOKUP(B30,Employee_Master!A:A,Employee_Master!E:E,"Not Found")</f>
        <v>Marketing</v>
      </c>
      <c r="G30" t="s">
        <v>386</v>
      </c>
      <c r="H30">
        <f t="shared" si="0"/>
        <v>2.4787581699346406</v>
      </c>
      <c r="I30">
        <f t="shared" si="1"/>
        <v>61.011419249592166</v>
      </c>
    </row>
    <row r="31" spans="1:9">
      <c r="A31">
        <v>30</v>
      </c>
      <c r="B31">
        <v>13</v>
      </c>
      <c r="C31" s="1">
        <v>46100</v>
      </c>
      <c r="D31" t="s">
        <v>380</v>
      </c>
      <c r="E31">
        <v>4</v>
      </c>
      <c r="F31" t="str">
        <f>_xlfn.XLOOKUP(B31,Employee_Master!A:A,Employee_Master!E:E,"Not Found")</f>
        <v>HR</v>
      </c>
      <c r="G31" t="s">
        <v>381</v>
      </c>
      <c r="H31">
        <f t="shared" si="0"/>
        <v>2.4779050736497545</v>
      </c>
      <c r="I31">
        <f t="shared" si="1"/>
        <v>61.111111111111114</v>
      </c>
    </row>
    <row r="32" spans="1:9">
      <c r="A32">
        <v>31</v>
      </c>
      <c r="B32">
        <v>13</v>
      </c>
      <c r="C32" s="1">
        <v>46207</v>
      </c>
      <c r="D32" t="s">
        <v>383</v>
      </c>
      <c r="E32">
        <v>1</v>
      </c>
      <c r="F32" t="str">
        <f>_xlfn.XLOOKUP(B32,Employee_Master!A:A,Employee_Master!E:E,"Not Found")</f>
        <v>HR</v>
      </c>
      <c r="G32" t="s">
        <v>386</v>
      </c>
      <c r="H32">
        <f t="shared" si="0"/>
        <v>2.4754098360655736</v>
      </c>
      <c r="I32">
        <f t="shared" si="1"/>
        <v>61.211129296235676</v>
      </c>
    </row>
    <row r="33" spans="1:9">
      <c r="A33">
        <v>32</v>
      </c>
      <c r="B33">
        <v>15</v>
      </c>
      <c r="C33" s="1">
        <v>46231</v>
      </c>
      <c r="D33" t="s">
        <v>384</v>
      </c>
      <c r="E33">
        <v>1</v>
      </c>
      <c r="F33" t="str">
        <f>_xlfn.XLOOKUP(B33,Employee_Master!A:A,Employee_Master!E:E,"Not Found")</f>
        <v>Customer Support</v>
      </c>
      <c r="G33" t="s">
        <v>386</v>
      </c>
      <c r="H33">
        <f t="shared" si="0"/>
        <v>2.4778325123152709</v>
      </c>
      <c r="I33">
        <f t="shared" si="1"/>
        <v>61.147540983606554</v>
      </c>
    </row>
    <row r="34" spans="1:9">
      <c r="A34">
        <v>33</v>
      </c>
      <c r="B34">
        <v>15</v>
      </c>
      <c r="C34" s="1">
        <v>45963</v>
      </c>
      <c r="D34" t="s">
        <v>382</v>
      </c>
      <c r="E34">
        <v>2</v>
      </c>
      <c r="F34" t="str">
        <f>_xlfn.XLOOKUP(B34,Employee_Master!A:A,Employee_Master!E:E,"Not Found")</f>
        <v>Customer Support</v>
      </c>
      <c r="G34" t="s">
        <v>381</v>
      </c>
      <c r="H34">
        <f t="shared" si="0"/>
        <v>2.4802631578947367</v>
      </c>
      <c r="I34">
        <f t="shared" si="1"/>
        <v>61.247947454844009</v>
      </c>
    </row>
    <row r="35" spans="1:9">
      <c r="A35">
        <v>34</v>
      </c>
      <c r="B35">
        <v>16</v>
      </c>
      <c r="C35" s="1">
        <v>46238</v>
      </c>
      <c r="D35" t="s">
        <v>380</v>
      </c>
      <c r="E35">
        <v>2</v>
      </c>
      <c r="F35" t="str">
        <f>_xlfn.XLOOKUP(B35,Employee_Master!A:A,Employee_Master!E:E,"Not Found")</f>
        <v>Sales</v>
      </c>
      <c r="G35" t="s">
        <v>381</v>
      </c>
      <c r="H35">
        <f t="shared" si="0"/>
        <v>2.4810543657331139</v>
      </c>
      <c r="I35">
        <f t="shared" si="1"/>
        <v>61.348684210526315</v>
      </c>
    </row>
    <row r="36" spans="1:9">
      <c r="A36">
        <v>35</v>
      </c>
      <c r="B36">
        <v>17</v>
      </c>
      <c r="C36" s="1">
        <v>45992</v>
      </c>
      <c r="D36" t="s">
        <v>383</v>
      </c>
      <c r="E36">
        <v>1</v>
      </c>
      <c r="F36" t="str">
        <f>_xlfn.XLOOKUP(B36,Employee_Master!A:A,Employee_Master!E:E,"Not Found")</f>
        <v>IT</v>
      </c>
      <c r="G36" t="s">
        <v>381</v>
      </c>
      <c r="H36">
        <f t="shared" si="0"/>
        <v>2.4818481848184817</v>
      </c>
      <c r="I36">
        <f t="shared" si="1"/>
        <v>61.285008237232283</v>
      </c>
    </row>
    <row r="37" spans="1:9">
      <c r="A37">
        <v>36</v>
      </c>
      <c r="B37">
        <v>17</v>
      </c>
      <c r="C37" s="1">
        <v>46137</v>
      </c>
      <c r="D37" t="s">
        <v>382</v>
      </c>
      <c r="E37">
        <v>4</v>
      </c>
      <c r="F37" t="str">
        <f>_xlfn.XLOOKUP(B37,Employee_Master!A:A,Employee_Master!E:E,"Not Found")</f>
        <v>IT</v>
      </c>
      <c r="G37" t="s">
        <v>385</v>
      </c>
      <c r="H37">
        <f t="shared" si="0"/>
        <v>2.4842975206611571</v>
      </c>
      <c r="I37">
        <f t="shared" si="1"/>
        <v>61.221122112211226</v>
      </c>
    </row>
    <row r="38" spans="1:9">
      <c r="A38">
        <v>37</v>
      </c>
      <c r="B38">
        <v>17</v>
      </c>
      <c r="C38" s="1">
        <v>46287</v>
      </c>
      <c r="D38" t="s">
        <v>382</v>
      </c>
      <c r="E38">
        <v>2</v>
      </c>
      <c r="F38" t="str">
        <f>_xlfn.XLOOKUP(B38,Employee_Master!A:A,Employee_Master!E:E,"Not Found")</f>
        <v>IT</v>
      </c>
      <c r="G38" t="s">
        <v>381</v>
      </c>
      <c r="H38">
        <f t="shared" si="0"/>
        <v>2.4817880794701987</v>
      </c>
      <c r="I38">
        <f t="shared" si="1"/>
        <v>61.157024793388423</v>
      </c>
    </row>
    <row r="39" spans="1:9">
      <c r="A39">
        <v>38</v>
      </c>
      <c r="B39">
        <v>18</v>
      </c>
      <c r="C39" s="1">
        <v>45980</v>
      </c>
      <c r="D39" t="s">
        <v>383</v>
      </c>
      <c r="E39">
        <v>3</v>
      </c>
      <c r="F39" t="str">
        <f>_xlfn.XLOOKUP(B39,Employee_Master!A:A,Employee_Master!E:E,"Not Found")</f>
        <v>Sales</v>
      </c>
      <c r="G39" t="s">
        <v>381</v>
      </c>
      <c r="H39">
        <f t="shared" si="0"/>
        <v>2.4825870646766171</v>
      </c>
      <c r="I39">
        <f t="shared" si="1"/>
        <v>61.258278145695364</v>
      </c>
    </row>
    <row r="40" spans="1:9">
      <c r="A40">
        <v>39</v>
      </c>
      <c r="B40">
        <v>19</v>
      </c>
      <c r="C40" s="1">
        <v>46060</v>
      </c>
      <c r="D40" t="s">
        <v>382</v>
      </c>
      <c r="E40">
        <v>1</v>
      </c>
      <c r="F40" t="str">
        <f>_xlfn.XLOOKUP(B40,Employee_Master!A:A,Employee_Master!E:E,"Not Found")</f>
        <v>Finance</v>
      </c>
      <c r="G40" t="s">
        <v>381</v>
      </c>
      <c r="H40">
        <f t="shared" si="0"/>
        <v>2.4817275747508307</v>
      </c>
      <c r="I40">
        <f t="shared" si="1"/>
        <v>61.194029850746269</v>
      </c>
    </row>
    <row r="41" spans="1:9">
      <c r="A41">
        <v>40</v>
      </c>
      <c r="B41">
        <v>19</v>
      </c>
      <c r="C41" s="1">
        <v>46064</v>
      </c>
      <c r="D41" t="s">
        <v>382</v>
      </c>
      <c r="E41">
        <v>2</v>
      </c>
      <c r="F41" t="str">
        <f>_xlfn.XLOOKUP(B41,Employee_Master!A:A,Employee_Master!E:E,"Not Found")</f>
        <v>Finance</v>
      </c>
      <c r="G41" t="s">
        <v>381</v>
      </c>
      <c r="H41">
        <f t="shared" si="0"/>
        <v>2.4841930116472546</v>
      </c>
      <c r="I41">
        <f t="shared" si="1"/>
        <v>61.129568106312291</v>
      </c>
    </row>
    <row r="42" spans="1:9">
      <c r="A42">
        <v>41</v>
      </c>
      <c r="B42">
        <v>19</v>
      </c>
      <c r="C42" s="1">
        <v>46110</v>
      </c>
      <c r="D42" t="s">
        <v>384</v>
      </c>
      <c r="E42">
        <v>3</v>
      </c>
      <c r="F42" t="str">
        <f>_xlfn.XLOOKUP(B42,Employee_Master!A:A,Employee_Master!E:E,"Not Found")</f>
        <v>Finance</v>
      </c>
      <c r="G42" t="s">
        <v>385</v>
      </c>
      <c r="H42">
        <f t="shared" si="0"/>
        <v>2.4849999999999999</v>
      </c>
      <c r="I42">
        <f t="shared" si="1"/>
        <v>61.064891846921796</v>
      </c>
    </row>
    <row r="43" spans="1:9">
      <c r="A43">
        <v>42</v>
      </c>
      <c r="B43">
        <v>21</v>
      </c>
      <c r="C43" s="1">
        <v>46062</v>
      </c>
      <c r="D43" t="s">
        <v>384</v>
      </c>
      <c r="E43">
        <v>1</v>
      </c>
      <c r="F43" t="str">
        <f>_xlfn.XLOOKUP(B43,Employee_Master!A:A,Employee_Master!E:E,"Not Found")</f>
        <v>IT</v>
      </c>
      <c r="G43" t="s">
        <v>386</v>
      </c>
      <c r="H43">
        <f t="shared" si="0"/>
        <v>2.4841402337228713</v>
      </c>
      <c r="I43">
        <f t="shared" si="1"/>
        <v>61</v>
      </c>
    </row>
    <row r="44" spans="1:9">
      <c r="A44">
        <v>43</v>
      </c>
      <c r="B44">
        <v>21</v>
      </c>
      <c r="C44" s="1">
        <v>45961</v>
      </c>
      <c r="D44" t="s">
        <v>383</v>
      </c>
      <c r="E44">
        <v>1</v>
      </c>
      <c r="F44" t="str">
        <f>_xlfn.XLOOKUP(B44,Employee_Master!A:A,Employee_Master!E:E,"Not Found")</f>
        <v>IT</v>
      </c>
      <c r="G44" t="s">
        <v>381</v>
      </c>
      <c r="H44">
        <f t="shared" si="0"/>
        <v>2.4866220735785953</v>
      </c>
      <c r="I44">
        <f t="shared" si="1"/>
        <v>61.101836393989984</v>
      </c>
    </row>
    <row r="45" spans="1:9">
      <c r="A45">
        <v>44</v>
      </c>
      <c r="B45">
        <v>21</v>
      </c>
      <c r="C45" s="1">
        <v>45931</v>
      </c>
      <c r="D45" t="s">
        <v>384</v>
      </c>
      <c r="E45">
        <v>1</v>
      </c>
      <c r="F45" t="str">
        <f>_xlfn.XLOOKUP(B45,Employee_Master!A:A,Employee_Master!E:E,"Not Found")</f>
        <v>IT</v>
      </c>
      <c r="G45" t="s">
        <v>381</v>
      </c>
      <c r="H45">
        <f t="shared" si="0"/>
        <v>2.4891122278056952</v>
      </c>
      <c r="I45">
        <f t="shared" si="1"/>
        <v>61.204013377926422</v>
      </c>
    </row>
    <row r="46" spans="1:9">
      <c r="A46">
        <v>45</v>
      </c>
      <c r="B46">
        <v>21</v>
      </c>
      <c r="C46" s="1">
        <v>46127</v>
      </c>
      <c r="D46" t="s">
        <v>383</v>
      </c>
      <c r="E46">
        <v>1</v>
      </c>
      <c r="F46" t="str">
        <f>_xlfn.XLOOKUP(B46,Employee_Master!A:A,Employee_Master!E:E,"Not Found")</f>
        <v>IT</v>
      </c>
      <c r="G46" t="s">
        <v>386</v>
      </c>
      <c r="H46">
        <f t="shared" si="0"/>
        <v>2.4916107382550337</v>
      </c>
      <c r="I46">
        <f t="shared" si="1"/>
        <v>61.139028475711889</v>
      </c>
    </row>
    <row r="47" spans="1:9">
      <c r="A47">
        <v>46</v>
      </c>
      <c r="B47">
        <v>22</v>
      </c>
      <c r="C47" s="1">
        <v>46122</v>
      </c>
      <c r="D47" t="s">
        <v>384</v>
      </c>
      <c r="E47">
        <v>2</v>
      </c>
      <c r="F47" t="str">
        <f>_xlfn.XLOOKUP(B47,Employee_Master!A:A,Employee_Master!E:E,"Not Found")</f>
        <v>IT</v>
      </c>
      <c r="G47" t="s">
        <v>381</v>
      </c>
      <c r="H47">
        <f t="shared" si="0"/>
        <v>2.4941176470588236</v>
      </c>
      <c r="I47">
        <f t="shared" si="1"/>
        <v>61.073825503355707</v>
      </c>
    </row>
    <row r="48" spans="1:9">
      <c r="A48">
        <v>47</v>
      </c>
      <c r="B48">
        <v>22</v>
      </c>
      <c r="C48" s="1">
        <v>46256</v>
      </c>
      <c r="D48" t="s">
        <v>382</v>
      </c>
      <c r="E48">
        <v>2</v>
      </c>
      <c r="F48" t="str">
        <f>_xlfn.XLOOKUP(B48,Employee_Master!A:A,Employee_Master!E:E,"Not Found")</f>
        <v>IT</v>
      </c>
      <c r="G48" t="s">
        <v>386</v>
      </c>
      <c r="H48">
        <f t="shared" si="0"/>
        <v>2.4949494949494948</v>
      </c>
      <c r="I48">
        <f t="shared" si="1"/>
        <v>61.176470588235297</v>
      </c>
    </row>
    <row r="49" spans="1:9">
      <c r="A49">
        <v>48</v>
      </c>
      <c r="B49">
        <v>22</v>
      </c>
      <c r="C49" s="1">
        <v>46042</v>
      </c>
      <c r="D49" t="s">
        <v>383</v>
      </c>
      <c r="E49">
        <v>1</v>
      </c>
      <c r="F49" t="str">
        <f>_xlfn.XLOOKUP(B49,Employee_Master!A:A,Employee_Master!E:E,"Not Found")</f>
        <v>IT</v>
      </c>
      <c r="G49" t="s">
        <v>381</v>
      </c>
      <c r="H49">
        <f t="shared" si="0"/>
        <v>2.4957841483979766</v>
      </c>
      <c r="I49">
        <f t="shared" si="1"/>
        <v>61.111111111111114</v>
      </c>
    </row>
    <row r="50" spans="1:9">
      <c r="A50">
        <v>49</v>
      </c>
      <c r="B50">
        <v>22</v>
      </c>
      <c r="C50" s="1">
        <v>46238</v>
      </c>
      <c r="D50" t="s">
        <v>383</v>
      </c>
      <c r="E50">
        <v>2</v>
      </c>
      <c r="F50" t="str">
        <f>_xlfn.XLOOKUP(B50,Employee_Master!A:A,Employee_Master!E:E,"Not Found")</f>
        <v>IT</v>
      </c>
      <c r="G50" t="s">
        <v>385</v>
      </c>
      <c r="H50">
        <f t="shared" si="0"/>
        <v>2.498310810810811</v>
      </c>
      <c r="I50">
        <f t="shared" si="1"/>
        <v>61.214165261382803</v>
      </c>
    </row>
    <row r="51" spans="1:9">
      <c r="A51">
        <v>50</v>
      </c>
      <c r="B51">
        <v>23</v>
      </c>
      <c r="C51" s="1">
        <v>46190</v>
      </c>
      <c r="D51" t="s">
        <v>380</v>
      </c>
      <c r="E51">
        <v>4</v>
      </c>
      <c r="F51" t="str">
        <f>_xlfn.XLOOKUP(B51,Employee_Master!A:A,Employee_Master!E:E,"Not Found")</f>
        <v>IT</v>
      </c>
      <c r="G51" t="s">
        <v>381</v>
      </c>
      <c r="H51">
        <f t="shared" si="0"/>
        <v>2.4991539763113368</v>
      </c>
      <c r="I51">
        <f t="shared" si="1"/>
        <v>61.148648648648653</v>
      </c>
    </row>
    <row r="52" spans="1:9">
      <c r="A52">
        <v>51</v>
      </c>
      <c r="B52">
        <v>24</v>
      </c>
      <c r="C52" s="1">
        <v>45950</v>
      </c>
      <c r="D52" t="s">
        <v>384</v>
      </c>
      <c r="E52">
        <v>3</v>
      </c>
      <c r="F52" t="str">
        <f>_xlfn.XLOOKUP(B52,Employee_Master!A:A,Employee_Master!E:E,"Not Found")</f>
        <v>Operations</v>
      </c>
      <c r="G52" t="s">
        <v>381</v>
      </c>
      <c r="H52">
        <f t="shared" si="0"/>
        <v>2.4966101694915253</v>
      </c>
      <c r="I52">
        <f t="shared" si="1"/>
        <v>61.252115059221659</v>
      </c>
    </row>
    <row r="53" spans="1:9">
      <c r="A53">
        <v>52</v>
      </c>
      <c r="B53">
        <v>24</v>
      </c>
      <c r="C53" s="1">
        <v>45986</v>
      </c>
      <c r="D53" t="s">
        <v>383</v>
      </c>
      <c r="E53">
        <v>2</v>
      </c>
      <c r="F53" t="str">
        <f>_xlfn.XLOOKUP(B53,Employee_Master!A:A,Employee_Master!E:E,"Not Found")</f>
        <v>Operations</v>
      </c>
      <c r="G53" t="s">
        <v>386</v>
      </c>
      <c r="H53">
        <f t="shared" si="0"/>
        <v>2.4957555178268249</v>
      </c>
      <c r="I53">
        <f t="shared" si="1"/>
        <v>61.186440677966104</v>
      </c>
    </row>
    <row r="54" spans="1:9">
      <c r="A54">
        <v>53</v>
      </c>
      <c r="B54">
        <v>24</v>
      </c>
      <c r="C54" s="1">
        <v>46196</v>
      </c>
      <c r="D54" t="s">
        <v>380</v>
      </c>
      <c r="E54">
        <v>1</v>
      </c>
      <c r="F54" t="str">
        <f>_xlfn.XLOOKUP(B54,Employee_Master!A:A,Employee_Master!E:E,"Not Found")</f>
        <v>Operations</v>
      </c>
      <c r="G54" t="s">
        <v>385</v>
      </c>
      <c r="H54">
        <f t="shared" si="0"/>
        <v>2.4965986394557822</v>
      </c>
      <c r="I54">
        <f t="shared" si="1"/>
        <v>61.120543293718164</v>
      </c>
    </row>
    <row r="55" spans="1:9">
      <c r="A55">
        <v>54</v>
      </c>
      <c r="B55">
        <v>24</v>
      </c>
      <c r="C55" s="1">
        <v>46029</v>
      </c>
      <c r="D55" t="s">
        <v>380</v>
      </c>
      <c r="E55">
        <v>3</v>
      </c>
      <c r="F55" t="str">
        <f>_xlfn.XLOOKUP(B55,Employee_Master!A:A,Employee_Master!E:E,"Not Found")</f>
        <v>Operations</v>
      </c>
      <c r="G55" t="s">
        <v>385</v>
      </c>
      <c r="H55">
        <f t="shared" si="0"/>
        <v>2.4991482112436114</v>
      </c>
      <c r="I55">
        <f t="shared" si="1"/>
        <v>61.224489795918366</v>
      </c>
    </row>
    <row r="56" spans="1:9">
      <c r="A56">
        <v>55</v>
      </c>
      <c r="B56">
        <v>25</v>
      </c>
      <c r="C56" s="1">
        <v>46130</v>
      </c>
      <c r="D56" t="s">
        <v>382</v>
      </c>
      <c r="E56">
        <v>1</v>
      </c>
      <c r="F56" t="str">
        <f>_xlfn.XLOOKUP(B56,Employee_Master!A:A,Employee_Master!E:E,"Not Found")</f>
        <v>HR</v>
      </c>
      <c r="G56" t="s">
        <v>386</v>
      </c>
      <c r="H56">
        <f t="shared" si="0"/>
        <v>2.4982935153583616</v>
      </c>
      <c r="I56">
        <f t="shared" si="1"/>
        <v>61.32879045996593</v>
      </c>
    </row>
    <row r="57" spans="1:9">
      <c r="A57">
        <v>56</v>
      </c>
      <c r="B57">
        <v>25</v>
      </c>
      <c r="C57" s="1">
        <v>45964</v>
      </c>
      <c r="D57" t="s">
        <v>383</v>
      </c>
      <c r="E57">
        <v>2</v>
      </c>
      <c r="F57" t="str">
        <f>_xlfn.XLOOKUP(B57,Employee_Master!A:A,Employee_Master!E:E,"Not Found")</f>
        <v>HR</v>
      </c>
      <c r="G57" t="s">
        <v>381</v>
      </c>
      <c r="H57">
        <f t="shared" si="0"/>
        <v>2.5008547008547009</v>
      </c>
      <c r="I57">
        <f t="shared" si="1"/>
        <v>61.43344709897611</v>
      </c>
    </row>
    <row r="58" spans="1:9">
      <c r="A58">
        <v>57</v>
      </c>
      <c r="B58">
        <v>25</v>
      </c>
      <c r="C58" s="1">
        <v>46003</v>
      </c>
      <c r="D58" t="s">
        <v>380</v>
      </c>
      <c r="E58">
        <v>4</v>
      </c>
      <c r="F58" t="str">
        <f>_xlfn.XLOOKUP(B58,Employee_Master!A:A,Employee_Master!E:E,"Not Found")</f>
        <v>HR</v>
      </c>
      <c r="G58" t="s">
        <v>381</v>
      </c>
      <c r="H58">
        <f t="shared" si="0"/>
        <v>2.5017123287671232</v>
      </c>
      <c r="I58">
        <f t="shared" si="1"/>
        <v>61.53846153846154</v>
      </c>
    </row>
    <row r="59" spans="1:9">
      <c r="A59">
        <v>58</v>
      </c>
      <c r="B59">
        <v>25</v>
      </c>
      <c r="C59" s="1">
        <v>46137</v>
      </c>
      <c r="D59" t="s">
        <v>384</v>
      </c>
      <c r="E59">
        <v>3</v>
      </c>
      <c r="F59" t="str">
        <f>_xlfn.XLOOKUP(B59,Employee_Master!A:A,Employee_Master!E:E,"Not Found")</f>
        <v>HR</v>
      </c>
      <c r="G59" t="s">
        <v>381</v>
      </c>
      <c r="H59">
        <f t="shared" si="0"/>
        <v>2.4991423670668955</v>
      </c>
      <c r="I59">
        <f t="shared" si="1"/>
        <v>61.472602739726021</v>
      </c>
    </row>
    <row r="60" spans="1:9">
      <c r="A60">
        <v>59</v>
      </c>
      <c r="B60">
        <v>26</v>
      </c>
      <c r="C60" s="1">
        <v>46268</v>
      </c>
      <c r="D60" t="s">
        <v>384</v>
      </c>
      <c r="E60">
        <v>1</v>
      </c>
      <c r="F60" t="str">
        <f>_xlfn.XLOOKUP(B60,Employee_Master!A:A,Employee_Master!E:E,"Not Found")</f>
        <v>HR</v>
      </c>
      <c r="G60" t="s">
        <v>381</v>
      </c>
      <c r="H60">
        <f t="shared" si="0"/>
        <v>2.4982817869415808</v>
      </c>
      <c r="I60">
        <f t="shared" si="1"/>
        <v>61.406518010291599</v>
      </c>
    </row>
    <row r="61" spans="1:9">
      <c r="A61">
        <v>60</v>
      </c>
      <c r="B61">
        <v>26</v>
      </c>
      <c r="C61" s="1">
        <v>46200</v>
      </c>
      <c r="D61" t="s">
        <v>382</v>
      </c>
      <c r="E61">
        <v>2</v>
      </c>
      <c r="F61" t="str">
        <f>_xlfn.XLOOKUP(B61,Employee_Master!A:A,Employee_Master!E:E,"Not Found")</f>
        <v>HR</v>
      </c>
      <c r="G61" t="s">
        <v>381</v>
      </c>
      <c r="H61">
        <f t="shared" si="0"/>
        <v>2.5008605851979344</v>
      </c>
      <c r="I61">
        <f t="shared" si="1"/>
        <v>61.340206185567013</v>
      </c>
    </row>
    <row r="62" spans="1:9">
      <c r="A62">
        <v>61</v>
      </c>
      <c r="B62">
        <v>26</v>
      </c>
      <c r="C62" s="1">
        <v>46095</v>
      </c>
      <c r="D62" t="s">
        <v>380</v>
      </c>
      <c r="E62">
        <v>4</v>
      </c>
      <c r="F62" t="str">
        <f>_xlfn.XLOOKUP(B62,Employee_Master!A:A,Employee_Master!E:E,"Not Found")</f>
        <v>HR</v>
      </c>
      <c r="G62" t="s">
        <v>381</v>
      </c>
      <c r="H62">
        <f t="shared" si="0"/>
        <v>2.5017241379310344</v>
      </c>
      <c r="I62">
        <f t="shared" si="1"/>
        <v>61.273666092943202</v>
      </c>
    </row>
    <row r="63" spans="1:9">
      <c r="A63">
        <v>62</v>
      </c>
      <c r="B63">
        <v>27</v>
      </c>
      <c r="C63" s="1">
        <v>46251</v>
      </c>
      <c r="D63" t="s">
        <v>382</v>
      </c>
      <c r="E63">
        <v>4</v>
      </c>
      <c r="F63" t="str">
        <f>_xlfn.XLOOKUP(B63,Employee_Master!A:A,Employee_Master!E:E,"Not Found")</f>
        <v>Sales</v>
      </c>
      <c r="G63" t="s">
        <v>385</v>
      </c>
      <c r="H63">
        <f t="shared" si="0"/>
        <v>2.4991364421416233</v>
      </c>
      <c r="I63">
        <f t="shared" si="1"/>
        <v>61.206896551724135</v>
      </c>
    </row>
    <row r="64" spans="1:9">
      <c r="A64">
        <v>63</v>
      </c>
      <c r="B64">
        <v>27</v>
      </c>
      <c r="C64" s="1">
        <v>46124</v>
      </c>
      <c r="D64" t="s">
        <v>384</v>
      </c>
      <c r="E64">
        <v>4</v>
      </c>
      <c r="F64" t="str">
        <f>_xlfn.XLOOKUP(B64,Employee_Master!A:A,Employee_Master!E:E,"Not Found")</f>
        <v>Sales</v>
      </c>
      <c r="G64" t="s">
        <v>381</v>
      </c>
      <c r="H64">
        <f t="shared" si="0"/>
        <v>2.4965397923875434</v>
      </c>
      <c r="I64">
        <f t="shared" si="1"/>
        <v>61.139896373056992</v>
      </c>
    </row>
    <row r="65" spans="1:9">
      <c r="A65">
        <v>64</v>
      </c>
      <c r="B65">
        <v>28</v>
      </c>
      <c r="C65" s="1">
        <v>45984</v>
      </c>
      <c r="D65" t="s">
        <v>383</v>
      </c>
      <c r="E65">
        <v>4</v>
      </c>
      <c r="F65" t="str">
        <f>_xlfn.XLOOKUP(B65,Employee_Master!A:A,Employee_Master!E:E,"Not Found")</f>
        <v>IT</v>
      </c>
      <c r="G65" t="s">
        <v>386</v>
      </c>
      <c r="H65">
        <f t="shared" si="0"/>
        <v>2.4939341421143846</v>
      </c>
      <c r="I65">
        <f t="shared" si="1"/>
        <v>61.245674740484425</v>
      </c>
    </row>
    <row r="66" spans="1:9">
      <c r="A66">
        <v>65</v>
      </c>
      <c r="B66">
        <v>28</v>
      </c>
      <c r="C66" s="1">
        <v>46130</v>
      </c>
      <c r="D66" t="s">
        <v>383</v>
      </c>
      <c r="E66">
        <v>4</v>
      </c>
      <c r="F66" t="str">
        <f>_xlfn.XLOOKUP(B66,Employee_Master!A:A,Employee_Master!E:E,"Not Found")</f>
        <v>IT</v>
      </c>
      <c r="G66" t="s">
        <v>381</v>
      </c>
      <c r="H66">
        <f t="shared" ref="H66:H129" si="2">AVERAGE(E66:E705)</f>
        <v>2.4913194444444446</v>
      </c>
      <c r="I66">
        <f t="shared" ref="I66:I129" si="3">COUNTIF(G65:G704,"Approved")/COUNTA(G65:G704)*100</f>
        <v>61.178509532062385</v>
      </c>
    </row>
    <row r="67" spans="1:9">
      <c r="A67">
        <v>66</v>
      </c>
      <c r="B67">
        <v>28</v>
      </c>
      <c r="C67" s="1">
        <v>46281</v>
      </c>
      <c r="D67" t="s">
        <v>384</v>
      </c>
      <c r="E67">
        <v>1</v>
      </c>
      <c r="F67" t="str">
        <f>_xlfn.XLOOKUP(B67,Employee_Master!A:A,Employee_Master!E:E,"Not Found")</f>
        <v>IT</v>
      </c>
      <c r="G67" t="s">
        <v>381</v>
      </c>
      <c r="H67">
        <f t="shared" si="2"/>
        <v>2.488695652173913</v>
      </c>
      <c r="I67">
        <f t="shared" si="3"/>
        <v>61.284722222222221</v>
      </c>
    </row>
    <row r="68" spans="1:9">
      <c r="A68">
        <v>67</v>
      </c>
      <c r="B68">
        <v>30</v>
      </c>
      <c r="C68" s="1">
        <v>46231</v>
      </c>
      <c r="D68" t="s">
        <v>380</v>
      </c>
      <c r="E68">
        <v>3</v>
      </c>
      <c r="F68" t="str">
        <f>_xlfn.XLOOKUP(B68,Employee_Master!A:A,Employee_Master!E:E,"Not Found")</f>
        <v>Sales</v>
      </c>
      <c r="G68" t="s">
        <v>381</v>
      </c>
      <c r="H68">
        <f t="shared" si="2"/>
        <v>2.491289198606272</v>
      </c>
      <c r="I68">
        <f t="shared" si="3"/>
        <v>61.217391304347821</v>
      </c>
    </row>
    <row r="69" spans="1:9">
      <c r="A69">
        <v>68</v>
      </c>
      <c r="B69">
        <v>30</v>
      </c>
      <c r="C69" s="1">
        <v>46204</v>
      </c>
      <c r="D69" t="s">
        <v>384</v>
      </c>
      <c r="E69">
        <v>1</v>
      </c>
      <c r="F69" t="str">
        <f>_xlfn.XLOOKUP(B69,Employee_Master!A:A,Employee_Master!E:E,"Not Found")</f>
        <v>Sales</v>
      </c>
      <c r="G69" t="s">
        <v>381</v>
      </c>
      <c r="H69">
        <f t="shared" si="2"/>
        <v>2.4904013961605584</v>
      </c>
      <c r="I69">
        <f t="shared" si="3"/>
        <v>61.149825783972119</v>
      </c>
    </row>
    <row r="70" spans="1:9">
      <c r="A70">
        <v>69</v>
      </c>
      <c r="B70">
        <v>31</v>
      </c>
      <c r="C70" s="1">
        <v>46027</v>
      </c>
      <c r="D70" t="s">
        <v>383</v>
      </c>
      <c r="E70">
        <v>1</v>
      </c>
      <c r="F70" t="str">
        <f>_xlfn.XLOOKUP(B70,Employee_Master!A:A,Employee_Master!E:E,"Not Found")</f>
        <v>Customer Support</v>
      </c>
      <c r="G70" t="s">
        <v>385</v>
      </c>
      <c r="H70">
        <f t="shared" si="2"/>
        <v>2.4930069930069929</v>
      </c>
      <c r="I70">
        <f t="shared" si="3"/>
        <v>61.082024432809781</v>
      </c>
    </row>
    <row r="71" spans="1:9">
      <c r="A71">
        <v>70</v>
      </c>
      <c r="B71">
        <v>31</v>
      </c>
      <c r="C71" s="1">
        <v>46191</v>
      </c>
      <c r="D71" t="s">
        <v>380</v>
      </c>
      <c r="E71">
        <v>3</v>
      </c>
      <c r="F71" t="str">
        <f>_xlfn.XLOOKUP(B71,Employee_Master!A:A,Employee_Master!E:E,"Not Found")</f>
        <v>Customer Support</v>
      </c>
      <c r="G71" t="s">
        <v>381</v>
      </c>
      <c r="H71">
        <f t="shared" si="2"/>
        <v>2.4956217162872156</v>
      </c>
      <c r="I71">
        <f t="shared" si="3"/>
        <v>61.013986013986013</v>
      </c>
    </row>
    <row r="72" spans="1:9">
      <c r="A72">
        <v>71</v>
      </c>
      <c r="B72">
        <v>31</v>
      </c>
      <c r="C72" s="1">
        <v>46040</v>
      </c>
      <c r="D72" t="s">
        <v>384</v>
      </c>
      <c r="E72">
        <v>4</v>
      </c>
      <c r="F72" t="str">
        <f>_xlfn.XLOOKUP(B72,Employee_Master!A:A,Employee_Master!E:E,"Not Found")</f>
        <v>Customer Support</v>
      </c>
      <c r="G72" t="s">
        <v>381</v>
      </c>
      <c r="H72">
        <f t="shared" si="2"/>
        <v>2.4947368421052634</v>
      </c>
      <c r="I72">
        <f t="shared" si="3"/>
        <v>61.120840630472848</v>
      </c>
    </row>
    <row r="73" spans="1:9">
      <c r="A73">
        <v>72</v>
      </c>
      <c r="B73">
        <v>32</v>
      </c>
      <c r="C73" s="1">
        <v>46295</v>
      </c>
      <c r="D73" t="s">
        <v>383</v>
      </c>
      <c r="E73">
        <v>1</v>
      </c>
      <c r="F73" t="str">
        <f>_xlfn.XLOOKUP(B73,Employee_Master!A:A,Employee_Master!E:E,"Not Found")</f>
        <v>Sales</v>
      </c>
      <c r="G73" t="s">
        <v>381</v>
      </c>
      <c r="H73">
        <f t="shared" si="2"/>
        <v>2.492091388400703</v>
      </c>
      <c r="I73">
        <f t="shared" si="3"/>
        <v>61.05263157894737</v>
      </c>
    </row>
    <row r="74" spans="1:9">
      <c r="A74">
        <v>73</v>
      </c>
      <c r="B74">
        <v>33</v>
      </c>
      <c r="C74" s="1">
        <v>46036</v>
      </c>
      <c r="D74" t="s">
        <v>384</v>
      </c>
      <c r="E74">
        <v>1</v>
      </c>
      <c r="F74" t="str">
        <f>_xlfn.XLOOKUP(B74,Employee_Master!A:A,Employee_Master!E:E,"Not Found")</f>
        <v>IT</v>
      </c>
      <c r="G74" t="s">
        <v>385</v>
      </c>
      <c r="H74">
        <f t="shared" si="2"/>
        <v>2.494718309859155</v>
      </c>
      <c r="I74">
        <f t="shared" si="3"/>
        <v>60.984182776801411</v>
      </c>
    </row>
    <row r="75" spans="1:9">
      <c r="A75">
        <v>74</v>
      </c>
      <c r="B75">
        <v>33</v>
      </c>
      <c r="C75" s="1">
        <v>46036</v>
      </c>
      <c r="D75" t="s">
        <v>384</v>
      </c>
      <c r="E75">
        <v>3</v>
      </c>
      <c r="F75" t="str">
        <f>_xlfn.XLOOKUP(B75,Employee_Master!A:A,Employee_Master!E:E,"Not Found")</f>
        <v>IT</v>
      </c>
      <c r="G75" t="s">
        <v>381</v>
      </c>
      <c r="H75">
        <f t="shared" si="2"/>
        <v>2.4973544973544972</v>
      </c>
      <c r="I75">
        <f t="shared" si="3"/>
        <v>60.915492957746473</v>
      </c>
    </row>
    <row r="76" spans="1:9">
      <c r="A76">
        <v>75</v>
      </c>
      <c r="B76">
        <v>33</v>
      </c>
      <c r="C76" s="1">
        <v>46054</v>
      </c>
      <c r="D76" t="s">
        <v>383</v>
      </c>
      <c r="E76">
        <v>2</v>
      </c>
      <c r="F76" t="str">
        <f>_xlfn.XLOOKUP(B76,Employee_Master!A:A,Employee_Master!E:E,"Not Found")</f>
        <v>IT</v>
      </c>
      <c r="G76" t="s">
        <v>385</v>
      </c>
      <c r="H76">
        <f t="shared" si="2"/>
        <v>2.4964664310954063</v>
      </c>
      <c r="I76">
        <f t="shared" si="3"/>
        <v>61.022927689594354</v>
      </c>
    </row>
    <row r="77" spans="1:9">
      <c r="A77">
        <v>76</v>
      </c>
      <c r="B77">
        <v>34</v>
      </c>
      <c r="C77" s="1">
        <v>46121</v>
      </c>
      <c r="D77" t="s">
        <v>382</v>
      </c>
      <c r="E77">
        <v>1</v>
      </c>
      <c r="F77" t="str">
        <f>_xlfn.XLOOKUP(B77,Employee_Master!A:A,Employee_Master!E:E,"Not Found")</f>
        <v>IT</v>
      </c>
      <c r="G77" t="s">
        <v>381</v>
      </c>
      <c r="H77">
        <f t="shared" si="2"/>
        <v>2.4973451327433627</v>
      </c>
      <c r="I77">
        <f t="shared" si="3"/>
        <v>60.954063604240282</v>
      </c>
    </row>
    <row r="78" spans="1:9">
      <c r="A78">
        <v>77</v>
      </c>
      <c r="B78">
        <v>35</v>
      </c>
      <c r="C78" s="1">
        <v>46237</v>
      </c>
      <c r="D78" t="s">
        <v>380</v>
      </c>
      <c r="E78">
        <v>3</v>
      </c>
      <c r="F78" t="str">
        <f>_xlfn.XLOOKUP(B78,Employee_Master!A:A,Employee_Master!E:E,"Not Found")</f>
        <v>Operations</v>
      </c>
      <c r="G78" t="s">
        <v>385</v>
      </c>
      <c r="H78">
        <f t="shared" si="2"/>
        <v>2.5</v>
      </c>
      <c r="I78">
        <f t="shared" si="3"/>
        <v>61.06194690265486</v>
      </c>
    </row>
    <row r="79" spans="1:9">
      <c r="A79">
        <v>78</v>
      </c>
      <c r="B79">
        <v>36</v>
      </c>
      <c r="C79" s="1">
        <v>46294</v>
      </c>
      <c r="D79" t="s">
        <v>383</v>
      </c>
      <c r="E79">
        <v>2</v>
      </c>
      <c r="F79" t="str">
        <f>_xlfn.XLOOKUP(B79,Employee_Master!A:A,Employee_Master!E:E,"Not Found")</f>
        <v>Marketing</v>
      </c>
      <c r="G79" t="s">
        <v>381</v>
      </c>
      <c r="H79">
        <f t="shared" si="2"/>
        <v>2.4991119005328595</v>
      </c>
      <c r="I79">
        <f t="shared" si="3"/>
        <v>60.99290780141844</v>
      </c>
    </row>
    <row r="80" spans="1:9">
      <c r="A80">
        <v>79</v>
      </c>
      <c r="B80">
        <v>36</v>
      </c>
      <c r="C80" s="1">
        <v>46140</v>
      </c>
      <c r="D80" t="s">
        <v>384</v>
      </c>
      <c r="E80">
        <v>4</v>
      </c>
      <c r="F80" t="str">
        <f>_xlfn.XLOOKUP(B80,Employee_Master!A:A,Employee_Master!E:E,"Not Found")</f>
        <v>Marketing</v>
      </c>
      <c r="G80" t="s">
        <v>385</v>
      </c>
      <c r="H80">
        <f t="shared" si="2"/>
        <v>2.5</v>
      </c>
      <c r="I80">
        <f t="shared" si="3"/>
        <v>61.101243339253998</v>
      </c>
    </row>
    <row r="81" spans="1:9">
      <c r="A81">
        <v>80</v>
      </c>
      <c r="B81">
        <v>36</v>
      </c>
      <c r="C81" s="1">
        <v>46124</v>
      </c>
      <c r="D81" t="s">
        <v>383</v>
      </c>
      <c r="E81">
        <v>2</v>
      </c>
      <c r="F81" t="str">
        <f>_xlfn.XLOOKUP(B81,Employee_Master!A:A,Employee_Master!E:E,"Not Found")</f>
        <v>Marketing</v>
      </c>
      <c r="G81" t="s">
        <v>385</v>
      </c>
      <c r="H81">
        <f t="shared" si="2"/>
        <v>2.4973262032085564</v>
      </c>
      <c r="I81">
        <f t="shared" si="3"/>
        <v>61.032028469750884</v>
      </c>
    </row>
    <row r="82" spans="1:9">
      <c r="A82">
        <v>81</v>
      </c>
      <c r="B82">
        <v>36</v>
      </c>
      <c r="C82" s="1">
        <v>46060</v>
      </c>
      <c r="D82" t="s">
        <v>384</v>
      </c>
      <c r="E82">
        <v>4</v>
      </c>
      <c r="F82" t="str">
        <f>_xlfn.XLOOKUP(B82,Employee_Master!A:A,Employee_Master!E:E,"Not Found")</f>
        <v>Marketing</v>
      </c>
      <c r="G82" t="s">
        <v>381</v>
      </c>
      <c r="H82">
        <f t="shared" si="2"/>
        <v>2.4982142857142855</v>
      </c>
      <c r="I82">
        <f t="shared" si="3"/>
        <v>61.140819964349383</v>
      </c>
    </row>
    <row r="83" spans="1:9">
      <c r="A83">
        <v>82</v>
      </c>
      <c r="B83">
        <v>37</v>
      </c>
      <c r="C83" s="1">
        <v>45996</v>
      </c>
      <c r="D83" t="s">
        <v>380</v>
      </c>
      <c r="E83">
        <v>1</v>
      </c>
      <c r="F83" t="str">
        <f>_xlfn.XLOOKUP(B83,Employee_Master!A:A,Employee_Master!E:E,"Not Found")</f>
        <v>Sales</v>
      </c>
      <c r="G83" t="s">
        <v>381</v>
      </c>
      <c r="H83">
        <f t="shared" si="2"/>
        <v>2.4955277280858676</v>
      </c>
      <c r="I83">
        <f t="shared" si="3"/>
        <v>61.250000000000007</v>
      </c>
    </row>
    <row r="84" spans="1:9">
      <c r="A84">
        <v>83</v>
      </c>
      <c r="B84">
        <v>37</v>
      </c>
      <c r="C84" s="1">
        <v>45990</v>
      </c>
      <c r="D84" t="s">
        <v>380</v>
      </c>
      <c r="E84">
        <v>4</v>
      </c>
      <c r="F84" t="str">
        <f>_xlfn.XLOOKUP(B84,Employee_Master!A:A,Employee_Master!E:E,"Not Found")</f>
        <v>Sales</v>
      </c>
      <c r="G84" t="s">
        <v>381</v>
      </c>
      <c r="H84">
        <f t="shared" si="2"/>
        <v>2.4982078853046596</v>
      </c>
      <c r="I84">
        <f t="shared" si="3"/>
        <v>61.180679785330952</v>
      </c>
    </row>
    <row r="85" spans="1:9">
      <c r="A85">
        <v>84</v>
      </c>
      <c r="B85">
        <v>37</v>
      </c>
      <c r="C85" s="1">
        <v>46024</v>
      </c>
      <c r="D85" t="s">
        <v>383</v>
      </c>
      <c r="E85">
        <v>2</v>
      </c>
      <c r="F85" t="str">
        <f>_xlfn.XLOOKUP(B85,Employee_Master!A:A,Employee_Master!E:E,"Not Found")</f>
        <v>Sales</v>
      </c>
      <c r="G85" t="s">
        <v>381</v>
      </c>
      <c r="H85">
        <f t="shared" si="2"/>
        <v>2.495511669658887</v>
      </c>
      <c r="I85">
        <f t="shared" si="3"/>
        <v>61.111111111111114</v>
      </c>
    </row>
    <row r="86" spans="1:9">
      <c r="A86">
        <v>85</v>
      </c>
      <c r="B86">
        <v>38</v>
      </c>
      <c r="C86" s="1">
        <v>46076</v>
      </c>
      <c r="D86" t="s">
        <v>383</v>
      </c>
      <c r="E86">
        <v>3</v>
      </c>
      <c r="F86" t="str">
        <f>_xlfn.XLOOKUP(B86,Employee_Master!A:A,Employee_Master!E:E,"Not Found")</f>
        <v>Customer Support</v>
      </c>
      <c r="G86" t="s">
        <v>386</v>
      </c>
      <c r="H86">
        <f t="shared" si="2"/>
        <v>2.4964028776978417</v>
      </c>
      <c r="I86">
        <f t="shared" si="3"/>
        <v>61.041292639138248</v>
      </c>
    </row>
    <row r="87" spans="1:9">
      <c r="A87">
        <v>86</v>
      </c>
      <c r="B87">
        <v>38</v>
      </c>
      <c r="C87" s="1">
        <v>46064</v>
      </c>
      <c r="D87" t="s">
        <v>384</v>
      </c>
      <c r="E87">
        <v>1</v>
      </c>
      <c r="F87" t="str">
        <f>_xlfn.XLOOKUP(B87,Employee_Master!A:A,Employee_Master!E:E,"Not Found")</f>
        <v>Customer Support</v>
      </c>
      <c r="G87" t="s">
        <v>385</v>
      </c>
      <c r="H87">
        <f t="shared" si="2"/>
        <v>2.4954954954954953</v>
      </c>
      <c r="I87">
        <f t="shared" si="3"/>
        <v>60.97122302158273</v>
      </c>
    </row>
    <row r="88" spans="1:9">
      <c r="A88">
        <v>87</v>
      </c>
      <c r="B88">
        <v>38</v>
      </c>
      <c r="C88" s="1">
        <v>46034</v>
      </c>
      <c r="D88" t="s">
        <v>384</v>
      </c>
      <c r="E88">
        <v>4</v>
      </c>
      <c r="F88" t="str">
        <f>_xlfn.XLOOKUP(B88,Employee_Master!A:A,Employee_Master!E:E,"Not Found")</f>
        <v>Customer Support</v>
      </c>
      <c r="G88" t="s">
        <v>381</v>
      </c>
      <c r="H88">
        <f t="shared" si="2"/>
        <v>2.4981949458483754</v>
      </c>
      <c r="I88">
        <f t="shared" si="3"/>
        <v>61.081081081081081</v>
      </c>
    </row>
    <row r="89" spans="1:9">
      <c r="A89">
        <v>88</v>
      </c>
      <c r="B89">
        <v>39</v>
      </c>
      <c r="C89" s="1">
        <v>46196</v>
      </c>
      <c r="D89" t="s">
        <v>384</v>
      </c>
      <c r="E89">
        <v>4</v>
      </c>
      <c r="F89" t="str">
        <f>_xlfn.XLOOKUP(B89,Employee_Master!A:A,Employee_Master!E:E,"Not Found")</f>
        <v>Operations</v>
      </c>
      <c r="G89" t="s">
        <v>385</v>
      </c>
      <c r="H89">
        <f t="shared" si="2"/>
        <v>2.4954792043399636</v>
      </c>
      <c r="I89">
        <f t="shared" si="3"/>
        <v>61.191335740072205</v>
      </c>
    </row>
    <row r="90" spans="1:9">
      <c r="A90">
        <v>89</v>
      </c>
      <c r="B90">
        <v>42</v>
      </c>
      <c r="C90" s="1">
        <v>45950</v>
      </c>
      <c r="D90" t="s">
        <v>382</v>
      </c>
      <c r="E90">
        <v>2</v>
      </c>
      <c r="F90" t="str">
        <f>_xlfn.XLOOKUP(B90,Employee_Master!A:A,Employee_Master!E:E,"Not Found")</f>
        <v>Customer Support</v>
      </c>
      <c r="G90" t="s">
        <v>381</v>
      </c>
      <c r="H90">
        <f t="shared" si="2"/>
        <v>2.4927536231884058</v>
      </c>
      <c r="I90">
        <f t="shared" si="3"/>
        <v>61.121157323688969</v>
      </c>
    </row>
    <row r="91" spans="1:9">
      <c r="A91">
        <v>90</v>
      </c>
      <c r="B91">
        <v>44</v>
      </c>
      <c r="C91" s="1">
        <v>46154</v>
      </c>
      <c r="D91" t="s">
        <v>383</v>
      </c>
      <c r="E91">
        <v>4</v>
      </c>
      <c r="F91" t="str">
        <f>_xlfn.XLOOKUP(B91,Employee_Master!A:A,Employee_Master!E:E,"Not Found")</f>
        <v>Marketing</v>
      </c>
      <c r="G91" t="s">
        <v>381</v>
      </c>
      <c r="H91">
        <f t="shared" si="2"/>
        <v>2.4936479128856623</v>
      </c>
      <c r="I91">
        <f t="shared" si="3"/>
        <v>61.231884057971023</v>
      </c>
    </row>
    <row r="92" spans="1:9">
      <c r="A92">
        <v>91</v>
      </c>
      <c r="B92">
        <v>45</v>
      </c>
      <c r="C92" s="1">
        <v>46236</v>
      </c>
      <c r="D92" t="s">
        <v>384</v>
      </c>
      <c r="E92">
        <v>2</v>
      </c>
      <c r="F92" t="str">
        <f>_xlfn.XLOOKUP(B92,Employee_Master!A:A,Employee_Master!E:E,"Not Found")</f>
        <v>Customer Support</v>
      </c>
      <c r="G92" t="s">
        <v>381</v>
      </c>
      <c r="H92">
        <f t="shared" si="2"/>
        <v>2.4909090909090907</v>
      </c>
      <c r="I92">
        <f t="shared" si="3"/>
        <v>61.16152450090744</v>
      </c>
    </row>
    <row r="93" spans="1:9">
      <c r="A93">
        <v>92</v>
      </c>
      <c r="B93">
        <v>45</v>
      </c>
      <c r="C93" s="1">
        <v>46093</v>
      </c>
      <c r="D93" t="s">
        <v>384</v>
      </c>
      <c r="E93">
        <v>1</v>
      </c>
      <c r="F93" t="str">
        <f>_xlfn.XLOOKUP(B93,Employee_Master!A:A,Employee_Master!E:E,"Not Found")</f>
        <v>Customer Support</v>
      </c>
      <c r="G93" t="s">
        <v>381</v>
      </c>
      <c r="H93">
        <f t="shared" si="2"/>
        <v>2.4918032786885247</v>
      </c>
      <c r="I93">
        <f t="shared" si="3"/>
        <v>61.090909090909093</v>
      </c>
    </row>
    <row r="94" spans="1:9">
      <c r="A94">
        <v>93</v>
      </c>
      <c r="B94">
        <v>45</v>
      </c>
      <c r="C94" s="1">
        <v>46105</v>
      </c>
      <c r="D94" t="s">
        <v>383</v>
      </c>
      <c r="E94">
        <v>2</v>
      </c>
      <c r="F94" t="str">
        <f>_xlfn.XLOOKUP(B94,Employee_Master!A:A,Employee_Master!E:E,"Not Found")</f>
        <v>Customer Support</v>
      </c>
      <c r="G94" t="s">
        <v>381</v>
      </c>
      <c r="H94">
        <f t="shared" si="2"/>
        <v>2.4945255474452557</v>
      </c>
      <c r="I94">
        <f t="shared" si="3"/>
        <v>61.020036429872491</v>
      </c>
    </row>
    <row r="95" spans="1:9">
      <c r="A95">
        <v>94</v>
      </c>
      <c r="B95">
        <v>46</v>
      </c>
      <c r="C95" s="1">
        <v>46033</v>
      </c>
      <c r="D95" t="s">
        <v>384</v>
      </c>
      <c r="E95">
        <v>4</v>
      </c>
      <c r="F95" t="str">
        <f>_xlfn.XLOOKUP(B95,Employee_Master!A:A,Employee_Master!E:E,"Not Found")</f>
        <v>Sales</v>
      </c>
      <c r="G95" t="s">
        <v>385</v>
      </c>
      <c r="H95">
        <f t="shared" si="2"/>
        <v>2.4954296160877512</v>
      </c>
      <c r="I95">
        <f t="shared" si="3"/>
        <v>60.948905109489047</v>
      </c>
    </row>
    <row r="96" spans="1:9">
      <c r="A96">
        <v>95</v>
      </c>
      <c r="B96">
        <v>46</v>
      </c>
      <c r="C96" s="1">
        <v>46009</v>
      </c>
      <c r="D96" t="s">
        <v>383</v>
      </c>
      <c r="E96">
        <v>1</v>
      </c>
      <c r="F96" t="str">
        <f>_xlfn.XLOOKUP(B96,Employee_Master!A:A,Employee_Master!E:E,"Not Found")</f>
        <v>Sales</v>
      </c>
      <c r="G96" t="s">
        <v>381</v>
      </c>
      <c r="H96">
        <f t="shared" si="2"/>
        <v>2.4926739926739927</v>
      </c>
      <c r="I96">
        <f t="shared" si="3"/>
        <v>60.877513711151735</v>
      </c>
    </row>
    <row r="97" spans="1:9">
      <c r="A97">
        <v>96</v>
      </c>
      <c r="B97">
        <v>46</v>
      </c>
      <c r="C97" s="1">
        <v>46025</v>
      </c>
      <c r="D97" t="s">
        <v>380</v>
      </c>
      <c r="E97">
        <v>3</v>
      </c>
      <c r="F97" t="str">
        <f>_xlfn.XLOOKUP(B97,Employee_Master!A:A,Employee_Master!E:E,"Not Found")</f>
        <v>Sales</v>
      </c>
      <c r="G97" t="s">
        <v>385</v>
      </c>
      <c r="H97">
        <f t="shared" si="2"/>
        <v>2.4954128440366974</v>
      </c>
      <c r="I97">
        <f t="shared" si="3"/>
        <v>60.989010989010993</v>
      </c>
    </row>
    <row r="98" spans="1:9">
      <c r="A98">
        <v>97</v>
      </c>
      <c r="B98">
        <v>48</v>
      </c>
      <c r="C98" s="1">
        <v>45966</v>
      </c>
      <c r="D98" t="s">
        <v>380</v>
      </c>
      <c r="E98">
        <v>3</v>
      </c>
      <c r="F98" t="str">
        <f>_xlfn.XLOOKUP(B98,Employee_Master!A:A,Employee_Master!E:E,"Not Found")</f>
        <v>HR</v>
      </c>
      <c r="G98" t="s">
        <v>386</v>
      </c>
      <c r="H98">
        <f t="shared" si="2"/>
        <v>2.4944852941176472</v>
      </c>
      <c r="I98">
        <f t="shared" si="3"/>
        <v>60.917431192660551</v>
      </c>
    </row>
    <row r="99" spans="1:9">
      <c r="A99">
        <v>98</v>
      </c>
      <c r="B99">
        <v>48</v>
      </c>
      <c r="C99" s="1">
        <v>46013</v>
      </c>
      <c r="D99" t="s">
        <v>380</v>
      </c>
      <c r="E99">
        <v>3</v>
      </c>
      <c r="F99" t="str">
        <f>_xlfn.XLOOKUP(B99,Employee_Master!A:A,Employee_Master!E:E,"Not Found")</f>
        <v>HR</v>
      </c>
      <c r="G99" t="s">
        <v>381</v>
      </c>
      <c r="H99">
        <f t="shared" si="2"/>
        <v>2.4935543278084715</v>
      </c>
      <c r="I99">
        <f t="shared" si="3"/>
        <v>61.029411764705884</v>
      </c>
    </row>
    <row r="100" spans="1:9">
      <c r="A100">
        <v>99</v>
      </c>
      <c r="B100">
        <v>48</v>
      </c>
      <c r="C100" s="1">
        <v>45988</v>
      </c>
      <c r="D100" t="s">
        <v>384</v>
      </c>
      <c r="E100">
        <v>4</v>
      </c>
      <c r="F100" t="str">
        <f>_xlfn.XLOOKUP(B100,Employee_Master!A:A,Employee_Master!E:E,"Not Found")</f>
        <v>HR</v>
      </c>
      <c r="G100" t="s">
        <v>386</v>
      </c>
      <c r="H100">
        <f t="shared" si="2"/>
        <v>2.4926199261992621</v>
      </c>
      <c r="I100">
        <f t="shared" si="3"/>
        <v>61.141804788213626</v>
      </c>
    </row>
    <row r="101" spans="1:9">
      <c r="A101">
        <v>100</v>
      </c>
      <c r="B101">
        <v>49</v>
      </c>
      <c r="C101" s="1">
        <v>45939</v>
      </c>
      <c r="D101" t="s">
        <v>380</v>
      </c>
      <c r="E101">
        <v>3</v>
      </c>
      <c r="F101" t="str">
        <f>_xlfn.XLOOKUP(B101,Employee_Master!A:A,Employee_Master!E:E,"Not Found")</f>
        <v>Marketing</v>
      </c>
      <c r="G101" t="s">
        <v>381</v>
      </c>
      <c r="H101">
        <f t="shared" si="2"/>
        <v>2.4898336414048061</v>
      </c>
      <c r="I101">
        <f t="shared" si="3"/>
        <v>61.070110701107019</v>
      </c>
    </row>
    <row r="102" spans="1:9">
      <c r="A102">
        <v>101</v>
      </c>
      <c r="B102">
        <v>49</v>
      </c>
      <c r="C102" s="1">
        <v>45950</v>
      </c>
      <c r="D102" t="s">
        <v>380</v>
      </c>
      <c r="E102">
        <v>1</v>
      </c>
      <c r="F102" t="str">
        <f>_xlfn.XLOOKUP(B102,Employee_Master!A:A,Employee_Master!E:E,"Not Found")</f>
        <v>Marketing</v>
      </c>
      <c r="G102" t="s">
        <v>381</v>
      </c>
      <c r="H102">
        <f t="shared" si="2"/>
        <v>2.4888888888888889</v>
      </c>
      <c r="I102">
        <f t="shared" si="3"/>
        <v>61.182994454713494</v>
      </c>
    </row>
    <row r="103" spans="1:9">
      <c r="A103">
        <v>102</v>
      </c>
      <c r="B103">
        <v>49</v>
      </c>
      <c r="C103" s="1">
        <v>45934</v>
      </c>
      <c r="D103" t="s">
        <v>382</v>
      </c>
      <c r="E103">
        <v>1</v>
      </c>
      <c r="F103" t="str">
        <f>_xlfn.XLOOKUP(B103,Employee_Master!A:A,Employee_Master!E:E,"Not Found")</f>
        <v>Marketing</v>
      </c>
      <c r="G103" t="s">
        <v>386</v>
      </c>
      <c r="H103">
        <f t="shared" si="2"/>
        <v>2.49165120593692</v>
      </c>
      <c r="I103">
        <f t="shared" si="3"/>
        <v>61.111111111111114</v>
      </c>
    </row>
    <row r="104" spans="1:9">
      <c r="A104">
        <v>103</v>
      </c>
      <c r="B104">
        <v>49</v>
      </c>
      <c r="C104" s="1">
        <v>45960</v>
      </c>
      <c r="D104" t="s">
        <v>382</v>
      </c>
      <c r="E104">
        <v>1</v>
      </c>
      <c r="F104" t="str">
        <f>_xlfn.XLOOKUP(B104,Employee_Master!A:A,Employee_Master!E:E,"Not Found")</f>
        <v>Marketing</v>
      </c>
      <c r="G104" t="s">
        <v>381</v>
      </c>
      <c r="H104">
        <f t="shared" si="2"/>
        <v>2.4944237918215615</v>
      </c>
      <c r="I104">
        <f t="shared" si="3"/>
        <v>61.038961038961034</v>
      </c>
    </row>
    <row r="105" spans="1:9">
      <c r="A105">
        <v>104</v>
      </c>
      <c r="B105">
        <v>51</v>
      </c>
      <c r="C105" s="1">
        <v>46210</v>
      </c>
      <c r="D105" t="s">
        <v>384</v>
      </c>
      <c r="E105">
        <v>1</v>
      </c>
      <c r="F105" t="str">
        <f>_xlfn.XLOOKUP(B105,Employee_Master!A:A,Employee_Master!E:E,"Not Found")</f>
        <v>HR</v>
      </c>
      <c r="G105" t="s">
        <v>385</v>
      </c>
      <c r="H105">
        <f t="shared" si="2"/>
        <v>2.4972067039106145</v>
      </c>
      <c r="I105">
        <f t="shared" si="3"/>
        <v>61.152416356877325</v>
      </c>
    </row>
    <row r="106" spans="1:9">
      <c r="A106">
        <v>105</v>
      </c>
      <c r="B106">
        <v>51</v>
      </c>
      <c r="C106" s="1">
        <v>46223</v>
      </c>
      <c r="D106" t="s">
        <v>382</v>
      </c>
      <c r="E106">
        <v>3</v>
      </c>
      <c r="F106" t="str">
        <f>_xlfn.XLOOKUP(B106,Employee_Master!A:A,Employee_Master!E:E,"Not Found")</f>
        <v>HR</v>
      </c>
      <c r="G106" t="s">
        <v>386</v>
      </c>
      <c r="H106">
        <f t="shared" si="2"/>
        <v>2.5</v>
      </c>
      <c r="I106">
        <f t="shared" si="3"/>
        <v>61.080074487895722</v>
      </c>
    </row>
    <row r="107" spans="1:9">
      <c r="A107">
        <v>106</v>
      </c>
      <c r="B107">
        <v>51</v>
      </c>
      <c r="C107" s="1">
        <v>46129</v>
      </c>
      <c r="D107" t="s">
        <v>382</v>
      </c>
      <c r="E107">
        <v>2</v>
      </c>
      <c r="F107" t="str">
        <f>_xlfn.XLOOKUP(B107,Employee_Master!A:A,Employee_Master!E:E,"Not Found")</f>
        <v>HR</v>
      </c>
      <c r="G107" t="s">
        <v>385</v>
      </c>
      <c r="H107">
        <f t="shared" si="2"/>
        <v>2.4990654205607479</v>
      </c>
      <c r="I107">
        <f t="shared" si="3"/>
        <v>61.194029850746269</v>
      </c>
    </row>
    <row r="108" spans="1:9">
      <c r="A108">
        <v>107</v>
      </c>
      <c r="B108">
        <v>51</v>
      </c>
      <c r="C108" s="1">
        <v>46244</v>
      </c>
      <c r="D108" t="s">
        <v>383</v>
      </c>
      <c r="E108">
        <v>3</v>
      </c>
      <c r="F108" t="str">
        <f>_xlfn.XLOOKUP(B108,Employee_Master!A:A,Employee_Master!E:E,"Not Found")</f>
        <v>HR</v>
      </c>
      <c r="G108" t="s">
        <v>385</v>
      </c>
      <c r="H108">
        <f t="shared" si="2"/>
        <v>2.5</v>
      </c>
      <c r="I108">
        <f t="shared" si="3"/>
        <v>61.308411214953274</v>
      </c>
    </row>
    <row r="109" spans="1:9">
      <c r="A109">
        <v>108</v>
      </c>
      <c r="B109">
        <v>52</v>
      </c>
      <c r="C109" s="1">
        <v>46009</v>
      </c>
      <c r="D109" t="s">
        <v>382</v>
      </c>
      <c r="E109">
        <v>3</v>
      </c>
      <c r="F109" t="str">
        <f>_xlfn.XLOOKUP(B109,Employee_Master!A:A,Employee_Master!E:E,"Not Found")</f>
        <v>Marketing</v>
      </c>
      <c r="G109" t="s">
        <v>381</v>
      </c>
      <c r="H109">
        <f t="shared" si="2"/>
        <v>2.4990619136960599</v>
      </c>
      <c r="I109">
        <f t="shared" si="3"/>
        <v>61.423220973782769</v>
      </c>
    </row>
    <row r="110" spans="1:9">
      <c r="A110">
        <v>109</v>
      </c>
      <c r="B110">
        <v>52</v>
      </c>
      <c r="C110" s="1">
        <v>46004</v>
      </c>
      <c r="D110" t="s">
        <v>383</v>
      </c>
      <c r="E110">
        <v>2</v>
      </c>
      <c r="F110" t="str">
        <f>_xlfn.XLOOKUP(B110,Employee_Master!A:A,Employee_Master!E:E,"Not Found")</f>
        <v>Marketing</v>
      </c>
      <c r="G110" t="s">
        <v>385</v>
      </c>
      <c r="H110">
        <f t="shared" si="2"/>
        <v>2.4981203007518795</v>
      </c>
      <c r="I110">
        <f t="shared" si="3"/>
        <v>61.53846153846154</v>
      </c>
    </row>
    <row r="111" spans="1:9">
      <c r="A111">
        <v>110</v>
      </c>
      <c r="B111">
        <v>52</v>
      </c>
      <c r="C111" s="1">
        <v>46062</v>
      </c>
      <c r="D111" t="s">
        <v>380</v>
      </c>
      <c r="E111">
        <v>3</v>
      </c>
      <c r="F111" t="str">
        <f>_xlfn.XLOOKUP(B111,Employee_Master!A:A,Employee_Master!E:E,"Not Found")</f>
        <v>Marketing</v>
      </c>
      <c r="G111" t="s">
        <v>381</v>
      </c>
      <c r="H111">
        <f t="shared" si="2"/>
        <v>2.4990583804143127</v>
      </c>
      <c r="I111">
        <f t="shared" si="3"/>
        <v>61.466165413533837</v>
      </c>
    </row>
    <row r="112" spans="1:9">
      <c r="A112">
        <v>111</v>
      </c>
      <c r="B112">
        <v>53</v>
      </c>
      <c r="C112" s="1">
        <v>46084</v>
      </c>
      <c r="D112" t="s">
        <v>380</v>
      </c>
      <c r="E112">
        <v>1</v>
      </c>
      <c r="F112" t="str">
        <f>_xlfn.XLOOKUP(B112,Employee_Master!A:A,Employee_Master!E:E,"Not Found")</f>
        <v>Customer Support</v>
      </c>
      <c r="G112" t="s">
        <v>385</v>
      </c>
      <c r="H112">
        <f t="shared" si="2"/>
        <v>2.4981132075471697</v>
      </c>
      <c r="I112">
        <f t="shared" si="3"/>
        <v>61.581920903954803</v>
      </c>
    </row>
    <row r="113" spans="1:9">
      <c r="A113">
        <v>112</v>
      </c>
      <c r="B113">
        <v>53</v>
      </c>
      <c r="C113" s="1">
        <v>46141</v>
      </c>
      <c r="D113" t="s">
        <v>380</v>
      </c>
      <c r="E113">
        <v>4</v>
      </c>
      <c r="F113" t="str">
        <f>_xlfn.XLOOKUP(B113,Employee_Master!A:A,Employee_Master!E:E,"Not Found")</f>
        <v>Customer Support</v>
      </c>
      <c r="G113" t="s">
        <v>381</v>
      </c>
      <c r="H113">
        <f t="shared" si="2"/>
        <v>2.5009451795841211</v>
      </c>
      <c r="I113">
        <f t="shared" si="3"/>
        <v>61.509433962264147</v>
      </c>
    </row>
    <row r="114" spans="1:9">
      <c r="A114">
        <v>113</v>
      </c>
      <c r="B114">
        <v>53</v>
      </c>
      <c r="C114" s="1">
        <v>46251</v>
      </c>
      <c r="D114" t="s">
        <v>383</v>
      </c>
      <c r="E114">
        <v>2</v>
      </c>
      <c r="F114" t="str">
        <f>_xlfn.XLOOKUP(B114,Employee_Master!A:A,Employee_Master!E:E,"Not Found")</f>
        <v>Customer Support</v>
      </c>
      <c r="G114" t="s">
        <v>385</v>
      </c>
      <c r="H114">
        <f t="shared" si="2"/>
        <v>2.4981060606060606</v>
      </c>
      <c r="I114">
        <f t="shared" si="3"/>
        <v>61.625708884688088</v>
      </c>
    </row>
    <row r="115" spans="1:9">
      <c r="A115">
        <v>114</v>
      </c>
      <c r="B115">
        <v>54</v>
      </c>
      <c r="C115" s="1">
        <v>46144</v>
      </c>
      <c r="D115" t="s">
        <v>382</v>
      </c>
      <c r="E115">
        <v>4</v>
      </c>
      <c r="F115" t="str">
        <f>_xlfn.XLOOKUP(B115,Employee_Master!A:A,Employee_Master!E:E,"Not Found")</f>
        <v>Operations</v>
      </c>
      <c r="G115" t="s">
        <v>385</v>
      </c>
      <c r="H115">
        <f t="shared" si="2"/>
        <v>2.4990512333965844</v>
      </c>
      <c r="I115">
        <f t="shared" si="3"/>
        <v>61.553030303030297</v>
      </c>
    </row>
    <row r="116" spans="1:9">
      <c r="A116">
        <v>115</v>
      </c>
      <c r="B116">
        <v>54</v>
      </c>
      <c r="C116" s="1">
        <v>46129</v>
      </c>
      <c r="D116" t="s">
        <v>382</v>
      </c>
      <c r="E116">
        <v>3</v>
      </c>
      <c r="F116" t="str">
        <f>_xlfn.XLOOKUP(B116,Employee_Master!A:A,Employee_Master!E:E,"Not Found")</f>
        <v>Operations</v>
      </c>
      <c r="G116" t="s">
        <v>381</v>
      </c>
      <c r="H116">
        <f t="shared" si="2"/>
        <v>2.4961977186311786</v>
      </c>
      <c r="I116">
        <f t="shared" si="3"/>
        <v>61.669829222011387</v>
      </c>
    </row>
    <row r="117" spans="1:9">
      <c r="A117">
        <v>116</v>
      </c>
      <c r="B117">
        <v>54</v>
      </c>
      <c r="C117" s="1">
        <v>46097</v>
      </c>
      <c r="D117" t="s">
        <v>382</v>
      </c>
      <c r="E117">
        <v>2</v>
      </c>
      <c r="F117" t="str">
        <f>_xlfn.XLOOKUP(B117,Employee_Master!A:A,Employee_Master!E:E,"Not Found")</f>
        <v>Operations</v>
      </c>
      <c r="G117" t="s">
        <v>386</v>
      </c>
      <c r="H117">
        <f t="shared" si="2"/>
        <v>2.4952380952380953</v>
      </c>
      <c r="I117">
        <f t="shared" si="3"/>
        <v>61.78707224334601</v>
      </c>
    </row>
    <row r="118" spans="1:9">
      <c r="A118">
        <v>117</v>
      </c>
      <c r="B118">
        <v>55</v>
      </c>
      <c r="C118" s="1">
        <v>46056</v>
      </c>
      <c r="D118" t="s">
        <v>380</v>
      </c>
      <c r="E118">
        <v>2</v>
      </c>
      <c r="F118" t="str">
        <f>_xlfn.XLOOKUP(B118,Employee_Master!A:A,Employee_Master!E:E,"Not Found")</f>
        <v>Sales</v>
      </c>
      <c r="G118" t="s">
        <v>386</v>
      </c>
      <c r="H118">
        <f t="shared" si="2"/>
        <v>2.4961832061068701</v>
      </c>
      <c r="I118">
        <f t="shared" si="3"/>
        <v>61.714285714285708</v>
      </c>
    </row>
    <row r="119" spans="1:9">
      <c r="A119">
        <v>118</v>
      </c>
      <c r="B119">
        <v>56</v>
      </c>
      <c r="C119" s="1">
        <v>46268</v>
      </c>
      <c r="D119" t="s">
        <v>383</v>
      </c>
      <c r="E119">
        <v>4</v>
      </c>
      <c r="F119" t="str">
        <f>_xlfn.XLOOKUP(B119,Employee_Master!A:A,Employee_Master!E:E,"Not Found")</f>
        <v>IT</v>
      </c>
      <c r="G119" t="s">
        <v>386</v>
      </c>
      <c r="H119">
        <f t="shared" si="2"/>
        <v>2.497131931166348</v>
      </c>
      <c r="I119">
        <f t="shared" si="3"/>
        <v>61.832061068702295</v>
      </c>
    </row>
    <row r="120" spans="1:9">
      <c r="A120">
        <v>119</v>
      </c>
      <c r="B120">
        <v>57</v>
      </c>
      <c r="C120" s="1">
        <v>46122</v>
      </c>
      <c r="D120" t="s">
        <v>383</v>
      </c>
      <c r="E120">
        <v>2</v>
      </c>
      <c r="F120" t="str">
        <f>_xlfn.XLOOKUP(B120,Employee_Master!A:A,Employee_Master!E:E,"Not Found")</f>
        <v>Customer Support</v>
      </c>
      <c r="G120" t="s">
        <v>385</v>
      </c>
      <c r="H120">
        <f t="shared" si="2"/>
        <v>2.4942528735632186</v>
      </c>
      <c r="I120">
        <f t="shared" si="3"/>
        <v>61.950286806883369</v>
      </c>
    </row>
    <row r="121" spans="1:9">
      <c r="A121">
        <v>120</v>
      </c>
      <c r="B121">
        <v>57</v>
      </c>
      <c r="C121" s="1">
        <v>46003</v>
      </c>
      <c r="D121" t="s">
        <v>382</v>
      </c>
      <c r="E121">
        <v>1</v>
      </c>
      <c r="F121" t="str">
        <f>_xlfn.XLOOKUP(B121,Employee_Master!A:A,Employee_Master!E:E,"Not Found")</f>
        <v>Customer Support</v>
      </c>
      <c r="G121" t="s">
        <v>386</v>
      </c>
      <c r="H121">
        <f t="shared" si="2"/>
        <v>2.4952015355086372</v>
      </c>
      <c r="I121">
        <f t="shared" si="3"/>
        <v>62.068965517241381</v>
      </c>
    </row>
    <row r="122" spans="1:9">
      <c r="A122">
        <v>121</v>
      </c>
      <c r="B122">
        <v>57</v>
      </c>
      <c r="C122" s="1">
        <v>46264</v>
      </c>
      <c r="D122" t="s">
        <v>382</v>
      </c>
      <c r="E122">
        <v>3</v>
      </c>
      <c r="F122" t="str">
        <f>_xlfn.XLOOKUP(B122,Employee_Master!A:A,Employee_Master!E:E,"Not Found")</f>
        <v>Customer Support</v>
      </c>
      <c r="G122" t="s">
        <v>386</v>
      </c>
      <c r="H122">
        <f t="shared" si="2"/>
        <v>2.4980769230769231</v>
      </c>
      <c r="I122">
        <f t="shared" si="3"/>
        <v>62.188099808061423</v>
      </c>
    </row>
    <row r="123" spans="1:9">
      <c r="A123">
        <v>122</v>
      </c>
      <c r="B123">
        <v>58</v>
      </c>
      <c r="C123" s="1">
        <v>45957</v>
      </c>
      <c r="D123" t="s">
        <v>380</v>
      </c>
      <c r="E123">
        <v>2</v>
      </c>
      <c r="F123" t="str">
        <f>_xlfn.XLOOKUP(B123,Employee_Master!A:A,Employee_Master!E:E,"Not Found")</f>
        <v>HR</v>
      </c>
      <c r="G123" t="s">
        <v>381</v>
      </c>
      <c r="H123">
        <f t="shared" si="2"/>
        <v>2.4971098265895955</v>
      </c>
      <c r="I123">
        <f t="shared" si="3"/>
        <v>62.307692307692307</v>
      </c>
    </row>
    <row r="124" spans="1:9">
      <c r="A124">
        <v>123</v>
      </c>
      <c r="B124">
        <v>58</v>
      </c>
      <c r="C124" s="1">
        <v>46213</v>
      </c>
      <c r="D124" t="s">
        <v>380</v>
      </c>
      <c r="E124">
        <v>4</v>
      </c>
      <c r="F124" t="str">
        <f>_xlfn.XLOOKUP(B124,Employee_Master!A:A,Employee_Master!E:E,"Not Found")</f>
        <v>HR</v>
      </c>
      <c r="G124" t="s">
        <v>386</v>
      </c>
      <c r="H124">
        <f t="shared" si="2"/>
        <v>2.4980694980694982</v>
      </c>
      <c r="I124">
        <f t="shared" si="3"/>
        <v>62.427745664739888</v>
      </c>
    </row>
    <row r="125" spans="1:9">
      <c r="A125">
        <v>124</v>
      </c>
      <c r="B125">
        <v>58</v>
      </c>
      <c r="C125" s="1">
        <v>46152</v>
      </c>
      <c r="D125" t="s">
        <v>380</v>
      </c>
      <c r="E125">
        <v>4</v>
      </c>
      <c r="F125" t="str">
        <f>_xlfn.XLOOKUP(B125,Employee_Master!A:A,Employee_Master!E:E,"Not Found")</f>
        <v>HR</v>
      </c>
      <c r="G125" t="s">
        <v>381</v>
      </c>
      <c r="H125">
        <f t="shared" si="2"/>
        <v>2.495164410058027</v>
      </c>
      <c r="I125">
        <f t="shared" si="3"/>
        <v>62.355212355212352</v>
      </c>
    </row>
    <row r="126" spans="1:9">
      <c r="A126">
        <v>125</v>
      </c>
      <c r="B126">
        <v>59</v>
      </c>
      <c r="C126" s="1">
        <v>46128</v>
      </c>
      <c r="D126" t="s">
        <v>380</v>
      </c>
      <c r="E126">
        <v>3</v>
      </c>
      <c r="F126" t="str">
        <f>_xlfn.XLOOKUP(B126,Employee_Master!A:A,Employee_Master!E:E,"Not Found")</f>
        <v>Sales</v>
      </c>
      <c r="G126" t="s">
        <v>386</v>
      </c>
      <c r="H126">
        <f t="shared" si="2"/>
        <v>2.4922480620155039</v>
      </c>
      <c r="I126">
        <f t="shared" si="3"/>
        <v>62.475822050290134</v>
      </c>
    </row>
    <row r="127" spans="1:9">
      <c r="A127">
        <v>126</v>
      </c>
      <c r="B127">
        <v>60</v>
      </c>
      <c r="C127" s="1">
        <v>46259</v>
      </c>
      <c r="D127" t="s">
        <v>382</v>
      </c>
      <c r="E127">
        <v>2</v>
      </c>
      <c r="F127" t="str">
        <f>_xlfn.XLOOKUP(B127,Employee_Master!A:A,Employee_Master!E:E,"Not Found")</f>
        <v>HR</v>
      </c>
      <c r="G127" t="s">
        <v>381</v>
      </c>
      <c r="H127">
        <f t="shared" si="2"/>
        <v>2.4912621359223301</v>
      </c>
      <c r="I127">
        <f t="shared" si="3"/>
        <v>62.403100775193799</v>
      </c>
    </row>
    <row r="128" spans="1:9">
      <c r="A128">
        <v>127</v>
      </c>
      <c r="B128">
        <v>61</v>
      </c>
      <c r="C128" s="1">
        <v>46093</v>
      </c>
      <c r="D128" t="s">
        <v>382</v>
      </c>
      <c r="E128">
        <v>2</v>
      </c>
      <c r="F128" t="str">
        <f>_xlfn.XLOOKUP(B128,Employee_Master!A:A,Employee_Master!E:E,"Not Found")</f>
        <v>Customer Support</v>
      </c>
      <c r="G128" t="s">
        <v>381</v>
      </c>
      <c r="H128">
        <f t="shared" si="2"/>
        <v>2.4922178988326849</v>
      </c>
      <c r="I128">
        <f t="shared" si="3"/>
        <v>62.524271844660198</v>
      </c>
    </row>
    <row r="129" spans="1:9">
      <c r="A129">
        <v>128</v>
      </c>
      <c r="B129">
        <v>61</v>
      </c>
      <c r="C129" s="1">
        <v>46180</v>
      </c>
      <c r="D129" t="s">
        <v>383</v>
      </c>
      <c r="E129">
        <v>1</v>
      </c>
      <c r="F129" t="str">
        <f>_xlfn.XLOOKUP(B129,Employee_Master!A:A,Employee_Master!E:E,"Not Found")</f>
        <v>Customer Support</v>
      </c>
      <c r="G129" t="s">
        <v>381</v>
      </c>
      <c r="H129">
        <f t="shared" si="2"/>
        <v>2.4931773879142298</v>
      </c>
      <c r="I129">
        <f t="shared" si="3"/>
        <v>62.451361867704279</v>
      </c>
    </row>
    <row r="130" spans="1:9">
      <c r="A130">
        <v>129</v>
      </c>
      <c r="B130">
        <v>61</v>
      </c>
      <c r="C130" s="1">
        <v>45964</v>
      </c>
      <c r="D130" t="s">
        <v>384</v>
      </c>
      <c r="E130">
        <v>1</v>
      </c>
      <c r="F130" t="str">
        <f>_xlfn.XLOOKUP(B130,Employee_Master!A:A,Employee_Master!E:E,"Not Found")</f>
        <v>Customer Support</v>
      </c>
      <c r="G130" t="s">
        <v>381</v>
      </c>
      <c r="H130">
        <f t="shared" ref="H130:H193" si="4">AVERAGE(E130:E769)</f>
        <v>2.49609375</v>
      </c>
      <c r="I130">
        <f t="shared" ref="I130:I193" si="5">COUNTIF(G129:G768,"Approved")/COUNTA(G129:G768)*100</f>
        <v>62.378167641325533</v>
      </c>
    </row>
    <row r="131" spans="1:9">
      <c r="A131">
        <v>130</v>
      </c>
      <c r="B131">
        <v>63</v>
      </c>
      <c r="C131" s="1">
        <v>45977</v>
      </c>
      <c r="D131" t="s">
        <v>383</v>
      </c>
      <c r="E131">
        <v>3</v>
      </c>
      <c r="F131" t="str">
        <f>_xlfn.XLOOKUP(B131,Employee_Master!A:A,Employee_Master!E:E,"Not Found")</f>
        <v>Operations</v>
      </c>
      <c r="G131" t="s">
        <v>381</v>
      </c>
      <c r="H131">
        <f t="shared" si="4"/>
        <v>2.4990215264187867</v>
      </c>
      <c r="I131">
        <f t="shared" si="5"/>
        <v>62.3046875</v>
      </c>
    </row>
    <row r="132" spans="1:9">
      <c r="A132">
        <v>131</v>
      </c>
      <c r="B132">
        <v>63</v>
      </c>
      <c r="C132" s="1">
        <v>46008</v>
      </c>
      <c r="D132" t="s">
        <v>380</v>
      </c>
      <c r="E132">
        <v>3</v>
      </c>
      <c r="F132" t="str">
        <f>_xlfn.XLOOKUP(B132,Employee_Master!A:A,Employee_Master!E:E,"Not Found")</f>
        <v>Operations</v>
      </c>
      <c r="G132" t="s">
        <v>381</v>
      </c>
      <c r="H132">
        <f t="shared" si="4"/>
        <v>2.4980392156862745</v>
      </c>
      <c r="I132">
        <f t="shared" si="5"/>
        <v>62.230919765166334</v>
      </c>
    </row>
    <row r="133" spans="1:9">
      <c r="A133">
        <v>132</v>
      </c>
      <c r="B133">
        <v>64</v>
      </c>
      <c r="C133" s="1">
        <v>46250</v>
      </c>
      <c r="D133" t="s">
        <v>383</v>
      </c>
      <c r="E133">
        <v>4</v>
      </c>
      <c r="F133" t="str">
        <f>_xlfn.XLOOKUP(B133,Employee_Master!A:A,Employee_Master!E:E,"Not Found")</f>
        <v>Marketing</v>
      </c>
      <c r="G133" t="s">
        <v>385</v>
      </c>
      <c r="H133">
        <f t="shared" si="4"/>
        <v>2.4970530451866404</v>
      </c>
      <c r="I133">
        <f t="shared" si="5"/>
        <v>62.156862745098039</v>
      </c>
    </row>
    <row r="134" spans="1:9">
      <c r="A134">
        <v>133</v>
      </c>
      <c r="B134">
        <v>64</v>
      </c>
      <c r="C134" s="1">
        <v>46104</v>
      </c>
      <c r="D134" t="s">
        <v>380</v>
      </c>
      <c r="E134">
        <v>3</v>
      </c>
      <c r="F134" t="str">
        <f>_xlfn.XLOOKUP(B134,Employee_Master!A:A,Employee_Master!E:E,"Not Found")</f>
        <v>Marketing</v>
      </c>
      <c r="G134" t="s">
        <v>381</v>
      </c>
      <c r="H134">
        <f t="shared" si="4"/>
        <v>2.4940944881889764</v>
      </c>
      <c r="I134">
        <f t="shared" si="5"/>
        <v>62.082514734774065</v>
      </c>
    </row>
    <row r="135" spans="1:9">
      <c r="A135">
        <v>134</v>
      </c>
      <c r="B135">
        <v>66</v>
      </c>
      <c r="C135" s="1">
        <v>46012</v>
      </c>
      <c r="D135" t="s">
        <v>380</v>
      </c>
      <c r="E135">
        <v>2</v>
      </c>
      <c r="F135" t="str">
        <f>_xlfn.XLOOKUP(B135,Employee_Master!A:A,Employee_Master!E:E,"Not Found")</f>
        <v>Finance</v>
      </c>
      <c r="G135" t="s">
        <v>385</v>
      </c>
      <c r="H135">
        <f t="shared" si="4"/>
        <v>2.4930966469428006</v>
      </c>
      <c r="I135">
        <f t="shared" si="5"/>
        <v>62.204724409448822</v>
      </c>
    </row>
    <row r="136" spans="1:9">
      <c r="A136">
        <v>135</v>
      </c>
      <c r="B136">
        <v>66</v>
      </c>
      <c r="C136" s="1">
        <v>45991</v>
      </c>
      <c r="D136" t="s">
        <v>382</v>
      </c>
      <c r="E136">
        <v>2</v>
      </c>
      <c r="F136" t="str">
        <f>_xlfn.XLOOKUP(B136,Employee_Master!A:A,Employee_Master!E:E,"Not Found")</f>
        <v>Finance</v>
      </c>
      <c r="G136" t="s">
        <v>386</v>
      </c>
      <c r="H136">
        <f t="shared" si="4"/>
        <v>2.4940711462450591</v>
      </c>
      <c r="I136">
        <f t="shared" si="5"/>
        <v>62.130177514792898</v>
      </c>
    </row>
    <row r="137" spans="1:9">
      <c r="A137">
        <v>136</v>
      </c>
      <c r="B137">
        <v>66</v>
      </c>
      <c r="C137" s="1">
        <v>46213</v>
      </c>
      <c r="D137" t="s">
        <v>382</v>
      </c>
      <c r="E137">
        <v>3</v>
      </c>
      <c r="F137" t="str">
        <f>_xlfn.XLOOKUP(B137,Employee_Master!A:A,Employee_Master!E:E,"Not Found")</f>
        <v>Finance</v>
      </c>
      <c r="G137" t="s">
        <v>381</v>
      </c>
      <c r="H137">
        <f t="shared" si="4"/>
        <v>2.495049504950495</v>
      </c>
      <c r="I137">
        <f t="shared" si="5"/>
        <v>62.252964426877469</v>
      </c>
    </row>
    <row r="138" spans="1:9">
      <c r="A138">
        <v>137</v>
      </c>
      <c r="B138">
        <v>66</v>
      </c>
      <c r="C138" s="1">
        <v>45989</v>
      </c>
      <c r="D138" t="s">
        <v>380</v>
      </c>
      <c r="E138">
        <v>4</v>
      </c>
      <c r="F138" t="str">
        <f>_xlfn.XLOOKUP(B138,Employee_Master!A:A,Employee_Master!E:E,"Not Found")</f>
        <v>Finance</v>
      </c>
      <c r="G138" t="s">
        <v>381</v>
      </c>
      <c r="H138">
        <f t="shared" si="4"/>
        <v>2.4940476190476191</v>
      </c>
      <c r="I138">
        <f t="shared" si="5"/>
        <v>62.376237623762378</v>
      </c>
    </row>
    <row r="139" spans="1:9">
      <c r="A139">
        <v>138</v>
      </c>
      <c r="B139">
        <v>68</v>
      </c>
      <c r="C139" s="1">
        <v>46126</v>
      </c>
      <c r="D139" t="s">
        <v>382</v>
      </c>
      <c r="E139">
        <v>4</v>
      </c>
      <c r="F139" t="str">
        <f>_xlfn.XLOOKUP(B139,Employee_Master!A:A,Employee_Master!E:E,"Not Found")</f>
        <v>HR</v>
      </c>
      <c r="G139" t="s">
        <v>385</v>
      </c>
      <c r="H139">
        <f t="shared" si="4"/>
        <v>2.4910536779324057</v>
      </c>
      <c r="I139">
        <f t="shared" si="5"/>
        <v>62.301587301587304</v>
      </c>
    </row>
    <row r="140" spans="1:9">
      <c r="A140">
        <v>139</v>
      </c>
      <c r="B140">
        <v>69</v>
      </c>
      <c r="C140" s="1">
        <v>45941</v>
      </c>
      <c r="D140" t="s">
        <v>383</v>
      </c>
      <c r="E140">
        <v>4</v>
      </c>
      <c r="F140" t="str">
        <f>_xlfn.XLOOKUP(B140,Employee_Master!A:A,Employee_Master!E:E,"Not Found")</f>
        <v>Customer Support</v>
      </c>
      <c r="G140" t="s">
        <v>386</v>
      </c>
      <c r="H140">
        <f t="shared" si="4"/>
        <v>2.4880478087649402</v>
      </c>
      <c r="I140">
        <f t="shared" si="5"/>
        <v>62.226640159045722</v>
      </c>
    </row>
    <row r="141" spans="1:9">
      <c r="A141">
        <v>140</v>
      </c>
      <c r="B141">
        <v>70</v>
      </c>
      <c r="C141" s="1">
        <v>46024</v>
      </c>
      <c r="D141" t="s">
        <v>382</v>
      </c>
      <c r="E141">
        <v>1</v>
      </c>
      <c r="F141" t="str">
        <f>_xlfn.XLOOKUP(B141,Employee_Master!A:A,Employee_Master!E:E,"Not Found")</f>
        <v>HR</v>
      </c>
      <c r="G141" t="s">
        <v>385</v>
      </c>
      <c r="H141">
        <f t="shared" si="4"/>
        <v>2.4850299401197606</v>
      </c>
      <c r="I141">
        <f t="shared" si="5"/>
        <v>62.350597609561753</v>
      </c>
    </row>
    <row r="142" spans="1:9">
      <c r="A142">
        <v>141</v>
      </c>
      <c r="B142">
        <v>70</v>
      </c>
      <c r="C142" s="1">
        <v>46274</v>
      </c>
      <c r="D142" t="s">
        <v>383</v>
      </c>
      <c r="E142">
        <v>3</v>
      </c>
      <c r="F142" t="str">
        <f>_xlfn.XLOOKUP(B142,Employee_Master!A:A,Employee_Master!E:E,"Not Found")</f>
        <v>HR</v>
      </c>
      <c r="G142" t="s">
        <v>381</v>
      </c>
      <c r="H142">
        <f t="shared" si="4"/>
        <v>2.488</v>
      </c>
      <c r="I142">
        <f t="shared" si="5"/>
        <v>62.4750499001996</v>
      </c>
    </row>
    <row r="143" spans="1:9">
      <c r="A143">
        <v>142</v>
      </c>
      <c r="B143">
        <v>70</v>
      </c>
      <c r="C143" s="1">
        <v>46120</v>
      </c>
      <c r="D143" t="s">
        <v>384</v>
      </c>
      <c r="E143">
        <v>2</v>
      </c>
      <c r="F143" t="str">
        <f>_xlfn.XLOOKUP(B143,Employee_Master!A:A,Employee_Master!E:E,"Not Found")</f>
        <v>HR</v>
      </c>
      <c r="G143" t="s">
        <v>381</v>
      </c>
      <c r="H143">
        <f t="shared" si="4"/>
        <v>2.4869739478957915</v>
      </c>
      <c r="I143">
        <f t="shared" si="5"/>
        <v>62.6</v>
      </c>
    </row>
    <row r="144" spans="1:9">
      <c r="A144">
        <v>143</v>
      </c>
      <c r="B144">
        <v>70</v>
      </c>
      <c r="C144" s="1">
        <v>46250</v>
      </c>
      <c r="D144" t="s">
        <v>383</v>
      </c>
      <c r="E144">
        <v>4</v>
      </c>
      <c r="F144" t="str">
        <f>_xlfn.XLOOKUP(B144,Employee_Master!A:A,Employee_Master!E:E,"Not Found")</f>
        <v>HR</v>
      </c>
      <c r="G144" t="s">
        <v>381</v>
      </c>
      <c r="H144">
        <f t="shared" si="4"/>
        <v>2.4879518072289155</v>
      </c>
      <c r="I144">
        <f t="shared" si="5"/>
        <v>62.525050100200396</v>
      </c>
    </row>
    <row r="145" spans="1:9">
      <c r="A145">
        <v>144</v>
      </c>
      <c r="B145">
        <v>72</v>
      </c>
      <c r="C145" s="1">
        <v>46255</v>
      </c>
      <c r="D145" t="s">
        <v>383</v>
      </c>
      <c r="E145">
        <v>3</v>
      </c>
      <c r="F145" t="str">
        <f>_xlfn.XLOOKUP(B145,Employee_Master!A:A,Employee_Master!E:E,"Not Found")</f>
        <v>HR</v>
      </c>
      <c r="G145" t="s">
        <v>381</v>
      </c>
      <c r="H145">
        <f t="shared" si="4"/>
        <v>2.4849094567404428</v>
      </c>
      <c r="I145">
        <f t="shared" si="5"/>
        <v>62.449799196787147</v>
      </c>
    </row>
    <row r="146" spans="1:9">
      <c r="A146">
        <v>145</v>
      </c>
      <c r="B146">
        <v>73</v>
      </c>
      <c r="C146" s="1">
        <v>46239</v>
      </c>
      <c r="D146" t="s">
        <v>382</v>
      </c>
      <c r="E146">
        <v>1</v>
      </c>
      <c r="F146" t="str">
        <f>_xlfn.XLOOKUP(B146,Employee_Master!A:A,Employee_Master!E:E,"Not Found")</f>
        <v>IT</v>
      </c>
      <c r="G146" t="s">
        <v>386</v>
      </c>
      <c r="H146">
        <f t="shared" si="4"/>
        <v>2.4838709677419355</v>
      </c>
      <c r="I146">
        <f t="shared" si="5"/>
        <v>62.374245472837018</v>
      </c>
    </row>
    <row r="147" spans="1:9">
      <c r="A147">
        <v>146</v>
      </c>
      <c r="B147">
        <v>73</v>
      </c>
      <c r="C147" s="1">
        <v>46233</v>
      </c>
      <c r="D147" t="s">
        <v>382</v>
      </c>
      <c r="E147">
        <v>2</v>
      </c>
      <c r="F147" t="str">
        <f>_xlfn.XLOOKUP(B147,Employee_Master!A:A,Employee_Master!E:E,"Not Found")</f>
        <v>IT</v>
      </c>
      <c r="G147" t="s">
        <v>381</v>
      </c>
      <c r="H147">
        <f t="shared" si="4"/>
        <v>2.4868686868686867</v>
      </c>
      <c r="I147">
        <f t="shared" si="5"/>
        <v>62.298387096774185</v>
      </c>
    </row>
    <row r="148" spans="1:9">
      <c r="A148">
        <v>147</v>
      </c>
      <c r="B148">
        <v>74</v>
      </c>
      <c r="C148" s="1">
        <v>46029</v>
      </c>
      <c r="D148" t="s">
        <v>383</v>
      </c>
      <c r="E148">
        <v>1</v>
      </c>
      <c r="F148" t="str">
        <f>_xlfn.XLOOKUP(B148,Employee_Master!A:A,Employee_Master!E:E,"Not Found")</f>
        <v>Marketing</v>
      </c>
      <c r="G148" t="s">
        <v>385</v>
      </c>
      <c r="H148">
        <f t="shared" si="4"/>
        <v>2.4878542510121457</v>
      </c>
      <c r="I148">
        <f t="shared" si="5"/>
        <v>62.424242424242429</v>
      </c>
    </row>
    <row r="149" spans="1:9">
      <c r="A149">
        <v>148</v>
      </c>
      <c r="B149">
        <v>74</v>
      </c>
      <c r="C149" s="1">
        <v>46094</v>
      </c>
      <c r="D149" t="s">
        <v>380</v>
      </c>
      <c r="E149">
        <v>1</v>
      </c>
      <c r="F149" t="str">
        <f>_xlfn.XLOOKUP(B149,Employee_Master!A:A,Employee_Master!E:E,"Not Found")</f>
        <v>Marketing</v>
      </c>
      <c r="G149" t="s">
        <v>381</v>
      </c>
      <c r="H149">
        <f t="shared" si="4"/>
        <v>2.4908722109533468</v>
      </c>
      <c r="I149">
        <f t="shared" si="5"/>
        <v>62.348178137651821</v>
      </c>
    </row>
    <row r="150" spans="1:9">
      <c r="A150">
        <v>149</v>
      </c>
      <c r="B150">
        <v>75</v>
      </c>
      <c r="C150" s="1">
        <v>46065</v>
      </c>
      <c r="D150" t="s">
        <v>382</v>
      </c>
      <c r="E150">
        <v>4</v>
      </c>
      <c r="F150" t="str">
        <f>_xlfn.XLOOKUP(B150,Employee_Master!A:A,Employee_Master!E:E,"Not Found")</f>
        <v>Customer Support</v>
      </c>
      <c r="G150" t="s">
        <v>381</v>
      </c>
      <c r="H150">
        <f t="shared" si="4"/>
        <v>2.4939024390243905</v>
      </c>
      <c r="I150">
        <f t="shared" si="5"/>
        <v>62.474645030425968</v>
      </c>
    </row>
    <row r="151" spans="1:9">
      <c r="A151">
        <v>150</v>
      </c>
      <c r="B151">
        <v>75</v>
      </c>
      <c r="C151" s="1">
        <v>45951</v>
      </c>
      <c r="D151" t="s">
        <v>383</v>
      </c>
      <c r="E151">
        <v>4</v>
      </c>
      <c r="F151" t="str">
        <f>_xlfn.XLOOKUP(B151,Employee_Master!A:A,Employee_Master!E:E,"Not Found")</f>
        <v>Customer Support</v>
      </c>
      <c r="G151" t="s">
        <v>381</v>
      </c>
      <c r="H151">
        <f t="shared" si="4"/>
        <v>2.4908350305498983</v>
      </c>
      <c r="I151">
        <f t="shared" si="5"/>
        <v>62.398373983739845</v>
      </c>
    </row>
    <row r="152" spans="1:9">
      <c r="A152">
        <v>151</v>
      </c>
      <c r="B152">
        <v>76</v>
      </c>
      <c r="C152" s="1">
        <v>46213</v>
      </c>
      <c r="D152" t="s">
        <v>384</v>
      </c>
      <c r="E152">
        <v>2</v>
      </c>
      <c r="F152" t="str">
        <f>_xlfn.XLOOKUP(B152,Employee_Master!A:A,Employee_Master!E:E,"Not Found")</f>
        <v>Finance</v>
      </c>
      <c r="G152" t="s">
        <v>386</v>
      </c>
      <c r="H152">
        <f t="shared" si="4"/>
        <v>2.4877551020408162</v>
      </c>
      <c r="I152">
        <f t="shared" si="5"/>
        <v>62.321792260692469</v>
      </c>
    </row>
    <row r="153" spans="1:9">
      <c r="A153">
        <v>152</v>
      </c>
      <c r="B153">
        <v>76</v>
      </c>
      <c r="C153" s="1">
        <v>45936</v>
      </c>
      <c r="D153" t="s">
        <v>384</v>
      </c>
      <c r="E153">
        <v>3</v>
      </c>
      <c r="F153" t="str">
        <f>_xlfn.XLOOKUP(B153,Employee_Master!A:A,Employee_Master!E:E,"Not Found")</f>
        <v>Finance</v>
      </c>
      <c r="G153" t="s">
        <v>385</v>
      </c>
      <c r="H153">
        <f t="shared" si="4"/>
        <v>2.4887525562372188</v>
      </c>
      <c r="I153">
        <f t="shared" si="5"/>
        <v>62.244897959183675</v>
      </c>
    </row>
    <row r="154" spans="1:9">
      <c r="A154">
        <v>153</v>
      </c>
      <c r="B154">
        <v>77</v>
      </c>
      <c r="C154" s="1">
        <v>46171</v>
      </c>
      <c r="D154" t="s">
        <v>382</v>
      </c>
      <c r="E154">
        <v>4</v>
      </c>
      <c r="F154" t="str">
        <f>_xlfn.XLOOKUP(B154,Employee_Master!A:A,Employee_Master!E:E,"Not Found")</f>
        <v>Finance</v>
      </c>
      <c r="G154" t="s">
        <v>381</v>
      </c>
      <c r="H154">
        <f t="shared" si="4"/>
        <v>2.487704918032787</v>
      </c>
      <c r="I154">
        <f t="shared" si="5"/>
        <v>62.372188139059304</v>
      </c>
    </row>
    <row r="155" spans="1:9">
      <c r="A155">
        <v>154</v>
      </c>
      <c r="B155">
        <v>78</v>
      </c>
      <c r="C155" s="1">
        <v>46287</v>
      </c>
      <c r="D155" t="s">
        <v>382</v>
      </c>
      <c r="E155">
        <v>3</v>
      </c>
      <c r="F155" t="str">
        <f>_xlfn.XLOOKUP(B155,Employee_Master!A:A,Employee_Master!E:E,"Not Found")</f>
        <v>Operations</v>
      </c>
      <c r="G155" t="s">
        <v>381</v>
      </c>
      <c r="H155">
        <f t="shared" si="4"/>
        <v>2.4845995893223818</v>
      </c>
      <c r="I155">
        <f t="shared" si="5"/>
        <v>62.5</v>
      </c>
    </row>
    <row r="156" spans="1:9">
      <c r="A156">
        <v>155</v>
      </c>
      <c r="B156">
        <v>78</v>
      </c>
      <c r="C156" s="1">
        <v>46193</v>
      </c>
      <c r="D156" t="s">
        <v>382</v>
      </c>
      <c r="E156">
        <v>4</v>
      </c>
      <c r="F156" t="str">
        <f>_xlfn.XLOOKUP(B156,Employee_Master!A:A,Employee_Master!E:E,"Not Found")</f>
        <v>Operations</v>
      </c>
      <c r="G156" t="s">
        <v>381</v>
      </c>
      <c r="H156">
        <f t="shared" si="4"/>
        <v>2.4835390946502058</v>
      </c>
      <c r="I156">
        <f t="shared" si="5"/>
        <v>62.422997946611915</v>
      </c>
    </row>
    <row r="157" spans="1:9">
      <c r="A157">
        <v>156</v>
      </c>
      <c r="B157">
        <v>79</v>
      </c>
      <c r="C157" s="1">
        <v>46108</v>
      </c>
      <c r="D157" t="s">
        <v>383</v>
      </c>
      <c r="E157">
        <v>2</v>
      </c>
      <c r="F157" t="str">
        <f>_xlfn.XLOOKUP(B157,Employee_Master!A:A,Employee_Master!E:E,"Not Found")</f>
        <v>Finance</v>
      </c>
      <c r="G157" t="s">
        <v>385</v>
      </c>
      <c r="H157">
        <f t="shared" si="4"/>
        <v>2.4804123711340207</v>
      </c>
      <c r="I157">
        <f t="shared" si="5"/>
        <v>62.345679012345677</v>
      </c>
    </row>
    <row r="158" spans="1:9">
      <c r="A158">
        <v>157</v>
      </c>
      <c r="B158">
        <v>80</v>
      </c>
      <c r="C158" s="1">
        <v>46067</v>
      </c>
      <c r="D158" t="s">
        <v>384</v>
      </c>
      <c r="E158">
        <v>4</v>
      </c>
      <c r="F158" t="str">
        <f>_xlfn.XLOOKUP(B158,Employee_Master!A:A,Employee_Master!E:E,"Not Found")</f>
        <v>IT</v>
      </c>
      <c r="G158" t="s">
        <v>381</v>
      </c>
      <c r="H158">
        <f t="shared" si="4"/>
        <v>2.4814049586776861</v>
      </c>
      <c r="I158">
        <f t="shared" si="5"/>
        <v>62.268041237113401</v>
      </c>
    </row>
    <row r="159" spans="1:9">
      <c r="A159">
        <v>158</v>
      </c>
      <c r="B159">
        <v>80</v>
      </c>
      <c r="C159" s="1">
        <v>46272</v>
      </c>
      <c r="D159" t="s">
        <v>383</v>
      </c>
      <c r="E159">
        <v>1</v>
      </c>
      <c r="F159" t="str">
        <f>_xlfn.XLOOKUP(B159,Employee_Master!A:A,Employee_Master!E:E,"Not Found")</f>
        <v>IT</v>
      </c>
      <c r="G159" t="s">
        <v>381</v>
      </c>
      <c r="H159">
        <f t="shared" si="4"/>
        <v>2.4782608695652173</v>
      </c>
      <c r="I159">
        <f t="shared" si="5"/>
        <v>62.396694214876035</v>
      </c>
    </row>
    <row r="160" spans="1:9">
      <c r="A160">
        <v>159</v>
      </c>
      <c r="B160">
        <v>81</v>
      </c>
      <c r="C160" s="1">
        <v>45985</v>
      </c>
      <c r="D160" t="s">
        <v>380</v>
      </c>
      <c r="E160">
        <v>1</v>
      </c>
      <c r="F160" t="str">
        <f>_xlfn.XLOOKUP(B160,Employee_Master!A:A,Employee_Master!E:E,"Not Found")</f>
        <v>Sales</v>
      </c>
      <c r="G160" t="s">
        <v>381</v>
      </c>
      <c r="H160">
        <f t="shared" si="4"/>
        <v>2.4813278008298756</v>
      </c>
      <c r="I160">
        <f t="shared" si="5"/>
        <v>62.318840579710141</v>
      </c>
    </row>
    <row r="161" spans="1:9">
      <c r="A161">
        <v>160</v>
      </c>
      <c r="B161">
        <v>82</v>
      </c>
      <c r="C161" s="1">
        <v>45964</v>
      </c>
      <c r="D161" t="s">
        <v>380</v>
      </c>
      <c r="E161">
        <v>2</v>
      </c>
      <c r="F161" t="str">
        <f>_xlfn.XLOOKUP(B161,Employee_Master!A:A,Employee_Master!E:E,"Not Found")</f>
        <v>Sales</v>
      </c>
      <c r="G161" t="s">
        <v>381</v>
      </c>
      <c r="H161">
        <f t="shared" si="4"/>
        <v>2.4844074844074844</v>
      </c>
      <c r="I161">
        <f t="shared" si="5"/>
        <v>62.240663900414937</v>
      </c>
    </row>
    <row r="162" spans="1:9">
      <c r="A162">
        <v>161</v>
      </c>
      <c r="B162">
        <v>82</v>
      </c>
      <c r="C162" s="1">
        <v>45969</v>
      </c>
      <c r="D162" t="s">
        <v>384</v>
      </c>
      <c r="E162">
        <v>1</v>
      </c>
      <c r="F162" t="str">
        <f>_xlfn.XLOOKUP(B162,Employee_Master!A:A,Employee_Master!E:E,"Not Found")</f>
        <v>Sales</v>
      </c>
      <c r="G162" t="s">
        <v>381</v>
      </c>
      <c r="H162">
        <f t="shared" si="4"/>
        <v>2.4854166666666666</v>
      </c>
      <c r="I162">
        <f t="shared" si="5"/>
        <v>62.162162162162161</v>
      </c>
    </row>
    <row r="163" spans="1:9">
      <c r="A163">
        <v>162</v>
      </c>
      <c r="B163">
        <v>83</v>
      </c>
      <c r="C163" s="1">
        <v>45967</v>
      </c>
      <c r="D163" t="s">
        <v>380</v>
      </c>
      <c r="E163">
        <v>4</v>
      </c>
      <c r="F163" t="str">
        <f>_xlfn.XLOOKUP(B163,Employee_Master!A:A,Employee_Master!E:E,"Not Found")</f>
        <v>HR</v>
      </c>
      <c r="G163" t="s">
        <v>381</v>
      </c>
      <c r="H163">
        <f t="shared" si="4"/>
        <v>2.4885177453027141</v>
      </c>
      <c r="I163">
        <f t="shared" si="5"/>
        <v>62.083333333333336</v>
      </c>
    </row>
    <row r="164" spans="1:9">
      <c r="A164">
        <v>163</v>
      </c>
      <c r="B164">
        <v>83</v>
      </c>
      <c r="C164" s="1">
        <v>46271</v>
      </c>
      <c r="D164" t="s">
        <v>384</v>
      </c>
      <c r="E164">
        <v>1</v>
      </c>
      <c r="F164" t="str">
        <f>_xlfn.XLOOKUP(B164,Employee_Master!A:A,Employee_Master!E:E,"Not Found")</f>
        <v>HR</v>
      </c>
      <c r="G164" t="s">
        <v>381</v>
      </c>
      <c r="H164">
        <f t="shared" si="4"/>
        <v>2.485355648535565</v>
      </c>
      <c r="I164">
        <f t="shared" si="5"/>
        <v>62.004175365344473</v>
      </c>
    </row>
    <row r="165" spans="1:9">
      <c r="A165">
        <v>164</v>
      </c>
      <c r="B165">
        <v>83</v>
      </c>
      <c r="C165" s="1">
        <v>46291</v>
      </c>
      <c r="D165" t="s">
        <v>380</v>
      </c>
      <c r="E165">
        <v>2</v>
      </c>
      <c r="F165" t="str">
        <f>_xlfn.XLOOKUP(B165,Employee_Master!A:A,Employee_Master!E:E,"Not Found")</f>
        <v>HR</v>
      </c>
      <c r="G165" t="s">
        <v>381</v>
      </c>
      <c r="H165">
        <f t="shared" si="4"/>
        <v>2.4884696016771488</v>
      </c>
      <c r="I165">
        <f t="shared" si="5"/>
        <v>61.924686192468613</v>
      </c>
    </row>
    <row r="166" spans="1:9">
      <c r="A166">
        <v>165</v>
      </c>
      <c r="B166">
        <v>83</v>
      </c>
      <c r="C166" s="1">
        <v>46026</v>
      </c>
      <c r="D166" t="s">
        <v>384</v>
      </c>
      <c r="E166">
        <v>1</v>
      </c>
      <c r="F166" t="str">
        <f>_xlfn.XLOOKUP(B166,Employee_Master!A:A,Employee_Master!E:E,"Not Found")</f>
        <v>HR</v>
      </c>
      <c r="G166" t="s">
        <v>381</v>
      </c>
      <c r="H166">
        <f t="shared" si="4"/>
        <v>2.4894957983193278</v>
      </c>
      <c r="I166">
        <f t="shared" si="5"/>
        <v>61.844863731656183</v>
      </c>
    </row>
    <row r="167" spans="1:9">
      <c r="A167">
        <v>166</v>
      </c>
      <c r="B167">
        <v>84</v>
      </c>
      <c r="C167" s="1">
        <v>46282</v>
      </c>
      <c r="D167" t="s">
        <v>380</v>
      </c>
      <c r="E167">
        <v>2</v>
      </c>
      <c r="F167" t="str">
        <f>_xlfn.XLOOKUP(B167,Employee_Master!A:A,Employee_Master!E:E,"Not Found")</f>
        <v>Customer Support</v>
      </c>
      <c r="G167" t="s">
        <v>381</v>
      </c>
      <c r="H167">
        <f t="shared" si="4"/>
        <v>2.4926315789473685</v>
      </c>
      <c r="I167">
        <f t="shared" si="5"/>
        <v>61.764705882352942</v>
      </c>
    </row>
    <row r="168" spans="1:9">
      <c r="A168">
        <v>167</v>
      </c>
      <c r="B168">
        <v>84</v>
      </c>
      <c r="C168" s="1">
        <v>45971</v>
      </c>
      <c r="D168" t="s">
        <v>382</v>
      </c>
      <c r="E168">
        <v>3</v>
      </c>
      <c r="F168" t="str">
        <f>_xlfn.XLOOKUP(B168,Employee_Master!A:A,Employee_Master!E:E,"Not Found")</f>
        <v>Customer Support</v>
      </c>
      <c r="G168" t="s">
        <v>386</v>
      </c>
      <c r="H168">
        <f t="shared" si="4"/>
        <v>2.4936708860759493</v>
      </c>
      <c r="I168">
        <f t="shared" si="5"/>
        <v>61.684210526315788</v>
      </c>
    </row>
    <row r="169" spans="1:9">
      <c r="A169">
        <v>168</v>
      </c>
      <c r="B169">
        <v>84</v>
      </c>
      <c r="C169" s="1">
        <v>46029</v>
      </c>
      <c r="D169" t="s">
        <v>382</v>
      </c>
      <c r="E169">
        <v>2</v>
      </c>
      <c r="F169" t="str">
        <f>_xlfn.XLOOKUP(B169,Employee_Master!A:A,Employee_Master!E:E,"Not Found")</f>
        <v>Customer Support</v>
      </c>
      <c r="G169" t="s">
        <v>385</v>
      </c>
      <c r="H169">
        <f t="shared" si="4"/>
        <v>2.492600422832981</v>
      </c>
      <c r="I169">
        <f t="shared" si="5"/>
        <v>61.603375527426167</v>
      </c>
    </row>
    <row r="170" spans="1:9">
      <c r="A170">
        <v>169</v>
      </c>
      <c r="B170">
        <v>85</v>
      </c>
      <c r="C170" s="1">
        <v>46292</v>
      </c>
      <c r="D170" t="s">
        <v>380</v>
      </c>
      <c r="E170">
        <v>4</v>
      </c>
      <c r="F170" t="str">
        <f>_xlfn.XLOOKUP(B170,Employee_Master!A:A,Employee_Master!E:E,"Not Found")</f>
        <v>Customer Support</v>
      </c>
      <c r="G170" t="s">
        <v>381</v>
      </c>
      <c r="H170">
        <f t="shared" si="4"/>
        <v>2.4936440677966103</v>
      </c>
      <c r="I170">
        <f t="shared" si="5"/>
        <v>61.733615221987314</v>
      </c>
    </row>
    <row r="171" spans="1:9">
      <c r="A171">
        <v>170</v>
      </c>
      <c r="B171">
        <v>85</v>
      </c>
      <c r="C171" s="1">
        <v>46277</v>
      </c>
      <c r="D171" t="s">
        <v>384</v>
      </c>
      <c r="E171">
        <v>4</v>
      </c>
      <c r="F171" t="str">
        <f>_xlfn.XLOOKUP(B171,Employee_Master!A:A,Employee_Master!E:E,"Not Found")</f>
        <v>Customer Support</v>
      </c>
      <c r="G171" t="s">
        <v>381</v>
      </c>
      <c r="H171">
        <f t="shared" si="4"/>
        <v>2.4904458598726116</v>
      </c>
      <c r="I171">
        <f t="shared" si="5"/>
        <v>61.864406779661017</v>
      </c>
    </row>
    <row r="172" spans="1:9">
      <c r="A172">
        <v>171</v>
      </c>
      <c r="B172">
        <v>85</v>
      </c>
      <c r="C172" s="1">
        <v>46190</v>
      </c>
      <c r="D172" t="s">
        <v>384</v>
      </c>
      <c r="E172">
        <v>1</v>
      </c>
      <c r="F172" t="str">
        <f>_xlfn.XLOOKUP(B172,Employee_Master!A:A,Employee_Master!E:E,"Not Found")</f>
        <v>Customer Support</v>
      </c>
      <c r="G172" t="s">
        <v>381</v>
      </c>
      <c r="H172">
        <f t="shared" si="4"/>
        <v>2.4872340425531916</v>
      </c>
      <c r="I172">
        <f t="shared" si="5"/>
        <v>61.783439490445858</v>
      </c>
    </row>
    <row r="173" spans="1:9">
      <c r="A173">
        <v>172</v>
      </c>
      <c r="B173">
        <v>85</v>
      </c>
      <c r="C173" s="1">
        <v>46032</v>
      </c>
      <c r="D173" t="s">
        <v>383</v>
      </c>
      <c r="E173">
        <v>2</v>
      </c>
      <c r="F173" t="str">
        <f>_xlfn.XLOOKUP(B173,Employee_Master!A:A,Employee_Master!E:E,"Not Found")</f>
        <v>Customer Support</v>
      </c>
      <c r="G173" t="s">
        <v>386</v>
      </c>
      <c r="H173">
        <f t="shared" si="4"/>
        <v>2.4904051172707891</v>
      </c>
      <c r="I173">
        <f t="shared" si="5"/>
        <v>61.702127659574465</v>
      </c>
    </row>
    <row r="174" spans="1:9">
      <c r="A174">
        <v>173</v>
      </c>
      <c r="B174">
        <v>86</v>
      </c>
      <c r="C174" s="1">
        <v>46027</v>
      </c>
      <c r="D174" t="s">
        <v>384</v>
      </c>
      <c r="E174">
        <v>1</v>
      </c>
      <c r="F174" t="str">
        <f>_xlfn.XLOOKUP(B174,Employee_Master!A:A,Employee_Master!E:E,"Not Found")</f>
        <v>Customer Support</v>
      </c>
      <c r="G174" t="s">
        <v>381</v>
      </c>
      <c r="H174">
        <f t="shared" si="4"/>
        <v>2.4914529914529915</v>
      </c>
      <c r="I174">
        <f t="shared" si="5"/>
        <v>61.620469083155648</v>
      </c>
    </row>
    <row r="175" spans="1:9">
      <c r="A175">
        <v>174</v>
      </c>
      <c r="B175">
        <v>86</v>
      </c>
      <c r="C175" s="1">
        <v>46026</v>
      </c>
      <c r="D175" t="s">
        <v>383</v>
      </c>
      <c r="E175">
        <v>2</v>
      </c>
      <c r="F175" t="str">
        <f>_xlfn.XLOOKUP(B175,Employee_Master!A:A,Employee_Master!E:E,"Not Found")</f>
        <v>Customer Support</v>
      </c>
      <c r="G175" t="s">
        <v>381</v>
      </c>
      <c r="H175">
        <f t="shared" si="4"/>
        <v>2.4946466809421843</v>
      </c>
      <c r="I175">
        <f t="shared" si="5"/>
        <v>61.752136752136757</v>
      </c>
    </row>
    <row r="176" spans="1:9">
      <c r="A176">
        <v>175</v>
      </c>
      <c r="B176">
        <v>86</v>
      </c>
      <c r="C176" s="1">
        <v>46133</v>
      </c>
      <c r="D176" t="s">
        <v>383</v>
      </c>
      <c r="E176">
        <v>4</v>
      </c>
      <c r="F176" t="str">
        <f>_xlfn.XLOOKUP(B176,Employee_Master!A:A,Employee_Master!E:E,"Not Found")</f>
        <v>Customer Support</v>
      </c>
      <c r="G176" t="s">
        <v>386</v>
      </c>
      <c r="H176">
        <f t="shared" si="4"/>
        <v>2.4957081545064379</v>
      </c>
      <c r="I176">
        <f t="shared" si="5"/>
        <v>61.670235546038541</v>
      </c>
    </row>
    <row r="177" spans="1:9">
      <c r="A177">
        <v>176</v>
      </c>
      <c r="B177">
        <v>86</v>
      </c>
      <c r="C177" s="1">
        <v>46258</v>
      </c>
      <c r="D177" t="s">
        <v>383</v>
      </c>
      <c r="E177">
        <v>2</v>
      </c>
      <c r="F177" t="str">
        <f>_xlfn.XLOOKUP(B177,Employee_Master!A:A,Employee_Master!E:E,"Not Found")</f>
        <v>Customer Support</v>
      </c>
      <c r="G177" t="s">
        <v>385</v>
      </c>
      <c r="H177">
        <f t="shared" si="4"/>
        <v>2.4924731182795701</v>
      </c>
      <c r="I177">
        <f t="shared" si="5"/>
        <v>61.587982832618025</v>
      </c>
    </row>
    <row r="178" spans="1:9">
      <c r="A178">
        <v>177</v>
      </c>
      <c r="B178">
        <v>87</v>
      </c>
      <c r="C178" s="1">
        <v>46107</v>
      </c>
      <c r="D178" t="s">
        <v>380</v>
      </c>
      <c r="E178">
        <v>1</v>
      </c>
      <c r="F178" t="str">
        <f>_xlfn.XLOOKUP(B178,Employee_Master!A:A,Employee_Master!E:E,"Not Found")</f>
        <v>Customer Support</v>
      </c>
      <c r="G178" t="s">
        <v>381</v>
      </c>
      <c r="H178">
        <f t="shared" si="4"/>
        <v>2.4935344827586206</v>
      </c>
      <c r="I178">
        <f t="shared" si="5"/>
        <v>61.72043010752688</v>
      </c>
    </row>
    <row r="179" spans="1:9">
      <c r="A179">
        <v>178</v>
      </c>
      <c r="B179">
        <v>87</v>
      </c>
      <c r="C179" s="1">
        <v>46075</v>
      </c>
      <c r="D179" t="s">
        <v>380</v>
      </c>
      <c r="E179">
        <v>1</v>
      </c>
      <c r="F179" t="str">
        <f>_xlfn.XLOOKUP(B179,Employee_Master!A:A,Employee_Master!E:E,"Not Found")</f>
        <v>Customer Support</v>
      </c>
      <c r="G179" t="s">
        <v>381</v>
      </c>
      <c r="H179">
        <f t="shared" si="4"/>
        <v>2.4967602591792657</v>
      </c>
      <c r="I179">
        <f t="shared" si="5"/>
        <v>61.853448275862064</v>
      </c>
    </row>
    <row r="180" spans="1:9">
      <c r="A180">
        <v>179</v>
      </c>
      <c r="B180">
        <v>89</v>
      </c>
      <c r="C180" s="1">
        <v>46107</v>
      </c>
      <c r="D180" t="s">
        <v>384</v>
      </c>
      <c r="E180">
        <v>4</v>
      </c>
      <c r="F180" t="str">
        <f>_xlfn.XLOOKUP(B180,Employee_Master!A:A,Employee_Master!E:E,"Not Found")</f>
        <v>IT</v>
      </c>
      <c r="G180" t="s">
        <v>381</v>
      </c>
      <c r="H180">
        <f t="shared" si="4"/>
        <v>2.5</v>
      </c>
      <c r="I180">
        <f t="shared" si="5"/>
        <v>61.77105831533477</v>
      </c>
    </row>
    <row r="181" spans="1:9">
      <c r="A181">
        <v>180</v>
      </c>
      <c r="B181">
        <v>89</v>
      </c>
      <c r="C181" s="1">
        <v>46276</v>
      </c>
      <c r="D181" t="s">
        <v>382</v>
      </c>
      <c r="E181">
        <v>1</v>
      </c>
      <c r="F181" t="str">
        <f>_xlfn.XLOOKUP(B181,Employee_Master!A:A,Employee_Master!E:E,"Not Found")</f>
        <v>IT</v>
      </c>
      <c r="G181" t="s">
        <v>381</v>
      </c>
      <c r="H181">
        <f t="shared" si="4"/>
        <v>2.4967462039045554</v>
      </c>
      <c r="I181">
        <f t="shared" si="5"/>
        <v>61.688311688311693</v>
      </c>
    </row>
    <row r="182" spans="1:9">
      <c r="A182">
        <v>181</v>
      </c>
      <c r="B182">
        <v>89</v>
      </c>
      <c r="C182" s="1">
        <v>46094</v>
      </c>
      <c r="D182" t="s">
        <v>383</v>
      </c>
      <c r="E182">
        <v>1</v>
      </c>
      <c r="F182" t="str">
        <f>_xlfn.XLOOKUP(B182,Employee_Master!A:A,Employee_Master!E:E,"Not Found")</f>
        <v>IT</v>
      </c>
      <c r="G182" t="s">
        <v>386</v>
      </c>
      <c r="H182">
        <f t="shared" si="4"/>
        <v>2.5</v>
      </c>
      <c r="I182">
        <f t="shared" si="5"/>
        <v>61.605206073752719</v>
      </c>
    </row>
    <row r="183" spans="1:9">
      <c r="A183">
        <v>182</v>
      </c>
      <c r="B183">
        <v>90</v>
      </c>
      <c r="C183" s="1">
        <v>46094</v>
      </c>
      <c r="D183" t="s">
        <v>382</v>
      </c>
      <c r="E183">
        <v>3</v>
      </c>
      <c r="F183" t="str">
        <f>_xlfn.XLOOKUP(B183,Employee_Master!A:A,Employee_Master!E:E,"Not Found")</f>
        <v>Finance</v>
      </c>
      <c r="G183" t="s">
        <v>385</v>
      </c>
      <c r="H183">
        <f t="shared" si="4"/>
        <v>2.5032679738562091</v>
      </c>
      <c r="I183">
        <f t="shared" si="5"/>
        <v>61.521739130434781</v>
      </c>
    </row>
    <row r="184" spans="1:9">
      <c r="A184">
        <v>183</v>
      </c>
      <c r="B184">
        <v>90</v>
      </c>
      <c r="C184" s="1">
        <v>46120</v>
      </c>
      <c r="D184" t="s">
        <v>382</v>
      </c>
      <c r="E184">
        <v>3</v>
      </c>
      <c r="F184" t="str">
        <f>_xlfn.XLOOKUP(B184,Employee_Master!A:A,Employee_Master!E:E,"Not Found")</f>
        <v>Finance</v>
      </c>
      <c r="G184" t="s">
        <v>385</v>
      </c>
      <c r="H184">
        <f t="shared" si="4"/>
        <v>2.5021834061135371</v>
      </c>
      <c r="I184">
        <f t="shared" si="5"/>
        <v>61.655773420479299</v>
      </c>
    </row>
    <row r="185" spans="1:9">
      <c r="A185">
        <v>184</v>
      </c>
      <c r="B185">
        <v>91</v>
      </c>
      <c r="C185" s="1">
        <v>46210</v>
      </c>
      <c r="D185" t="s">
        <v>380</v>
      </c>
      <c r="E185">
        <v>2</v>
      </c>
      <c r="F185" t="str">
        <f>_xlfn.XLOOKUP(B185,Employee_Master!A:A,Employee_Master!E:E,"Not Found")</f>
        <v>Marketing</v>
      </c>
      <c r="G185" t="s">
        <v>386</v>
      </c>
      <c r="H185">
        <f t="shared" si="4"/>
        <v>2.5010940919037199</v>
      </c>
      <c r="I185">
        <f t="shared" si="5"/>
        <v>61.790393013100442</v>
      </c>
    </row>
    <row r="186" spans="1:9">
      <c r="A186">
        <v>185</v>
      </c>
      <c r="B186">
        <v>91</v>
      </c>
      <c r="C186" s="1">
        <v>46018</v>
      </c>
      <c r="D186" t="s">
        <v>384</v>
      </c>
      <c r="E186">
        <v>3</v>
      </c>
      <c r="F186" t="str">
        <f>_xlfn.XLOOKUP(B186,Employee_Master!A:A,Employee_Master!E:E,"Not Found")</f>
        <v>Marketing</v>
      </c>
      <c r="G186" t="s">
        <v>385</v>
      </c>
      <c r="H186">
        <f t="shared" si="4"/>
        <v>2.5021929824561404</v>
      </c>
      <c r="I186">
        <f t="shared" si="5"/>
        <v>61.925601750547045</v>
      </c>
    </row>
    <row r="187" spans="1:9">
      <c r="A187">
        <v>186</v>
      </c>
      <c r="B187">
        <v>92</v>
      </c>
      <c r="C187" s="1">
        <v>46167</v>
      </c>
      <c r="D187" t="s">
        <v>383</v>
      </c>
      <c r="E187">
        <v>4</v>
      </c>
      <c r="F187" t="str">
        <f>_xlfn.XLOOKUP(B187,Employee_Master!A:A,Employee_Master!E:E,"Not Found")</f>
        <v>Finance</v>
      </c>
      <c r="G187" t="s">
        <v>385</v>
      </c>
      <c r="H187">
        <f t="shared" si="4"/>
        <v>2.5010989010989011</v>
      </c>
      <c r="I187">
        <f t="shared" si="5"/>
        <v>62.061403508771932</v>
      </c>
    </row>
    <row r="188" spans="1:9">
      <c r="A188">
        <v>187</v>
      </c>
      <c r="B188">
        <v>92</v>
      </c>
      <c r="C188" s="1">
        <v>46168</v>
      </c>
      <c r="D188" t="s">
        <v>382</v>
      </c>
      <c r="E188">
        <v>2</v>
      </c>
      <c r="F188" t="str">
        <f>_xlfn.XLOOKUP(B188,Employee_Master!A:A,Employee_Master!E:E,"Not Found")</f>
        <v>Finance</v>
      </c>
      <c r="G188" t="s">
        <v>381</v>
      </c>
      <c r="H188">
        <f t="shared" si="4"/>
        <v>2.4977973568281939</v>
      </c>
      <c r="I188">
        <f t="shared" si="5"/>
        <v>62.197802197802197</v>
      </c>
    </row>
    <row r="189" spans="1:9">
      <c r="A189">
        <v>188</v>
      </c>
      <c r="B189">
        <v>92</v>
      </c>
      <c r="C189" s="1">
        <v>46128</v>
      </c>
      <c r="D189" t="s">
        <v>382</v>
      </c>
      <c r="E189">
        <v>1</v>
      </c>
      <c r="F189" t="str">
        <f>_xlfn.XLOOKUP(B189,Employee_Master!A:A,Employee_Master!E:E,"Not Found")</f>
        <v>Finance</v>
      </c>
      <c r="G189" t="s">
        <v>381</v>
      </c>
      <c r="H189">
        <f t="shared" si="4"/>
        <v>2.498896247240618</v>
      </c>
      <c r="I189">
        <f t="shared" si="5"/>
        <v>62.33480176211453</v>
      </c>
    </row>
    <row r="190" spans="1:9">
      <c r="A190">
        <v>189</v>
      </c>
      <c r="B190">
        <v>93</v>
      </c>
      <c r="C190" s="1">
        <v>46126</v>
      </c>
      <c r="D190" t="s">
        <v>380</v>
      </c>
      <c r="E190">
        <v>4</v>
      </c>
      <c r="F190" t="str">
        <f>_xlfn.XLOOKUP(B190,Employee_Master!A:A,Employee_Master!E:E,"Not Found")</f>
        <v>Marketing</v>
      </c>
      <c r="G190" t="s">
        <v>381</v>
      </c>
      <c r="H190">
        <f t="shared" si="4"/>
        <v>2.502212389380531</v>
      </c>
      <c r="I190">
        <f t="shared" si="5"/>
        <v>62.251655629139066</v>
      </c>
    </row>
    <row r="191" spans="1:9">
      <c r="A191">
        <v>190</v>
      </c>
      <c r="B191">
        <v>93</v>
      </c>
      <c r="C191" s="1">
        <v>45938</v>
      </c>
      <c r="D191" t="s">
        <v>382</v>
      </c>
      <c r="E191">
        <v>2</v>
      </c>
      <c r="F191" t="str">
        <f>_xlfn.XLOOKUP(B191,Employee_Master!A:A,Employee_Master!E:E,"Not Found")</f>
        <v>Marketing</v>
      </c>
      <c r="G191" t="s">
        <v>381</v>
      </c>
      <c r="H191">
        <f t="shared" si="4"/>
        <v>2.4988913525498893</v>
      </c>
      <c r="I191">
        <f t="shared" si="5"/>
        <v>62.168141592920357</v>
      </c>
    </row>
    <row r="192" spans="1:9">
      <c r="A192">
        <v>191</v>
      </c>
      <c r="B192">
        <v>94</v>
      </c>
      <c r="C192" s="1">
        <v>46025</v>
      </c>
      <c r="D192" t="s">
        <v>380</v>
      </c>
      <c r="E192">
        <v>1</v>
      </c>
      <c r="F192" t="str">
        <f>_xlfn.XLOOKUP(B192,Employee_Master!A:A,Employee_Master!E:E,"Not Found")</f>
        <v>Sales</v>
      </c>
      <c r="G192" t="s">
        <v>381</v>
      </c>
      <c r="H192">
        <f t="shared" si="4"/>
        <v>2.5</v>
      </c>
      <c r="I192">
        <f t="shared" si="5"/>
        <v>62.084257206208427</v>
      </c>
    </row>
    <row r="193" spans="1:9">
      <c r="A193">
        <v>192</v>
      </c>
      <c r="B193">
        <v>94</v>
      </c>
      <c r="C193" s="1">
        <v>46131</v>
      </c>
      <c r="D193" t="s">
        <v>382</v>
      </c>
      <c r="E193">
        <v>2</v>
      </c>
      <c r="F193" t="str">
        <f>_xlfn.XLOOKUP(B193,Employee_Master!A:A,Employee_Master!E:E,"Not Found")</f>
        <v>Sales</v>
      </c>
      <c r="G193" t="s">
        <v>381</v>
      </c>
      <c r="H193">
        <f t="shared" si="4"/>
        <v>2.5033407572383073</v>
      </c>
      <c r="I193">
        <f t="shared" si="5"/>
        <v>62</v>
      </c>
    </row>
    <row r="194" spans="1:9">
      <c r="A194">
        <v>193</v>
      </c>
      <c r="B194">
        <v>94</v>
      </c>
      <c r="C194" s="1">
        <v>46103</v>
      </c>
      <c r="D194" t="s">
        <v>380</v>
      </c>
      <c r="E194">
        <v>1</v>
      </c>
      <c r="F194" t="str">
        <f>_xlfn.XLOOKUP(B194,Employee_Master!A:A,Employee_Master!E:E,"Not Found")</f>
        <v>Sales</v>
      </c>
      <c r="G194" t="s">
        <v>385</v>
      </c>
      <c r="H194">
        <f t="shared" ref="H194:H257" si="6">AVERAGE(E194:E833)</f>
        <v>2.5044642857142856</v>
      </c>
      <c r="I194">
        <f t="shared" ref="I194:I257" si="7">COUNTIF(G193:G832,"Approved")/COUNTA(G193:G832)*100</f>
        <v>61.915367483296215</v>
      </c>
    </row>
    <row r="195" spans="1:9">
      <c r="A195">
        <v>194</v>
      </c>
      <c r="B195">
        <v>94</v>
      </c>
      <c r="C195" s="1">
        <v>46131</v>
      </c>
      <c r="D195" t="s">
        <v>380</v>
      </c>
      <c r="E195">
        <v>3</v>
      </c>
      <c r="F195" t="str">
        <f>_xlfn.XLOOKUP(B195,Employee_Master!A:A,Employee_Master!E:E,"Not Found")</f>
        <v>Sales</v>
      </c>
      <c r="G195" t="s">
        <v>386</v>
      </c>
      <c r="H195">
        <f t="shared" si="6"/>
        <v>2.5078299776286355</v>
      </c>
      <c r="I195">
        <f t="shared" si="7"/>
        <v>61.830357142857139</v>
      </c>
    </row>
    <row r="196" spans="1:9">
      <c r="A196">
        <v>195</v>
      </c>
      <c r="B196">
        <v>95</v>
      </c>
      <c r="C196" s="1">
        <v>46047</v>
      </c>
      <c r="D196" t="s">
        <v>380</v>
      </c>
      <c r="E196">
        <v>4</v>
      </c>
      <c r="F196" t="str">
        <f>_xlfn.XLOOKUP(B196,Employee_Master!A:A,Employee_Master!E:E,"Not Found")</f>
        <v>Customer Support</v>
      </c>
      <c r="G196" t="s">
        <v>386</v>
      </c>
      <c r="H196">
        <f t="shared" si="6"/>
        <v>2.506726457399103</v>
      </c>
      <c r="I196">
        <f t="shared" si="7"/>
        <v>61.96868008948546</v>
      </c>
    </row>
    <row r="197" spans="1:9">
      <c r="A197">
        <v>196</v>
      </c>
      <c r="B197">
        <v>95</v>
      </c>
      <c r="C197" s="1">
        <v>46186</v>
      </c>
      <c r="D197" t="s">
        <v>382</v>
      </c>
      <c r="E197">
        <v>4</v>
      </c>
      <c r="F197" t="str">
        <f>_xlfn.XLOOKUP(B197,Employee_Master!A:A,Employee_Master!E:E,"Not Found")</f>
        <v>Customer Support</v>
      </c>
      <c r="G197" t="s">
        <v>381</v>
      </c>
      <c r="H197">
        <f t="shared" si="6"/>
        <v>2.5033707865168537</v>
      </c>
      <c r="I197">
        <f t="shared" si="7"/>
        <v>62.107623318385649</v>
      </c>
    </row>
    <row r="198" spans="1:9">
      <c r="A198">
        <v>197</v>
      </c>
      <c r="B198">
        <v>96</v>
      </c>
      <c r="C198" s="1">
        <v>46271</v>
      </c>
      <c r="D198" t="s">
        <v>384</v>
      </c>
      <c r="E198">
        <v>3</v>
      </c>
      <c r="F198" t="str">
        <f>_xlfn.XLOOKUP(B198,Employee_Master!A:A,Employee_Master!E:E,"Not Found")</f>
        <v>Sales</v>
      </c>
      <c r="G198" t="s">
        <v>381</v>
      </c>
      <c r="H198">
        <f t="shared" si="6"/>
        <v>2.5</v>
      </c>
      <c r="I198">
        <f t="shared" si="7"/>
        <v>62.247191011235955</v>
      </c>
    </row>
    <row r="199" spans="1:9">
      <c r="A199">
        <v>198</v>
      </c>
      <c r="B199">
        <v>96</v>
      </c>
      <c r="C199" s="1">
        <v>45965</v>
      </c>
      <c r="D199" t="s">
        <v>383</v>
      </c>
      <c r="E199">
        <v>4</v>
      </c>
      <c r="F199" t="str">
        <f>_xlfn.XLOOKUP(B199,Employee_Master!A:A,Employee_Master!E:E,"Not Found")</f>
        <v>Sales</v>
      </c>
      <c r="G199" t="s">
        <v>386</v>
      </c>
      <c r="H199">
        <f t="shared" si="6"/>
        <v>2.4988713318284423</v>
      </c>
      <c r="I199">
        <f t="shared" si="7"/>
        <v>62.162162162162161</v>
      </c>
    </row>
    <row r="200" spans="1:9">
      <c r="A200">
        <v>199</v>
      </c>
      <c r="B200">
        <v>96</v>
      </c>
      <c r="C200" s="1">
        <v>46079</v>
      </c>
      <c r="D200" t="s">
        <v>380</v>
      </c>
      <c r="E200">
        <v>2</v>
      </c>
      <c r="F200" t="str">
        <f>_xlfn.XLOOKUP(B200,Employee_Master!A:A,Employee_Master!E:E,"Not Found")</f>
        <v>Sales</v>
      </c>
      <c r="G200" t="s">
        <v>386</v>
      </c>
      <c r="H200">
        <f t="shared" si="6"/>
        <v>2.495475113122172</v>
      </c>
      <c r="I200">
        <f t="shared" si="7"/>
        <v>62.07674943566591</v>
      </c>
    </row>
    <row r="201" spans="1:9">
      <c r="A201">
        <v>200</v>
      </c>
      <c r="B201">
        <v>97</v>
      </c>
      <c r="C201" s="1">
        <v>46041</v>
      </c>
      <c r="D201" t="s">
        <v>382</v>
      </c>
      <c r="E201">
        <v>4</v>
      </c>
      <c r="F201" t="str">
        <f>_xlfn.XLOOKUP(B201,Employee_Master!A:A,Employee_Master!E:E,"Not Found")</f>
        <v>IT</v>
      </c>
      <c r="G201" t="s">
        <v>381</v>
      </c>
      <c r="H201">
        <f t="shared" si="6"/>
        <v>2.4965986394557822</v>
      </c>
      <c r="I201">
        <f t="shared" si="7"/>
        <v>62.217194570135746</v>
      </c>
    </row>
    <row r="202" spans="1:9">
      <c r="A202">
        <v>201</v>
      </c>
      <c r="B202">
        <v>97</v>
      </c>
      <c r="C202" s="1">
        <v>46088</v>
      </c>
      <c r="D202" t="s">
        <v>380</v>
      </c>
      <c r="E202">
        <v>3</v>
      </c>
      <c r="F202" t="str">
        <f>_xlfn.XLOOKUP(B202,Employee_Master!A:A,Employee_Master!E:E,"Not Found")</f>
        <v>IT</v>
      </c>
      <c r="G202" t="s">
        <v>381</v>
      </c>
      <c r="H202">
        <f t="shared" si="6"/>
        <v>2.4931818181818182</v>
      </c>
      <c r="I202">
        <f t="shared" si="7"/>
        <v>62.358276643990926</v>
      </c>
    </row>
    <row r="203" spans="1:9">
      <c r="A203">
        <v>202</v>
      </c>
      <c r="B203">
        <v>97</v>
      </c>
      <c r="C203" s="1">
        <v>46281</v>
      </c>
      <c r="D203" t="s">
        <v>382</v>
      </c>
      <c r="E203">
        <v>1</v>
      </c>
      <c r="F203" t="str">
        <f>_xlfn.XLOOKUP(B203,Employee_Master!A:A,Employee_Master!E:E,"Not Found")</f>
        <v>IT</v>
      </c>
      <c r="G203" t="s">
        <v>386</v>
      </c>
      <c r="H203">
        <f t="shared" si="6"/>
        <v>2.4920273348519362</v>
      </c>
      <c r="I203">
        <f t="shared" si="7"/>
        <v>62.272727272727266</v>
      </c>
    </row>
    <row r="204" spans="1:9">
      <c r="A204">
        <v>203</v>
      </c>
      <c r="B204">
        <v>98</v>
      </c>
      <c r="C204" s="1">
        <v>46202</v>
      </c>
      <c r="D204" t="s">
        <v>383</v>
      </c>
      <c r="E204">
        <v>3</v>
      </c>
      <c r="F204" t="str">
        <f>_xlfn.XLOOKUP(B204,Employee_Master!A:A,Employee_Master!E:E,"Not Found")</f>
        <v>Operations</v>
      </c>
      <c r="G204" t="s">
        <v>381</v>
      </c>
      <c r="H204">
        <f t="shared" si="6"/>
        <v>2.4954337899543377</v>
      </c>
      <c r="I204">
        <f t="shared" si="7"/>
        <v>62.186788154897499</v>
      </c>
    </row>
    <row r="205" spans="1:9">
      <c r="A205">
        <v>204</v>
      </c>
      <c r="B205">
        <v>99</v>
      </c>
      <c r="C205" s="1">
        <v>46120</v>
      </c>
      <c r="D205" t="s">
        <v>382</v>
      </c>
      <c r="E205">
        <v>1</v>
      </c>
      <c r="F205" t="str">
        <f>_xlfn.XLOOKUP(B205,Employee_Master!A:A,Employee_Master!E:E,"Not Found")</f>
        <v>Finance</v>
      </c>
      <c r="G205" t="s">
        <v>381</v>
      </c>
      <c r="H205">
        <f t="shared" si="6"/>
        <v>2.4942791762013732</v>
      </c>
      <c r="I205">
        <f t="shared" si="7"/>
        <v>62.328767123287676</v>
      </c>
    </row>
    <row r="206" spans="1:9">
      <c r="A206">
        <v>205</v>
      </c>
      <c r="B206">
        <v>100</v>
      </c>
      <c r="C206" s="1">
        <v>46120</v>
      </c>
      <c r="D206" t="s">
        <v>382</v>
      </c>
      <c r="E206">
        <v>2</v>
      </c>
      <c r="F206" t="str">
        <f>_xlfn.XLOOKUP(B206,Employee_Master!A:A,Employee_Master!E:E,"Not Found")</f>
        <v>Operations</v>
      </c>
      <c r="G206" t="s">
        <v>381</v>
      </c>
      <c r="H206">
        <f t="shared" si="6"/>
        <v>2.4977064220183487</v>
      </c>
      <c r="I206">
        <f t="shared" si="7"/>
        <v>62.242562929061783</v>
      </c>
    </row>
    <row r="207" spans="1:9">
      <c r="A207">
        <v>206</v>
      </c>
      <c r="B207">
        <v>100</v>
      </c>
      <c r="C207" s="1">
        <v>46098</v>
      </c>
      <c r="D207" t="s">
        <v>380</v>
      </c>
      <c r="E207">
        <v>3</v>
      </c>
      <c r="F207" t="str">
        <f>_xlfn.XLOOKUP(B207,Employee_Master!A:A,Employee_Master!E:E,"Not Found")</f>
        <v>Operations</v>
      </c>
      <c r="G207" t="s">
        <v>385</v>
      </c>
      <c r="H207">
        <f t="shared" si="6"/>
        <v>2.4988505747126437</v>
      </c>
      <c r="I207">
        <f t="shared" si="7"/>
        <v>62.155963302752291</v>
      </c>
    </row>
    <row r="208" spans="1:9">
      <c r="A208">
        <v>207</v>
      </c>
      <c r="B208">
        <v>100</v>
      </c>
      <c r="C208" s="1">
        <v>46074</v>
      </c>
      <c r="D208" t="s">
        <v>383</v>
      </c>
      <c r="E208">
        <v>3</v>
      </c>
      <c r="F208" t="str">
        <f>_xlfn.XLOOKUP(B208,Employee_Master!A:A,Employee_Master!E:E,"Not Found")</f>
        <v>Operations</v>
      </c>
      <c r="G208" t="s">
        <v>381</v>
      </c>
      <c r="H208">
        <f t="shared" si="6"/>
        <v>2.4976958525345623</v>
      </c>
      <c r="I208">
        <f t="shared" si="7"/>
        <v>62.068965517241381</v>
      </c>
    </row>
    <row r="209" spans="1:9">
      <c r="A209">
        <v>208</v>
      </c>
      <c r="B209">
        <v>101</v>
      </c>
      <c r="C209" s="1">
        <v>46095</v>
      </c>
      <c r="D209" t="s">
        <v>380</v>
      </c>
      <c r="E209">
        <v>2</v>
      </c>
      <c r="F209" t="str">
        <f>_xlfn.XLOOKUP(B209,Employee_Master!A:A,Employee_Master!E:E,"Not Found")</f>
        <v>Finance</v>
      </c>
      <c r="G209" t="s">
        <v>381</v>
      </c>
      <c r="H209">
        <f t="shared" si="6"/>
        <v>2.4965357967667439</v>
      </c>
      <c r="I209">
        <f t="shared" si="7"/>
        <v>62.21198156682027</v>
      </c>
    </row>
    <row r="210" spans="1:9">
      <c r="A210">
        <v>209</v>
      </c>
      <c r="B210">
        <v>102</v>
      </c>
      <c r="C210" s="1">
        <v>46219</v>
      </c>
      <c r="D210" t="s">
        <v>382</v>
      </c>
      <c r="E210">
        <v>1</v>
      </c>
      <c r="F210" t="str">
        <f>_xlfn.XLOOKUP(B210,Employee_Master!A:A,Employee_Master!E:E,"Not Found")</f>
        <v>Marketing</v>
      </c>
      <c r="G210" t="s">
        <v>381</v>
      </c>
      <c r="H210">
        <f t="shared" si="6"/>
        <v>2.4976851851851851</v>
      </c>
      <c r="I210">
        <f t="shared" si="7"/>
        <v>62.124711316397232</v>
      </c>
    </row>
    <row r="211" spans="1:9">
      <c r="A211">
        <v>210</v>
      </c>
      <c r="B211">
        <v>102</v>
      </c>
      <c r="C211" s="1">
        <v>46192</v>
      </c>
      <c r="D211" t="s">
        <v>384</v>
      </c>
      <c r="E211">
        <v>4</v>
      </c>
      <c r="F211" t="str">
        <f>_xlfn.XLOOKUP(B211,Employee_Master!A:A,Employee_Master!E:E,"Not Found")</f>
        <v>Marketing</v>
      </c>
      <c r="G211" t="s">
        <v>381</v>
      </c>
      <c r="H211">
        <f t="shared" si="6"/>
        <v>2.5011600928074245</v>
      </c>
      <c r="I211">
        <f t="shared" si="7"/>
        <v>62.037037037037038</v>
      </c>
    </row>
    <row r="212" spans="1:9">
      <c r="A212">
        <v>211</v>
      </c>
      <c r="B212">
        <v>102</v>
      </c>
      <c r="C212" s="1">
        <v>46250</v>
      </c>
      <c r="D212" t="s">
        <v>383</v>
      </c>
      <c r="E212">
        <v>1</v>
      </c>
      <c r="F212" t="str">
        <f>_xlfn.XLOOKUP(B212,Employee_Master!A:A,Employee_Master!E:E,"Not Found")</f>
        <v>Marketing</v>
      </c>
      <c r="G212" t="s">
        <v>386</v>
      </c>
      <c r="H212">
        <f t="shared" si="6"/>
        <v>2.4976744186046513</v>
      </c>
      <c r="I212">
        <f t="shared" si="7"/>
        <v>61.948955916473317</v>
      </c>
    </row>
    <row r="213" spans="1:9">
      <c r="A213">
        <v>212</v>
      </c>
      <c r="B213">
        <v>103</v>
      </c>
      <c r="C213" s="1">
        <v>46167</v>
      </c>
      <c r="D213" t="s">
        <v>383</v>
      </c>
      <c r="E213">
        <v>1</v>
      </c>
      <c r="F213" t="str">
        <f>_xlfn.XLOOKUP(B213,Employee_Master!A:A,Employee_Master!E:E,"Not Found")</f>
        <v>Operations</v>
      </c>
      <c r="G213" t="s">
        <v>385</v>
      </c>
      <c r="H213">
        <f t="shared" si="6"/>
        <v>2.501165501165501</v>
      </c>
      <c r="I213">
        <f t="shared" si="7"/>
        <v>61.860465116279073</v>
      </c>
    </row>
    <row r="214" spans="1:9">
      <c r="A214">
        <v>213</v>
      </c>
      <c r="B214">
        <v>103</v>
      </c>
      <c r="C214" s="1">
        <v>46130</v>
      </c>
      <c r="D214" t="s">
        <v>380</v>
      </c>
      <c r="E214">
        <v>3</v>
      </c>
      <c r="F214" t="str">
        <f>_xlfn.XLOOKUP(B214,Employee_Master!A:A,Employee_Master!E:E,"Not Found")</f>
        <v>Operations</v>
      </c>
      <c r="G214" t="s">
        <v>381</v>
      </c>
      <c r="H214">
        <f t="shared" si="6"/>
        <v>2.5046728971962615</v>
      </c>
      <c r="I214">
        <f t="shared" si="7"/>
        <v>62.004662004662002</v>
      </c>
    </row>
    <row r="215" spans="1:9">
      <c r="A215">
        <v>214</v>
      </c>
      <c r="B215">
        <v>103</v>
      </c>
      <c r="C215" s="1">
        <v>46117</v>
      </c>
      <c r="D215" t="s">
        <v>384</v>
      </c>
      <c r="E215">
        <v>4</v>
      </c>
      <c r="F215" t="str">
        <f>_xlfn.XLOOKUP(B215,Employee_Master!A:A,Employee_Master!E:E,"Not Found")</f>
        <v>Operations</v>
      </c>
      <c r="G215" t="s">
        <v>381</v>
      </c>
      <c r="H215">
        <f t="shared" si="6"/>
        <v>2.5035128805620608</v>
      </c>
      <c r="I215">
        <f t="shared" si="7"/>
        <v>62.149532710280376</v>
      </c>
    </row>
    <row r="216" spans="1:9">
      <c r="A216">
        <v>215</v>
      </c>
      <c r="B216">
        <v>104</v>
      </c>
      <c r="C216" s="1">
        <v>46255</v>
      </c>
      <c r="D216" t="s">
        <v>384</v>
      </c>
      <c r="E216">
        <v>3</v>
      </c>
      <c r="F216" t="str">
        <f>_xlfn.XLOOKUP(B216,Employee_Master!A:A,Employee_Master!E:E,"Not Found")</f>
        <v>IT</v>
      </c>
      <c r="G216" t="s">
        <v>381</v>
      </c>
      <c r="H216">
        <f t="shared" si="6"/>
        <v>2.5</v>
      </c>
      <c r="I216">
        <f t="shared" si="7"/>
        <v>62.060889929742387</v>
      </c>
    </row>
    <row r="217" spans="1:9">
      <c r="A217">
        <v>216</v>
      </c>
      <c r="B217">
        <v>105</v>
      </c>
      <c r="C217" s="1">
        <v>46178</v>
      </c>
      <c r="D217" t="s">
        <v>380</v>
      </c>
      <c r="E217">
        <v>3</v>
      </c>
      <c r="F217" t="str">
        <f>_xlfn.XLOOKUP(B217,Employee_Master!A:A,Employee_Master!E:E,"Not Found")</f>
        <v>Sales</v>
      </c>
      <c r="G217" t="s">
        <v>381</v>
      </c>
      <c r="H217">
        <f t="shared" si="6"/>
        <v>2.4988235294117649</v>
      </c>
      <c r="I217">
        <f t="shared" si="7"/>
        <v>61.971830985915489</v>
      </c>
    </row>
    <row r="218" spans="1:9">
      <c r="A218">
        <v>217</v>
      </c>
      <c r="B218">
        <v>105</v>
      </c>
      <c r="C218" s="1">
        <v>46179</v>
      </c>
      <c r="D218" t="s">
        <v>383</v>
      </c>
      <c r="E218">
        <v>2</v>
      </c>
      <c r="F218" t="str">
        <f>_xlfn.XLOOKUP(B218,Employee_Master!A:A,Employee_Master!E:E,"Not Found")</f>
        <v>Sales</v>
      </c>
      <c r="G218" t="s">
        <v>381</v>
      </c>
      <c r="H218">
        <f t="shared" si="6"/>
        <v>2.4976415094339623</v>
      </c>
      <c r="I218">
        <f t="shared" si="7"/>
        <v>61.882352941176464</v>
      </c>
    </row>
    <row r="219" spans="1:9">
      <c r="A219">
        <v>218</v>
      </c>
      <c r="B219">
        <v>105</v>
      </c>
      <c r="C219" s="1">
        <v>46236</v>
      </c>
      <c r="D219" t="s">
        <v>384</v>
      </c>
      <c r="E219">
        <v>3</v>
      </c>
      <c r="F219" t="str">
        <f>_xlfn.XLOOKUP(B219,Employee_Master!A:A,Employee_Master!E:E,"Not Found")</f>
        <v>Sales</v>
      </c>
      <c r="G219" t="s">
        <v>381</v>
      </c>
      <c r="H219">
        <f t="shared" si="6"/>
        <v>2.4988179669030735</v>
      </c>
      <c r="I219">
        <f t="shared" si="7"/>
        <v>61.79245283018868</v>
      </c>
    </row>
    <row r="220" spans="1:9">
      <c r="A220">
        <v>219</v>
      </c>
      <c r="B220">
        <v>105</v>
      </c>
      <c r="C220" s="1">
        <v>46030</v>
      </c>
      <c r="D220" t="s">
        <v>383</v>
      </c>
      <c r="E220">
        <v>2</v>
      </c>
      <c r="F220" t="str">
        <f>_xlfn.XLOOKUP(B220,Employee_Master!A:A,Employee_Master!E:E,"Not Found")</f>
        <v>Sales</v>
      </c>
      <c r="G220" t="s">
        <v>385</v>
      </c>
      <c r="H220">
        <f t="shared" si="6"/>
        <v>2.4976303317535544</v>
      </c>
      <c r="I220">
        <f t="shared" si="7"/>
        <v>61.702127659574465</v>
      </c>
    </row>
    <row r="221" spans="1:9">
      <c r="A221">
        <v>220</v>
      </c>
      <c r="B221">
        <v>106</v>
      </c>
      <c r="C221" s="1">
        <v>46289</v>
      </c>
      <c r="D221" t="s">
        <v>384</v>
      </c>
      <c r="E221">
        <v>3</v>
      </c>
      <c r="F221" t="str">
        <f>_xlfn.XLOOKUP(B221,Employee_Master!A:A,Employee_Master!E:E,"Not Found")</f>
        <v>IT</v>
      </c>
      <c r="G221" t="s">
        <v>381</v>
      </c>
      <c r="H221">
        <f t="shared" si="6"/>
        <v>2.4988123515439429</v>
      </c>
      <c r="I221">
        <f t="shared" si="7"/>
        <v>61.611374407582943</v>
      </c>
    </row>
    <row r="222" spans="1:9">
      <c r="A222">
        <v>221</v>
      </c>
      <c r="B222">
        <v>106</v>
      </c>
      <c r="C222" s="1">
        <v>46035</v>
      </c>
      <c r="D222" t="s">
        <v>380</v>
      </c>
      <c r="E222">
        <v>3</v>
      </c>
      <c r="F222" t="str">
        <f>_xlfn.XLOOKUP(B222,Employee_Master!A:A,Employee_Master!E:E,"Not Found")</f>
        <v>IT</v>
      </c>
      <c r="G222" t="s">
        <v>381</v>
      </c>
      <c r="H222">
        <f t="shared" si="6"/>
        <v>2.4976190476190476</v>
      </c>
      <c r="I222">
        <f t="shared" si="7"/>
        <v>61.757719714964367</v>
      </c>
    </row>
    <row r="223" spans="1:9">
      <c r="A223">
        <v>222</v>
      </c>
      <c r="B223">
        <v>106</v>
      </c>
      <c r="C223" s="1">
        <v>45945</v>
      </c>
      <c r="D223" t="s">
        <v>382</v>
      </c>
      <c r="E223">
        <v>1</v>
      </c>
      <c r="F223" t="str">
        <f>_xlfn.XLOOKUP(B223,Employee_Master!A:A,Employee_Master!E:E,"Not Found")</f>
        <v>IT</v>
      </c>
      <c r="G223" t="s">
        <v>381</v>
      </c>
      <c r="H223">
        <f t="shared" si="6"/>
        <v>2.496420047732697</v>
      </c>
      <c r="I223">
        <f t="shared" si="7"/>
        <v>61.666666666666671</v>
      </c>
    </row>
    <row r="224" spans="1:9">
      <c r="A224">
        <v>223</v>
      </c>
      <c r="B224">
        <v>107</v>
      </c>
      <c r="C224" s="1">
        <v>46006</v>
      </c>
      <c r="D224" t="s">
        <v>382</v>
      </c>
      <c r="E224">
        <v>4</v>
      </c>
      <c r="F224" t="str">
        <f>_xlfn.XLOOKUP(B224,Employee_Master!A:A,Employee_Master!E:E,"Not Found")</f>
        <v>Customer Support</v>
      </c>
      <c r="G224" t="s">
        <v>386</v>
      </c>
      <c r="H224">
        <f t="shared" si="6"/>
        <v>2.5</v>
      </c>
      <c r="I224">
        <f t="shared" si="7"/>
        <v>61.575178997613364</v>
      </c>
    </row>
    <row r="225" spans="1:9">
      <c r="A225">
        <v>224</v>
      </c>
      <c r="B225">
        <v>107</v>
      </c>
      <c r="C225" s="1">
        <v>46011</v>
      </c>
      <c r="D225" t="s">
        <v>382</v>
      </c>
      <c r="E225">
        <v>3</v>
      </c>
      <c r="F225" t="str">
        <f>_xlfn.XLOOKUP(B225,Employee_Master!A:A,Employee_Master!E:E,"Not Found")</f>
        <v>Customer Support</v>
      </c>
      <c r="G225" t="s">
        <v>381</v>
      </c>
      <c r="H225">
        <f t="shared" si="6"/>
        <v>2.4964028776978417</v>
      </c>
      <c r="I225">
        <f t="shared" si="7"/>
        <v>61.483253588516753</v>
      </c>
    </row>
    <row r="226" spans="1:9">
      <c r="A226">
        <v>225</v>
      </c>
      <c r="B226">
        <v>107</v>
      </c>
      <c r="C226" s="1">
        <v>46071</v>
      </c>
      <c r="D226" t="s">
        <v>382</v>
      </c>
      <c r="E226">
        <v>3</v>
      </c>
      <c r="F226" t="str">
        <f>_xlfn.XLOOKUP(B226,Employee_Master!A:A,Employee_Master!E:E,"Not Found")</f>
        <v>Customer Support</v>
      </c>
      <c r="G226" t="s">
        <v>381</v>
      </c>
      <c r="H226">
        <f t="shared" si="6"/>
        <v>2.4951923076923075</v>
      </c>
      <c r="I226">
        <f t="shared" si="7"/>
        <v>61.630695443645088</v>
      </c>
    </row>
    <row r="227" spans="1:9">
      <c r="A227">
        <v>226</v>
      </c>
      <c r="B227">
        <v>108</v>
      </c>
      <c r="C227" s="1">
        <v>46163</v>
      </c>
      <c r="D227" t="s">
        <v>383</v>
      </c>
      <c r="E227">
        <v>2</v>
      </c>
      <c r="F227" t="str">
        <f>_xlfn.XLOOKUP(B227,Employee_Master!A:A,Employee_Master!E:E,"Not Found")</f>
        <v>HR</v>
      </c>
      <c r="G227" t="s">
        <v>386</v>
      </c>
      <c r="H227">
        <f t="shared" si="6"/>
        <v>2.4939759036144578</v>
      </c>
      <c r="I227">
        <f t="shared" si="7"/>
        <v>61.53846153846154</v>
      </c>
    </row>
    <row r="228" spans="1:9">
      <c r="A228">
        <v>227</v>
      </c>
      <c r="B228">
        <v>108</v>
      </c>
      <c r="C228" s="1">
        <v>45996</v>
      </c>
      <c r="D228" t="s">
        <v>383</v>
      </c>
      <c r="E228">
        <v>1</v>
      </c>
      <c r="F228" t="str">
        <f>_xlfn.XLOOKUP(B228,Employee_Master!A:A,Employee_Master!E:E,"Not Found")</f>
        <v>HR</v>
      </c>
      <c r="G228" t="s">
        <v>381</v>
      </c>
      <c r="H228">
        <f t="shared" si="6"/>
        <v>2.4951690821256038</v>
      </c>
      <c r="I228">
        <f t="shared" si="7"/>
        <v>61.445783132530117</v>
      </c>
    </row>
    <row r="229" spans="1:9">
      <c r="A229">
        <v>228</v>
      </c>
      <c r="B229">
        <v>108</v>
      </c>
      <c r="C229" s="1">
        <v>45957</v>
      </c>
      <c r="D229" t="s">
        <v>383</v>
      </c>
      <c r="E229">
        <v>4</v>
      </c>
      <c r="F229" t="str">
        <f>_xlfn.XLOOKUP(B229,Employee_Master!A:A,Employee_Master!E:E,"Not Found")</f>
        <v>HR</v>
      </c>
      <c r="G229" t="s">
        <v>381</v>
      </c>
      <c r="H229">
        <f t="shared" si="6"/>
        <v>2.4987893462469732</v>
      </c>
      <c r="I229">
        <f t="shared" si="7"/>
        <v>61.594202898550719</v>
      </c>
    </row>
    <row r="230" spans="1:9">
      <c r="A230">
        <v>229</v>
      </c>
      <c r="B230">
        <v>108</v>
      </c>
      <c r="C230" s="1">
        <v>46003</v>
      </c>
      <c r="D230" t="s">
        <v>383</v>
      </c>
      <c r="E230">
        <v>4</v>
      </c>
      <c r="F230" t="str">
        <f>_xlfn.XLOOKUP(B230,Employee_Master!A:A,Employee_Master!E:E,"Not Found")</f>
        <v>HR</v>
      </c>
      <c r="G230" t="s">
        <v>386</v>
      </c>
      <c r="H230">
        <f t="shared" si="6"/>
        <v>2.4951456310679609</v>
      </c>
      <c r="I230">
        <f t="shared" si="7"/>
        <v>61.501210653753027</v>
      </c>
    </row>
    <row r="231" spans="1:9">
      <c r="A231">
        <v>230</v>
      </c>
      <c r="B231">
        <v>110</v>
      </c>
      <c r="C231" s="1">
        <v>46261</v>
      </c>
      <c r="D231" t="s">
        <v>383</v>
      </c>
      <c r="E231">
        <v>4</v>
      </c>
      <c r="F231" t="str">
        <f>_xlfn.XLOOKUP(B231,Employee_Master!A:A,Employee_Master!E:E,"Not Found")</f>
        <v>Sales</v>
      </c>
      <c r="G231" t="s">
        <v>381</v>
      </c>
      <c r="H231">
        <f t="shared" si="6"/>
        <v>2.4914841849148419</v>
      </c>
      <c r="I231">
        <f t="shared" si="7"/>
        <v>61.407766990291258</v>
      </c>
    </row>
    <row r="232" spans="1:9">
      <c r="A232">
        <v>231</v>
      </c>
      <c r="B232">
        <v>110</v>
      </c>
      <c r="C232" s="1">
        <v>46098</v>
      </c>
      <c r="D232" t="s">
        <v>384</v>
      </c>
      <c r="E232">
        <v>3</v>
      </c>
      <c r="F232" t="str">
        <f>_xlfn.XLOOKUP(B232,Employee_Master!A:A,Employee_Master!E:E,"Not Found")</f>
        <v>Sales</v>
      </c>
      <c r="G232" t="s">
        <v>381</v>
      </c>
      <c r="H232">
        <f t="shared" si="6"/>
        <v>2.4878048780487805</v>
      </c>
      <c r="I232">
        <f t="shared" si="7"/>
        <v>61.557177615571781</v>
      </c>
    </row>
    <row r="233" spans="1:9">
      <c r="A233">
        <v>232</v>
      </c>
      <c r="B233">
        <v>110</v>
      </c>
      <c r="C233" s="1">
        <v>46220</v>
      </c>
      <c r="D233" t="s">
        <v>384</v>
      </c>
      <c r="E233">
        <v>1</v>
      </c>
      <c r="F233" t="str">
        <f>_xlfn.XLOOKUP(B233,Employee_Master!A:A,Employee_Master!E:E,"Not Found")</f>
        <v>Sales</v>
      </c>
      <c r="G233" t="s">
        <v>381</v>
      </c>
      <c r="H233">
        <f t="shared" si="6"/>
        <v>2.486552567237164</v>
      </c>
      <c r="I233">
        <f t="shared" si="7"/>
        <v>61.463414634146339</v>
      </c>
    </row>
    <row r="234" spans="1:9">
      <c r="A234">
        <v>233</v>
      </c>
      <c r="B234">
        <v>111</v>
      </c>
      <c r="C234" s="1">
        <v>45963</v>
      </c>
      <c r="D234" t="s">
        <v>384</v>
      </c>
      <c r="E234">
        <v>2</v>
      </c>
      <c r="F234" t="str">
        <f>_xlfn.XLOOKUP(B234,Employee_Master!A:A,Employee_Master!E:E,"Not Found")</f>
        <v>IT</v>
      </c>
      <c r="G234" t="s">
        <v>381</v>
      </c>
      <c r="H234">
        <f t="shared" si="6"/>
        <v>2.4901960784313726</v>
      </c>
      <c r="I234">
        <f t="shared" si="7"/>
        <v>61.369193154034228</v>
      </c>
    </row>
    <row r="235" spans="1:9">
      <c r="A235">
        <v>234</v>
      </c>
      <c r="B235">
        <v>111</v>
      </c>
      <c r="C235" s="1">
        <v>45983</v>
      </c>
      <c r="D235" t="s">
        <v>380</v>
      </c>
      <c r="E235">
        <v>2</v>
      </c>
      <c r="F235" t="str">
        <f>_xlfn.XLOOKUP(B235,Employee_Master!A:A,Employee_Master!E:E,"Not Found")</f>
        <v>IT</v>
      </c>
      <c r="G235" t="s">
        <v>381</v>
      </c>
      <c r="H235">
        <f t="shared" si="6"/>
        <v>2.4914004914004915</v>
      </c>
      <c r="I235">
        <f t="shared" si="7"/>
        <v>61.274509803921575</v>
      </c>
    </row>
    <row r="236" spans="1:9">
      <c r="A236">
        <v>235</v>
      </c>
      <c r="B236">
        <v>111</v>
      </c>
      <c r="C236" s="1">
        <v>46115</v>
      </c>
      <c r="D236" t="s">
        <v>383</v>
      </c>
      <c r="E236">
        <v>3</v>
      </c>
      <c r="F236" t="str">
        <f>_xlfn.XLOOKUP(B236,Employee_Master!A:A,Employee_Master!E:E,"Not Found")</f>
        <v>IT</v>
      </c>
      <c r="G236" t="s">
        <v>381</v>
      </c>
      <c r="H236">
        <f t="shared" si="6"/>
        <v>2.4926108374384235</v>
      </c>
      <c r="I236">
        <f t="shared" si="7"/>
        <v>61.17936117936118</v>
      </c>
    </row>
    <row r="237" spans="1:9">
      <c r="A237">
        <v>236</v>
      </c>
      <c r="B237">
        <v>112</v>
      </c>
      <c r="C237" s="1">
        <v>46106</v>
      </c>
      <c r="D237" t="s">
        <v>384</v>
      </c>
      <c r="E237">
        <v>4</v>
      </c>
      <c r="F237" t="str">
        <f>_xlfn.XLOOKUP(B237,Employee_Master!A:A,Employee_Master!E:E,"Not Found")</f>
        <v>Finance</v>
      </c>
      <c r="G237" t="s">
        <v>385</v>
      </c>
      <c r="H237">
        <f t="shared" si="6"/>
        <v>2.4913580246913578</v>
      </c>
      <c r="I237">
        <f t="shared" si="7"/>
        <v>61.083743842364534</v>
      </c>
    </row>
    <row r="238" spans="1:9">
      <c r="A238">
        <v>237</v>
      </c>
      <c r="B238">
        <v>112</v>
      </c>
      <c r="C238" s="1">
        <v>46210</v>
      </c>
      <c r="D238" t="s">
        <v>384</v>
      </c>
      <c r="E238">
        <v>4</v>
      </c>
      <c r="F238" t="str">
        <f>_xlfn.XLOOKUP(B238,Employee_Master!A:A,Employee_Master!E:E,"Not Found")</f>
        <v>Finance</v>
      </c>
      <c r="G238" t="s">
        <v>385</v>
      </c>
      <c r="H238">
        <f t="shared" si="6"/>
        <v>2.4876237623762378</v>
      </c>
      <c r="I238">
        <f t="shared" si="7"/>
        <v>60.987654320987652</v>
      </c>
    </row>
    <row r="239" spans="1:9">
      <c r="A239">
        <v>238</v>
      </c>
      <c r="B239">
        <v>112</v>
      </c>
      <c r="C239" s="1">
        <v>46286</v>
      </c>
      <c r="D239" t="s">
        <v>380</v>
      </c>
      <c r="E239">
        <v>1</v>
      </c>
      <c r="F239" t="str">
        <f>_xlfn.XLOOKUP(B239,Employee_Master!A:A,Employee_Master!E:E,"Not Found")</f>
        <v>Finance</v>
      </c>
      <c r="G239" t="s">
        <v>381</v>
      </c>
      <c r="H239">
        <f t="shared" si="6"/>
        <v>2.4838709677419355</v>
      </c>
      <c r="I239">
        <f t="shared" si="7"/>
        <v>61.138613861386141</v>
      </c>
    </row>
    <row r="240" spans="1:9">
      <c r="A240">
        <v>239</v>
      </c>
      <c r="B240">
        <v>113</v>
      </c>
      <c r="C240" s="1">
        <v>46012</v>
      </c>
      <c r="D240" t="s">
        <v>384</v>
      </c>
      <c r="E240">
        <v>3</v>
      </c>
      <c r="F240" t="str">
        <f>_xlfn.XLOOKUP(B240,Employee_Master!A:A,Employee_Master!E:E,"Not Found")</f>
        <v>Marketing</v>
      </c>
      <c r="G240" t="s">
        <v>381</v>
      </c>
      <c r="H240">
        <f t="shared" si="6"/>
        <v>2.4875621890547261</v>
      </c>
      <c r="I240">
        <f t="shared" si="7"/>
        <v>61.29032258064516</v>
      </c>
    </row>
    <row r="241" spans="1:9">
      <c r="A241">
        <v>240</v>
      </c>
      <c r="B241">
        <v>113</v>
      </c>
      <c r="C241" s="1">
        <v>46053</v>
      </c>
      <c r="D241" t="s">
        <v>384</v>
      </c>
      <c r="E241">
        <v>1</v>
      </c>
      <c r="F241" t="str">
        <f>_xlfn.XLOOKUP(B241,Employee_Master!A:A,Employee_Master!E:E,"Not Found")</f>
        <v>Marketing</v>
      </c>
      <c r="G241" t="s">
        <v>381</v>
      </c>
      <c r="H241">
        <f t="shared" si="6"/>
        <v>2.4862842892768078</v>
      </c>
      <c r="I241">
        <f t="shared" si="7"/>
        <v>61.194029850746269</v>
      </c>
    </row>
    <row r="242" spans="1:9">
      <c r="A242">
        <v>241</v>
      </c>
      <c r="B242">
        <v>113</v>
      </c>
      <c r="C242" s="1">
        <v>46260</v>
      </c>
      <c r="D242" t="s">
        <v>380</v>
      </c>
      <c r="E242">
        <v>4</v>
      </c>
      <c r="F242" t="str">
        <f>_xlfn.XLOOKUP(B242,Employee_Master!A:A,Employee_Master!E:E,"Not Found")</f>
        <v>Marketing</v>
      </c>
      <c r="G242" t="s">
        <v>381</v>
      </c>
      <c r="H242">
        <f t="shared" si="6"/>
        <v>2.4900000000000002</v>
      </c>
      <c r="I242">
        <f t="shared" si="7"/>
        <v>61.097256857855363</v>
      </c>
    </row>
    <row r="243" spans="1:9">
      <c r="A243">
        <v>242</v>
      </c>
      <c r="B243">
        <v>115</v>
      </c>
      <c r="C243" s="1">
        <v>46050</v>
      </c>
      <c r="D243" t="s">
        <v>380</v>
      </c>
      <c r="E243">
        <v>2</v>
      </c>
      <c r="F243" t="str">
        <f>_xlfn.XLOOKUP(B243,Employee_Master!A:A,Employee_Master!E:E,"Not Found")</f>
        <v>Customer Support</v>
      </c>
      <c r="G243" t="s">
        <v>386</v>
      </c>
      <c r="H243">
        <f t="shared" si="6"/>
        <v>2.4862155388471177</v>
      </c>
      <c r="I243">
        <f t="shared" si="7"/>
        <v>61</v>
      </c>
    </row>
    <row r="244" spans="1:9">
      <c r="A244">
        <v>243</v>
      </c>
      <c r="B244">
        <v>116</v>
      </c>
      <c r="C244" s="1">
        <v>46096</v>
      </c>
      <c r="D244" t="s">
        <v>382</v>
      </c>
      <c r="E244">
        <v>4</v>
      </c>
      <c r="F244" t="str">
        <f>_xlfn.XLOOKUP(B244,Employee_Master!A:A,Employee_Master!E:E,"Not Found")</f>
        <v>Marketing</v>
      </c>
      <c r="G244" t="s">
        <v>381</v>
      </c>
      <c r="H244">
        <f t="shared" si="6"/>
        <v>2.487437185929648</v>
      </c>
      <c r="I244">
        <f t="shared" si="7"/>
        <v>60.902255639097746</v>
      </c>
    </row>
    <row r="245" spans="1:9">
      <c r="A245">
        <v>244</v>
      </c>
      <c r="B245">
        <v>116</v>
      </c>
      <c r="C245" s="1">
        <v>46192</v>
      </c>
      <c r="D245" t="s">
        <v>383</v>
      </c>
      <c r="E245">
        <v>4</v>
      </c>
      <c r="F245" t="str">
        <f>_xlfn.XLOOKUP(B245,Employee_Master!A:A,Employee_Master!E:E,"Not Found")</f>
        <v>Marketing</v>
      </c>
      <c r="G245" t="s">
        <v>381</v>
      </c>
      <c r="H245">
        <f t="shared" si="6"/>
        <v>2.4836272040302267</v>
      </c>
      <c r="I245">
        <f t="shared" si="7"/>
        <v>61.05527638190955</v>
      </c>
    </row>
    <row r="246" spans="1:9">
      <c r="A246">
        <v>245</v>
      </c>
      <c r="B246">
        <v>117</v>
      </c>
      <c r="C246" s="1">
        <v>46212</v>
      </c>
      <c r="D246" t="s">
        <v>384</v>
      </c>
      <c r="E246">
        <v>1</v>
      </c>
      <c r="F246" t="str">
        <f>_xlfn.XLOOKUP(B246,Employee_Master!A:A,Employee_Master!E:E,"Not Found")</f>
        <v>Customer Support</v>
      </c>
      <c r="G246" t="s">
        <v>381</v>
      </c>
      <c r="H246">
        <f t="shared" si="6"/>
        <v>2.4797979797979797</v>
      </c>
      <c r="I246">
        <f t="shared" si="7"/>
        <v>60.957178841309826</v>
      </c>
    </row>
    <row r="247" spans="1:9">
      <c r="A247">
        <v>246</v>
      </c>
      <c r="B247">
        <v>117</v>
      </c>
      <c r="C247" s="1">
        <v>46232</v>
      </c>
      <c r="D247" t="s">
        <v>384</v>
      </c>
      <c r="E247">
        <v>2</v>
      </c>
      <c r="F247" t="str">
        <f>_xlfn.XLOOKUP(B247,Employee_Master!A:A,Employee_Master!E:E,"Not Found")</f>
        <v>Customer Support</v>
      </c>
      <c r="G247" t="s">
        <v>381</v>
      </c>
      <c r="H247">
        <f t="shared" si="6"/>
        <v>2.4835443037974683</v>
      </c>
      <c r="I247">
        <f t="shared" si="7"/>
        <v>60.858585858585855</v>
      </c>
    </row>
    <row r="248" spans="1:9">
      <c r="A248">
        <v>247</v>
      </c>
      <c r="B248">
        <v>117</v>
      </c>
      <c r="C248" s="1">
        <v>46229</v>
      </c>
      <c r="D248" t="s">
        <v>382</v>
      </c>
      <c r="E248">
        <v>1</v>
      </c>
      <c r="F248" t="str">
        <f>_xlfn.XLOOKUP(B248,Employee_Master!A:A,Employee_Master!E:E,"Not Found")</f>
        <v>Customer Support</v>
      </c>
      <c r="G248" t="s">
        <v>381</v>
      </c>
      <c r="H248">
        <f t="shared" si="6"/>
        <v>2.484771573604061</v>
      </c>
      <c r="I248">
        <f t="shared" si="7"/>
        <v>60.75949367088608</v>
      </c>
    </row>
    <row r="249" spans="1:9">
      <c r="A249">
        <v>248</v>
      </c>
      <c r="B249">
        <v>119</v>
      </c>
      <c r="C249" s="1">
        <v>46119</v>
      </c>
      <c r="D249" t="s">
        <v>380</v>
      </c>
      <c r="E249">
        <v>4</v>
      </c>
      <c r="F249" t="str">
        <f>_xlfn.XLOOKUP(B249,Employee_Master!A:A,Employee_Master!E:E,"Not Found")</f>
        <v>IT</v>
      </c>
      <c r="G249" t="s">
        <v>381</v>
      </c>
      <c r="H249">
        <f t="shared" si="6"/>
        <v>2.4885496183206106</v>
      </c>
      <c r="I249">
        <f t="shared" si="7"/>
        <v>60.659898477157356</v>
      </c>
    </row>
    <row r="250" spans="1:9">
      <c r="A250">
        <v>249</v>
      </c>
      <c r="B250">
        <v>119</v>
      </c>
      <c r="C250" s="1">
        <v>46008</v>
      </c>
      <c r="D250" t="s">
        <v>384</v>
      </c>
      <c r="E250">
        <v>3</v>
      </c>
      <c r="F250" t="str">
        <f>_xlfn.XLOOKUP(B250,Employee_Master!A:A,Employee_Master!E:E,"Not Found")</f>
        <v>IT</v>
      </c>
      <c r="G250" t="s">
        <v>381</v>
      </c>
      <c r="H250">
        <f t="shared" si="6"/>
        <v>2.4846938775510203</v>
      </c>
      <c r="I250">
        <f t="shared" si="7"/>
        <v>60.559796437659031</v>
      </c>
    </row>
    <row r="251" spans="1:9">
      <c r="A251">
        <v>250</v>
      </c>
      <c r="B251">
        <v>119</v>
      </c>
      <c r="C251" s="1">
        <v>46215</v>
      </c>
      <c r="D251" t="s">
        <v>383</v>
      </c>
      <c r="E251">
        <v>4</v>
      </c>
      <c r="F251" t="str">
        <f>_xlfn.XLOOKUP(B251,Employee_Master!A:A,Employee_Master!E:E,"Not Found")</f>
        <v>IT</v>
      </c>
      <c r="G251" t="s">
        <v>381</v>
      </c>
      <c r="H251">
        <f t="shared" si="6"/>
        <v>2.4833759590792841</v>
      </c>
      <c r="I251">
        <f t="shared" si="7"/>
        <v>60.459183673469383</v>
      </c>
    </row>
    <row r="252" spans="1:9">
      <c r="A252">
        <v>251</v>
      </c>
      <c r="B252">
        <v>119</v>
      </c>
      <c r="C252" s="1">
        <v>46034</v>
      </c>
      <c r="D252" t="s">
        <v>383</v>
      </c>
      <c r="E252">
        <v>3</v>
      </c>
      <c r="F252" t="str">
        <f>_xlfn.XLOOKUP(B252,Employee_Master!A:A,Employee_Master!E:E,"Not Found")</f>
        <v>IT</v>
      </c>
      <c r="G252" t="s">
        <v>381</v>
      </c>
      <c r="H252">
        <f t="shared" si="6"/>
        <v>2.4794871794871796</v>
      </c>
      <c r="I252">
        <f t="shared" si="7"/>
        <v>60.358056265984651</v>
      </c>
    </row>
    <row r="253" spans="1:9">
      <c r="A253">
        <v>252</v>
      </c>
      <c r="B253">
        <v>120</v>
      </c>
      <c r="C253" s="1">
        <v>46064</v>
      </c>
      <c r="D253" t="s">
        <v>382</v>
      </c>
      <c r="E253">
        <v>1</v>
      </c>
      <c r="F253" t="str">
        <f>_xlfn.XLOOKUP(B253,Employee_Master!A:A,Employee_Master!E:E,"Not Found")</f>
        <v>IT</v>
      </c>
      <c r="G253" t="s">
        <v>381</v>
      </c>
      <c r="H253">
        <f t="shared" si="6"/>
        <v>2.4781491002570695</v>
      </c>
      <c r="I253">
        <f t="shared" si="7"/>
        <v>60.256410256410255</v>
      </c>
    </row>
    <row r="254" spans="1:9">
      <c r="A254">
        <v>253</v>
      </c>
      <c r="B254">
        <v>120</v>
      </c>
      <c r="C254" s="1">
        <v>46162</v>
      </c>
      <c r="D254" t="s">
        <v>384</v>
      </c>
      <c r="E254">
        <v>4</v>
      </c>
      <c r="F254" t="str">
        <f>_xlfn.XLOOKUP(B254,Employee_Master!A:A,Employee_Master!E:E,"Not Found")</f>
        <v>IT</v>
      </c>
      <c r="G254" t="s">
        <v>386</v>
      </c>
      <c r="H254">
        <f t="shared" si="6"/>
        <v>2.481958762886598</v>
      </c>
      <c r="I254">
        <f t="shared" si="7"/>
        <v>60.154241645244213</v>
      </c>
    </row>
    <row r="255" spans="1:9">
      <c r="A255">
        <v>254</v>
      </c>
      <c r="B255">
        <v>121</v>
      </c>
      <c r="C255" s="1">
        <v>46138</v>
      </c>
      <c r="D255" t="s">
        <v>380</v>
      </c>
      <c r="E255">
        <v>2</v>
      </c>
      <c r="F255" t="str">
        <f>_xlfn.XLOOKUP(B255,Employee_Master!A:A,Employee_Master!E:E,"Not Found")</f>
        <v>Marketing</v>
      </c>
      <c r="G255" t="s">
        <v>381</v>
      </c>
      <c r="H255">
        <f t="shared" si="6"/>
        <v>2.4780361757105944</v>
      </c>
      <c r="I255">
        <f t="shared" si="7"/>
        <v>60.051546391752574</v>
      </c>
    </row>
    <row r="256" spans="1:9">
      <c r="A256">
        <v>255</v>
      </c>
      <c r="B256">
        <v>121</v>
      </c>
      <c r="C256" s="1">
        <v>45952</v>
      </c>
      <c r="D256" t="s">
        <v>382</v>
      </c>
      <c r="E256">
        <v>1</v>
      </c>
      <c r="F256" t="str">
        <f>_xlfn.XLOOKUP(B256,Employee_Master!A:A,Employee_Master!E:E,"Not Found")</f>
        <v>Marketing</v>
      </c>
      <c r="G256" t="s">
        <v>381</v>
      </c>
      <c r="H256">
        <f t="shared" si="6"/>
        <v>2.4792746113989637</v>
      </c>
      <c r="I256">
        <f t="shared" si="7"/>
        <v>60.206718346253233</v>
      </c>
    </row>
    <row r="257" spans="1:9">
      <c r="A257">
        <v>256</v>
      </c>
      <c r="B257">
        <v>121</v>
      </c>
      <c r="C257" s="1">
        <v>46033</v>
      </c>
      <c r="D257" t="s">
        <v>383</v>
      </c>
      <c r="E257">
        <v>2</v>
      </c>
      <c r="F257" t="str">
        <f>_xlfn.XLOOKUP(B257,Employee_Master!A:A,Employee_Master!E:E,"Not Found")</f>
        <v>Marketing</v>
      </c>
      <c r="G257" t="s">
        <v>386</v>
      </c>
      <c r="H257">
        <f t="shared" si="6"/>
        <v>2.4831168831168831</v>
      </c>
      <c r="I257">
        <f t="shared" si="7"/>
        <v>60.103626943005182</v>
      </c>
    </row>
    <row r="258" spans="1:9">
      <c r="A258">
        <v>257</v>
      </c>
      <c r="B258">
        <v>121</v>
      </c>
      <c r="C258" s="1">
        <v>46086</v>
      </c>
      <c r="D258" t="s">
        <v>383</v>
      </c>
      <c r="E258">
        <v>4</v>
      </c>
      <c r="F258" t="str">
        <f>_xlfn.XLOOKUP(B258,Employee_Master!A:A,Employee_Master!E:E,"Not Found")</f>
        <v>Marketing</v>
      </c>
      <c r="G258" t="s">
        <v>381</v>
      </c>
      <c r="H258">
        <f t="shared" ref="H258:H321" si="8">AVERAGE(E258:E897)</f>
        <v>2.484375</v>
      </c>
      <c r="I258">
        <f t="shared" ref="I258:I321" si="9">COUNTIF(G257:G896,"Approved")/COUNTA(G257:G896)*100</f>
        <v>60</v>
      </c>
    </row>
    <row r="259" spans="1:9">
      <c r="A259">
        <v>258</v>
      </c>
      <c r="B259">
        <v>122</v>
      </c>
      <c r="C259" s="1">
        <v>46221</v>
      </c>
      <c r="D259" t="s">
        <v>383</v>
      </c>
      <c r="E259">
        <v>2</v>
      </c>
      <c r="F259" t="str">
        <f>_xlfn.XLOOKUP(B259,Employee_Master!A:A,Employee_Master!E:E,"Not Found")</f>
        <v>Marketing</v>
      </c>
      <c r="G259" t="s">
        <v>386</v>
      </c>
      <c r="H259">
        <f t="shared" si="8"/>
        <v>2.4804177545691908</v>
      </c>
      <c r="I259">
        <f t="shared" si="9"/>
        <v>60.15625</v>
      </c>
    </row>
    <row r="260" spans="1:9">
      <c r="A260">
        <v>259</v>
      </c>
      <c r="B260">
        <v>124</v>
      </c>
      <c r="C260" s="1">
        <v>45937</v>
      </c>
      <c r="D260" t="s">
        <v>380</v>
      </c>
      <c r="E260">
        <v>2</v>
      </c>
      <c r="F260" t="str">
        <f>_xlfn.XLOOKUP(B260,Employee_Master!A:A,Employee_Master!E:E,"Not Found")</f>
        <v>Finance</v>
      </c>
      <c r="G260" t="s">
        <v>381</v>
      </c>
      <c r="H260">
        <f t="shared" si="8"/>
        <v>2.4816753926701569</v>
      </c>
      <c r="I260">
        <f t="shared" si="9"/>
        <v>60.052219321148826</v>
      </c>
    </row>
    <row r="261" spans="1:9">
      <c r="A261">
        <v>260</v>
      </c>
      <c r="B261">
        <v>124</v>
      </c>
      <c r="C261" s="1">
        <v>46036</v>
      </c>
      <c r="D261" t="s">
        <v>382</v>
      </c>
      <c r="E261">
        <v>4</v>
      </c>
      <c r="F261" t="str">
        <f>_xlfn.XLOOKUP(B261,Employee_Master!A:A,Employee_Master!E:E,"Not Found")</f>
        <v>Finance</v>
      </c>
      <c r="G261" t="s">
        <v>381</v>
      </c>
      <c r="H261">
        <f t="shared" si="8"/>
        <v>2.4829396325459316</v>
      </c>
      <c r="I261">
        <f t="shared" si="9"/>
        <v>60.209424083769633</v>
      </c>
    </row>
    <row r="262" spans="1:9">
      <c r="A262">
        <v>261</v>
      </c>
      <c r="B262">
        <v>125</v>
      </c>
      <c r="C262" s="1">
        <v>46131</v>
      </c>
      <c r="D262" t="s">
        <v>380</v>
      </c>
      <c r="E262">
        <v>4</v>
      </c>
      <c r="F262" t="str">
        <f>_xlfn.XLOOKUP(B262,Employee_Master!A:A,Employee_Master!E:E,"Not Found")</f>
        <v>Finance</v>
      </c>
      <c r="G262" t="s">
        <v>385</v>
      </c>
      <c r="H262">
        <f t="shared" si="8"/>
        <v>2.4789473684210526</v>
      </c>
      <c r="I262">
        <f t="shared" si="9"/>
        <v>60.104986876640417</v>
      </c>
    </row>
    <row r="263" spans="1:9">
      <c r="A263">
        <v>262</v>
      </c>
      <c r="B263">
        <v>125</v>
      </c>
      <c r="C263" s="1">
        <v>46218</v>
      </c>
      <c r="D263" t="s">
        <v>383</v>
      </c>
      <c r="E263">
        <v>2</v>
      </c>
      <c r="F263" t="str">
        <f>_xlfn.XLOOKUP(B263,Employee_Master!A:A,Employee_Master!E:E,"Not Found")</f>
        <v>Finance</v>
      </c>
      <c r="G263" t="s">
        <v>381</v>
      </c>
      <c r="H263">
        <f t="shared" si="8"/>
        <v>2.474934036939314</v>
      </c>
      <c r="I263">
        <f t="shared" si="9"/>
        <v>60</v>
      </c>
    </row>
    <row r="264" spans="1:9">
      <c r="A264">
        <v>263</v>
      </c>
      <c r="B264">
        <v>125</v>
      </c>
      <c r="C264" s="1">
        <v>46246</v>
      </c>
      <c r="D264" t="s">
        <v>384</v>
      </c>
      <c r="E264">
        <v>1</v>
      </c>
      <c r="F264" t="str">
        <f>_xlfn.XLOOKUP(B264,Employee_Master!A:A,Employee_Master!E:E,"Not Found")</f>
        <v>Finance</v>
      </c>
      <c r="G264" t="s">
        <v>381</v>
      </c>
      <c r="H264">
        <f t="shared" si="8"/>
        <v>2.4761904761904763</v>
      </c>
      <c r="I264">
        <f t="shared" si="9"/>
        <v>60.158311345646439</v>
      </c>
    </row>
    <row r="265" spans="1:9">
      <c r="A265">
        <v>264</v>
      </c>
      <c r="B265">
        <v>126</v>
      </c>
      <c r="C265" s="1">
        <v>45956</v>
      </c>
      <c r="D265" t="s">
        <v>384</v>
      </c>
      <c r="E265">
        <v>3</v>
      </c>
      <c r="F265" t="str">
        <f>_xlfn.XLOOKUP(B265,Employee_Master!A:A,Employee_Master!E:E,"Not Found")</f>
        <v>Finance</v>
      </c>
      <c r="G265" t="s">
        <v>381</v>
      </c>
      <c r="H265">
        <f t="shared" si="8"/>
        <v>2.4801061007957559</v>
      </c>
      <c r="I265">
        <f t="shared" si="9"/>
        <v>60.052910052910057</v>
      </c>
    </row>
    <row r="266" spans="1:9">
      <c r="A266">
        <v>265</v>
      </c>
      <c r="B266">
        <v>126</v>
      </c>
      <c r="C266" s="1">
        <v>46086</v>
      </c>
      <c r="D266" t="s">
        <v>382</v>
      </c>
      <c r="E266">
        <v>4</v>
      </c>
      <c r="F266" t="str">
        <f>_xlfn.XLOOKUP(B266,Employee_Master!A:A,Employee_Master!E:E,"Not Found")</f>
        <v>Finance</v>
      </c>
      <c r="G266" t="s">
        <v>386</v>
      </c>
      <c r="H266">
        <f t="shared" si="8"/>
        <v>2.478723404255319</v>
      </c>
      <c r="I266">
        <f t="shared" si="9"/>
        <v>59.946949602122011</v>
      </c>
    </row>
    <row r="267" spans="1:9">
      <c r="A267">
        <v>266</v>
      </c>
      <c r="B267">
        <v>126</v>
      </c>
      <c r="C267" s="1">
        <v>46012</v>
      </c>
      <c r="D267" t="s">
        <v>384</v>
      </c>
      <c r="E267">
        <v>1</v>
      </c>
      <c r="F267" t="str">
        <f>_xlfn.XLOOKUP(B267,Employee_Master!A:A,Employee_Master!E:E,"Not Found")</f>
        <v>Finance</v>
      </c>
      <c r="G267" t="s">
        <v>381</v>
      </c>
      <c r="H267">
        <f t="shared" si="8"/>
        <v>2.4746666666666668</v>
      </c>
      <c r="I267">
        <f t="shared" si="9"/>
        <v>59.840425531914896</v>
      </c>
    </row>
    <row r="268" spans="1:9">
      <c r="A268">
        <v>267</v>
      </c>
      <c r="B268">
        <v>126</v>
      </c>
      <c r="C268" s="1">
        <v>46041</v>
      </c>
      <c r="D268" t="s">
        <v>380</v>
      </c>
      <c r="E268">
        <v>4</v>
      </c>
      <c r="F268" t="str">
        <f>_xlfn.XLOOKUP(B268,Employee_Master!A:A,Employee_Master!E:E,"Not Found")</f>
        <v>Finance</v>
      </c>
      <c r="G268" t="s">
        <v>381</v>
      </c>
      <c r="H268">
        <f t="shared" si="8"/>
        <v>2.4786096256684491</v>
      </c>
      <c r="I268">
        <f t="shared" si="9"/>
        <v>60</v>
      </c>
    </row>
    <row r="269" spans="1:9">
      <c r="A269">
        <v>268</v>
      </c>
      <c r="B269">
        <v>128</v>
      </c>
      <c r="C269" s="1">
        <v>46144</v>
      </c>
      <c r="D269" t="s">
        <v>384</v>
      </c>
      <c r="E269">
        <v>3</v>
      </c>
      <c r="F269" t="str">
        <f>_xlfn.XLOOKUP(B269,Employee_Master!A:A,Employee_Master!E:E,"Not Found")</f>
        <v>Customer Support</v>
      </c>
      <c r="G269" t="s">
        <v>381</v>
      </c>
      <c r="H269">
        <f t="shared" si="8"/>
        <v>2.4745308310991958</v>
      </c>
      <c r="I269">
        <f t="shared" si="9"/>
        <v>59.893048128342244</v>
      </c>
    </row>
    <row r="270" spans="1:9">
      <c r="A270">
        <v>269</v>
      </c>
      <c r="B270">
        <v>128</v>
      </c>
      <c r="C270" s="1">
        <v>45992</v>
      </c>
      <c r="D270" t="s">
        <v>383</v>
      </c>
      <c r="E270">
        <v>2</v>
      </c>
      <c r="F270" t="str">
        <f>_xlfn.XLOOKUP(B270,Employee_Master!A:A,Employee_Master!E:E,"Not Found")</f>
        <v>Customer Support</v>
      </c>
      <c r="G270" t="s">
        <v>381</v>
      </c>
      <c r="H270">
        <f t="shared" si="8"/>
        <v>2.4731182795698925</v>
      </c>
      <c r="I270">
        <f t="shared" si="9"/>
        <v>59.78552278820375</v>
      </c>
    </row>
    <row r="271" spans="1:9">
      <c r="A271">
        <v>270</v>
      </c>
      <c r="B271">
        <v>129</v>
      </c>
      <c r="C271" s="1">
        <v>46035</v>
      </c>
      <c r="D271" t="s">
        <v>384</v>
      </c>
      <c r="E271">
        <v>1</v>
      </c>
      <c r="F271" t="str">
        <f>_xlfn.XLOOKUP(B271,Employee_Master!A:A,Employee_Master!E:E,"Not Found")</f>
        <v>Sales</v>
      </c>
      <c r="G271" t="s">
        <v>385</v>
      </c>
      <c r="H271">
        <f t="shared" si="8"/>
        <v>2.4743935309973044</v>
      </c>
      <c r="I271">
        <f t="shared" si="9"/>
        <v>59.677419354838712</v>
      </c>
    </row>
    <row r="272" spans="1:9">
      <c r="A272">
        <v>271</v>
      </c>
      <c r="B272">
        <v>129</v>
      </c>
      <c r="C272" s="1">
        <v>46020</v>
      </c>
      <c r="D272" t="s">
        <v>384</v>
      </c>
      <c r="E272">
        <v>1</v>
      </c>
      <c r="F272" t="str">
        <f>_xlfn.XLOOKUP(B272,Employee_Master!A:A,Employee_Master!E:E,"Not Found")</f>
        <v>Sales</v>
      </c>
      <c r="G272" t="s">
        <v>381</v>
      </c>
      <c r="H272">
        <f t="shared" si="8"/>
        <v>2.4783783783783786</v>
      </c>
      <c r="I272">
        <f t="shared" si="9"/>
        <v>59.56873315363881</v>
      </c>
    </row>
    <row r="273" spans="1:9">
      <c r="A273">
        <v>272</v>
      </c>
      <c r="B273">
        <v>129</v>
      </c>
      <c r="C273" s="1">
        <v>46051</v>
      </c>
      <c r="D273" t="s">
        <v>382</v>
      </c>
      <c r="E273">
        <v>3</v>
      </c>
      <c r="F273" t="str">
        <f>_xlfn.XLOOKUP(B273,Employee_Master!A:A,Employee_Master!E:E,"Not Found")</f>
        <v>Sales</v>
      </c>
      <c r="G273" t="s">
        <v>381</v>
      </c>
      <c r="H273">
        <f t="shared" si="8"/>
        <v>2.4823848238482387</v>
      </c>
      <c r="I273">
        <f t="shared" si="9"/>
        <v>59.729729729729733</v>
      </c>
    </row>
    <row r="274" spans="1:9">
      <c r="A274">
        <v>273</v>
      </c>
      <c r="B274">
        <v>131</v>
      </c>
      <c r="C274" s="1">
        <v>46176</v>
      </c>
      <c r="D274" t="s">
        <v>384</v>
      </c>
      <c r="E274">
        <v>2</v>
      </c>
      <c r="F274" t="str">
        <f>_xlfn.XLOOKUP(B274,Employee_Master!A:A,Employee_Master!E:E,"Not Found")</f>
        <v>Operations</v>
      </c>
      <c r="G274" t="s">
        <v>381</v>
      </c>
      <c r="H274">
        <f t="shared" si="8"/>
        <v>2.4809782608695654</v>
      </c>
      <c r="I274">
        <f t="shared" si="9"/>
        <v>59.620596205962059</v>
      </c>
    </row>
    <row r="275" spans="1:9">
      <c r="A275">
        <v>274</v>
      </c>
      <c r="B275">
        <v>131</v>
      </c>
      <c r="C275" s="1">
        <v>45964</v>
      </c>
      <c r="D275" t="s">
        <v>382</v>
      </c>
      <c r="E275">
        <v>4</v>
      </c>
      <c r="F275" t="str">
        <f>_xlfn.XLOOKUP(B275,Employee_Master!A:A,Employee_Master!E:E,"Not Found")</f>
        <v>Operations</v>
      </c>
      <c r="G275" t="s">
        <v>381</v>
      </c>
      <c r="H275">
        <f t="shared" si="8"/>
        <v>2.4822888283378748</v>
      </c>
      <c r="I275">
        <f t="shared" si="9"/>
        <v>59.510869565217398</v>
      </c>
    </row>
    <row r="276" spans="1:9">
      <c r="A276">
        <v>275</v>
      </c>
      <c r="B276">
        <v>131</v>
      </c>
      <c r="C276" s="1">
        <v>45950</v>
      </c>
      <c r="D276" t="s">
        <v>382</v>
      </c>
      <c r="E276">
        <v>4</v>
      </c>
      <c r="F276" t="str">
        <f>_xlfn.XLOOKUP(B276,Employee_Master!A:A,Employee_Master!E:E,"Not Found")</f>
        <v>Operations</v>
      </c>
      <c r="G276" t="s">
        <v>385</v>
      </c>
      <c r="H276">
        <f t="shared" si="8"/>
        <v>2.4781420765027322</v>
      </c>
      <c r="I276">
        <f t="shared" si="9"/>
        <v>59.400544959128062</v>
      </c>
    </row>
    <row r="277" spans="1:9">
      <c r="A277">
        <v>276</v>
      </c>
      <c r="B277">
        <v>131</v>
      </c>
      <c r="C277" s="1">
        <v>46142</v>
      </c>
      <c r="D277" t="s">
        <v>380</v>
      </c>
      <c r="E277">
        <v>1</v>
      </c>
      <c r="F277" t="str">
        <f>_xlfn.XLOOKUP(B277,Employee_Master!A:A,Employee_Master!E:E,"Not Found")</f>
        <v>Operations</v>
      </c>
      <c r="G277" t="s">
        <v>386</v>
      </c>
      <c r="H277">
        <f t="shared" si="8"/>
        <v>2.473972602739726</v>
      </c>
      <c r="I277">
        <f t="shared" si="9"/>
        <v>59.289617486338798</v>
      </c>
    </row>
    <row r="278" spans="1:9">
      <c r="A278">
        <v>277</v>
      </c>
      <c r="B278">
        <v>134</v>
      </c>
      <c r="C278" s="1">
        <v>46294</v>
      </c>
      <c r="D278" t="s">
        <v>383</v>
      </c>
      <c r="E278">
        <v>4</v>
      </c>
      <c r="F278" t="str">
        <f>_xlfn.XLOOKUP(B278,Employee_Master!A:A,Employee_Master!E:E,"Not Found")</f>
        <v>HR</v>
      </c>
      <c r="G278" t="s">
        <v>381</v>
      </c>
      <c r="H278">
        <f t="shared" si="8"/>
        <v>2.4780219780219781</v>
      </c>
      <c r="I278">
        <f t="shared" si="9"/>
        <v>59.452054794520549</v>
      </c>
    </row>
    <row r="279" spans="1:9">
      <c r="A279">
        <v>278</v>
      </c>
      <c r="B279">
        <v>134</v>
      </c>
      <c r="C279" s="1">
        <v>46067</v>
      </c>
      <c r="D279" t="s">
        <v>384</v>
      </c>
      <c r="E279">
        <v>3</v>
      </c>
      <c r="F279" t="str">
        <f>_xlfn.XLOOKUP(B279,Employee_Master!A:A,Employee_Master!E:E,"Not Found")</f>
        <v>HR</v>
      </c>
      <c r="G279" t="s">
        <v>381</v>
      </c>
      <c r="H279">
        <f t="shared" si="8"/>
        <v>2.4738292011019283</v>
      </c>
      <c r="I279">
        <f t="shared" si="9"/>
        <v>59.615384615384613</v>
      </c>
    </row>
    <row r="280" spans="1:9">
      <c r="A280">
        <v>279</v>
      </c>
      <c r="B280">
        <v>135</v>
      </c>
      <c r="C280" s="1">
        <v>46284</v>
      </c>
      <c r="D280" t="s">
        <v>382</v>
      </c>
      <c r="E280">
        <v>1</v>
      </c>
      <c r="F280" t="str">
        <f>_xlfn.XLOOKUP(B280,Employee_Master!A:A,Employee_Master!E:E,"Not Found")</f>
        <v>IT</v>
      </c>
      <c r="G280" t="s">
        <v>381</v>
      </c>
      <c r="H280">
        <f t="shared" si="8"/>
        <v>2.472375690607735</v>
      </c>
      <c r="I280">
        <f t="shared" si="9"/>
        <v>59.504132231404959</v>
      </c>
    </row>
    <row r="281" spans="1:9">
      <c r="A281">
        <v>280</v>
      </c>
      <c r="B281">
        <v>136</v>
      </c>
      <c r="C281" s="1">
        <v>46153</v>
      </c>
      <c r="D281" t="s">
        <v>382</v>
      </c>
      <c r="E281">
        <v>2</v>
      </c>
      <c r="F281" t="str">
        <f>_xlfn.XLOOKUP(B281,Employee_Master!A:A,Employee_Master!E:E,"Not Found")</f>
        <v>HR</v>
      </c>
      <c r="G281" t="s">
        <v>381</v>
      </c>
      <c r="H281">
        <f t="shared" si="8"/>
        <v>2.4764542936288088</v>
      </c>
      <c r="I281">
        <f t="shared" si="9"/>
        <v>59.392265193370164</v>
      </c>
    </row>
    <row r="282" spans="1:9">
      <c r="A282">
        <v>281</v>
      </c>
      <c r="B282">
        <v>136</v>
      </c>
      <c r="C282" s="1">
        <v>46077</v>
      </c>
      <c r="D282" t="s">
        <v>383</v>
      </c>
      <c r="E282">
        <v>1</v>
      </c>
      <c r="F282" t="str">
        <f>_xlfn.XLOOKUP(B282,Employee_Master!A:A,Employee_Master!E:E,"Not Found")</f>
        <v>HR</v>
      </c>
      <c r="G282" t="s">
        <v>386</v>
      </c>
      <c r="H282">
        <f t="shared" si="8"/>
        <v>2.4777777777777779</v>
      </c>
      <c r="I282">
        <f t="shared" si="9"/>
        <v>59.279778393351798</v>
      </c>
    </row>
    <row r="283" spans="1:9">
      <c r="A283">
        <v>282</v>
      </c>
      <c r="B283">
        <v>136</v>
      </c>
      <c r="C283" s="1">
        <v>46119</v>
      </c>
      <c r="D283" t="s">
        <v>382</v>
      </c>
      <c r="E283">
        <v>4</v>
      </c>
      <c r="F283" t="str">
        <f>_xlfn.XLOOKUP(B283,Employee_Master!A:A,Employee_Master!E:E,"Not Found")</f>
        <v>HR</v>
      </c>
      <c r="G283" t="s">
        <v>386</v>
      </c>
      <c r="H283">
        <f t="shared" si="8"/>
        <v>2.4818941504178271</v>
      </c>
      <c r="I283">
        <f t="shared" si="9"/>
        <v>59.166666666666664</v>
      </c>
    </row>
    <row r="284" spans="1:9">
      <c r="A284">
        <v>283</v>
      </c>
      <c r="B284">
        <v>136</v>
      </c>
      <c r="C284" s="1">
        <v>46014</v>
      </c>
      <c r="D284" t="s">
        <v>383</v>
      </c>
      <c r="E284">
        <v>3</v>
      </c>
      <c r="F284" t="str">
        <f>_xlfn.XLOOKUP(B284,Employee_Master!A:A,Employee_Master!E:E,"Not Found")</f>
        <v>HR</v>
      </c>
      <c r="G284" t="s">
        <v>386</v>
      </c>
      <c r="H284">
        <f t="shared" si="8"/>
        <v>2.477653631284916</v>
      </c>
      <c r="I284">
        <f t="shared" si="9"/>
        <v>59.33147632311978</v>
      </c>
    </row>
    <row r="285" spans="1:9">
      <c r="A285">
        <v>284</v>
      </c>
      <c r="B285">
        <v>137</v>
      </c>
      <c r="C285" s="1">
        <v>46005</v>
      </c>
      <c r="D285" t="s">
        <v>383</v>
      </c>
      <c r="E285">
        <v>3</v>
      </c>
      <c r="F285" t="str">
        <f>_xlfn.XLOOKUP(B285,Employee_Master!A:A,Employee_Master!E:E,"Not Found")</f>
        <v>Customer Support</v>
      </c>
      <c r="G285" t="s">
        <v>385</v>
      </c>
      <c r="H285">
        <f t="shared" si="8"/>
        <v>2.4761904761904763</v>
      </c>
      <c r="I285">
        <f t="shared" si="9"/>
        <v>59.497206703910607</v>
      </c>
    </row>
    <row r="286" spans="1:9">
      <c r="A286">
        <v>285</v>
      </c>
      <c r="B286">
        <v>137</v>
      </c>
      <c r="C286" s="1">
        <v>46020</v>
      </c>
      <c r="D286" t="s">
        <v>382</v>
      </c>
      <c r="E286">
        <v>3</v>
      </c>
      <c r="F286" t="str">
        <f>_xlfn.XLOOKUP(B286,Employee_Master!A:A,Employee_Master!E:E,"Not Found")</f>
        <v>Customer Support</v>
      </c>
      <c r="G286" t="s">
        <v>385</v>
      </c>
      <c r="H286">
        <f t="shared" si="8"/>
        <v>2.4747191011235956</v>
      </c>
      <c r="I286">
        <f t="shared" si="9"/>
        <v>59.663865546218489</v>
      </c>
    </row>
    <row r="287" spans="1:9">
      <c r="A287">
        <v>286</v>
      </c>
      <c r="B287">
        <v>137</v>
      </c>
      <c r="C287" s="1">
        <v>46108</v>
      </c>
      <c r="D287" t="s">
        <v>383</v>
      </c>
      <c r="E287">
        <v>2</v>
      </c>
      <c r="F287" t="str">
        <f>_xlfn.XLOOKUP(B287,Employee_Master!A:A,Employee_Master!E:E,"Not Found")</f>
        <v>Customer Support</v>
      </c>
      <c r="G287" t="s">
        <v>385</v>
      </c>
      <c r="H287">
        <f t="shared" si="8"/>
        <v>2.4732394366197181</v>
      </c>
      <c r="I287">
        <f t="shared" si="9"/>
        <v>59.831460674157299</v>
      </c>
    </row>
    <row r="288" spans="1:9">
      <c r="A288">
        <v>287</v>
      </c>
      <c r="B288">
        <v>137</v>
      </c>
      <c r="C288" s="1">
        <v>46276</v>
      </c>
      <c r="D288" t="s">
        <v>382</v>
      </c>
      <c r="E288">
        <v>3</v>
      </c>
      <c r="F288" t="str">
        <f>_xlfn.XLOOKUP(B288,Employee_Master!A:A,Employee_Master!E:E,"Not Found")</f>
        <v>Customer Support</v>
      </c>
      <c r="G288" t="s">
        <v>385</v>
      </c>
      <c r="H288">
        <f t="shared" si="8"/>
        <v>2.4745762711864407</v>
      </c>
      <c r="I288">
        <f t="shared" si="9"/>
        <v>60</v>
      </c>
    </row>
    <row r="289" spans="1:9">
      <c r="A289">
        <v>288</v>
      </c>
      <c r="B289">
        <v>139</v>
      </c>
      <c r="C289" s="1">
        <v>46060</v>
      </c>
      <c r="D289" t="s">
        <v>380</v>
      </c>
      <c r="E289">
        <v>3</v>
      </c>
      <c r="F289" t="str">
        <f>_xlfn.XLOOKUP(B289,Employee_Master!A:A,Employee_Master!E:E,"Not Found")</f>
        <v>Operations</v>
      </c>
      <c r="G289" t="s">
        <v>381</v>
      </c>
      <c r="H289">
        <f t="shared" si="8"/>
        <v>2.4730878186968837</v>
      </c>
      <c r="I289">
        <f t="shared" si="9"/>
        <v>60.169491525423723</v>
      </c>
    </row>
    <row r="290" spans="1:9">
      <c r="A290">
        <v>289</v>
      </c>
      <c r="B290">
        <v>139</v>
      </c>
      <c r="C290" s="1">
        <v>46261</v>
      </c>
      <c r="D290" t="s">
        <v>382</v>
      </c>
      <c r="E290">
        <v>4</v>
      </c>
      <c r="F290" t="str">
        <f>_xlfn.XLOOKUP(B290,Employee_Master!A:A,Employee_Master!E:E,"Not Found")</f>
        <v>Operations</v>
      </c>
      <c r="G290" t="s">
        <v>386</v>
      </c>
      <c r="H290">
        <f t="shared" si="8"/>
        <v>2.4715909090909092</v>
      </c>
      <c r="I290">
        <f t="shared" si="9"/>
        <v>60.339943342776202</v>
      </c>
    </row>
    <row r="291" spans="1:9">
      <c r="A291">
        <v>290</v>
      </c>
      <c r="B291">
        <v>139</v>
      </c>
      <c r="C291" s="1">
        <v>46279</v>
      </c>
      <c r="D291" t="s">
        <v>380</v>
      </c>
      <c r="E291">
        <v>1</v>
      </c>
      <c r="F291" t="str">
        <f>_xlfn.XLOOKUP(B291,Employee_Master!A:A,Employee_Master!E:E,"Not Found")</f>
        <v>Operations</v>
      </c>
      <c r="G291" t="s">
        <v>381</v>
      </c>
      <c r="H291">
        <f t="shared" si="8"/>
        <v>2.4672364672364671</v>
      </c>
      <c r="I291">
        <f t="shared" si="9"/>
        <v>60.227272727272727</v>
      </c>
    </row>
    <row r="292" spans="1:9">
      <c r="A292">
        <v>291</v>
      </c>
      <c r="B292">
        <v>139</v>
      </c>
      <c r="C292" s="1">
        <v>46190</v>
      </c>
      <c r="D292" t="s">
        <v>380</v>
      </c>
      <c r="E292">
        <v>3</v>
      </c>
      <c r="F292" t="str">
        <f>_xlfn.XLOOKUP(B292,Employee_Master!A:A,Employee_Master!E:E,"Not Found")</f>
        <v>Operations</v>
      </c>
      <c r="G292" t="s">
        <v>386</v>
      </c>
      <c r="H292">
        <f t="shared" si="8"/>
        <v>2.4714285714285715</v>
      </c>
      <c r="I292">
        <f t="shared" si="9"/>
        <v>60.3988603988604</v>
      </c>
    </row>
    <row r="293" spans="1:9">
      <c r="A293">
        <v>292</v>
      </c>
      <c r="B293">
        <v>140</v>
      </c>
      <c r="C293" s="1">
        <v>46224</v>
      </c>
      <c r="D293" t="s">
        <v>380</v>
      </c>
      <c r="E293">
        <v>2</v>
      </c>
      <c r="F293" t="str">
        <f>_xlfn.XLOOKUP(B293,Employee_Master!A:A,Employee_Master!E:E,"Not Found")</f>
        <v>Finance</v>
      </c>
      <c r="G293" t="s">
        <v>385</v>
      </c>
      <c r="H293">
        <f t="shared" si="8"/>
        <v>2.4699140401146131</v>
      </c>
      <c r="I293">
        <f t="shared" si="9"/>
        <v>60.285714285714285</v>
      </c>
    </row>
    <row r="294" spans="1:9">
      <c r="A294">
        <v>293</v>
      </c>
      <c r="B294">
        <v>142</v>
      </c>
      <c r="C294" s="1">
        <v>45988</v>
      </c>
      <c r="D294" t="s">
        <v>384</v>
      </c>
      <c r="E294">
        <v>1</v>
      </c>
      <c r="F294" t="str">
        <f>_xlfn.XLOOKUP(B294,Employee_Master!A:A,Employee_Master!E:E,"Not Found")</f>
        <v>Operations</v>
      </c>
      <c r="G294" t="s">
        <v>386</v>
      </c>
      <c r="H294">
        <f t="shared" si="8"/>
        <v>2.4712643678160919</v>
      </c>
      <c r="I294">
        <f t="shared" si="9"/>
        <v>60.458452722063036</v>
      </c>
    </row>
    <row r="295" spans="1:9">
      <c r="A295">
        <v>294</v>
      </c>
      <c r="B295">
        <v>142</v>
      </c>
      <c r="C295" s="1">
        <v>45933</v>
      </c>
      <c r="D295" t="s">
        <v>383</v>
      </c>
      <c r="E295">
        <v>2</v>
      </c>
      <c r="F295" t="str">
        <f>_xlfn.XLOOKUP(B295,Employee_Master!A:A,Employee_Master!E:E,"Not Found")</f>
        <v>Operations</v>
      </c>
      <c r="G295" t="s">
        <v>381</v>
      </c>
      <c r="H295">
        <f t="shared" si="8"/>
        <v>2.4755043227665707</v>
      </c>
      <c r="I295">
        <f t="shared" si="9"/>
        <v>60.632183908045981</v>
      </c>
    </row>
    <row r="296" spans="1:9">
      <c r="A296">
        <v>295</v>
      </c>
      <c r="B296">
        <v>142</v>
      </c>
      <c r="C296" s="1">
        <v>46281</v>
      </c>
      <c r="D296" t="s">
        <v>383</v>
      </c>
      <c r="E296">
        <v>4</v>
      </c>
      <c r="F296" t="str">
        <f>_xlfn.XLOOKUP(B296,Employee_Master!A:A,Employee_Master!E:E,"Not Found")</f>
        <v>Operations</v>
      </c>
      <c r="G296" t="s">
        <v>381</v>
      </c>
      <c r="H296">
        <f t="shared" si="8"/>
        <v>2.4768786127167628</v>
      </c>
      <c r="I296">
        <f t="shared" si="9"/>
        <v>60.80691642651297</v>
      </c>
    </row>
    <row r="297" spans="1:9">
      <c r="A297">
        <v>296</v>
      </c>
      <c r="B297">
        <v>143</v>
      </c>
      <c r="C297" s="1">
        <v>46122</v>
      </c>
      <c r="D297" t="s">
        <v>382</v>
      </c>
      <c r="E297">
        <v>4</v>
      </c>
      <c r="F297" t="str">
        <f>_xlfn.XLOOKUP(B297,Employee_Master!A:A,Employee_Master!E:E,"Not Found")</f>
        <v>Marketing</v>
      </c>
      <c r="G297" t="s">
        <v>381</v>
      </c>
      <c r="H297">
        <f t="shared" si="8"/>
        <v>2.4724637681159418</v>
      </c>
      <c r="I297">
        <f t="shared" si="9"/>
        <v>60.693641618497111</v>
      </c>
    </row>
    <row r="298" spans="1:9">
      <c r="A298">
        <v>297</v>
      </c>
      <c r="B298">
        <v>143</v>
      </c>
      <c r="C298" s="1">
        <v>46226</v>
      </c>
      <c r="D298" t="s">
        <v>383</v>
      </c>
      <c r="E298">
        <v>4</v>
      </c>
      <c r="F298" t="str">
        <f>_xlfn.XLOOKUP(B298,Employee_Master!A:A,Employee_Master!E:E,"Not Found")</f>
        <v>Marketing</v>
      </c>
      <c r="G298" t="s">
        <v>381</v>
      </c>
      <c r="H298">
        <f t="shared" si="8"/>
        <v>2.4680232558139537</v>
      </c>
      <c r="I298">
        <f t="shared" si="9"/>
        <v>60.579710144927532</v>
      </c>
    </row>
    <row r="299" spans="1:9">
      <c r="A299">
        <v>298</v>
      </c>
      <c r="B299">
        <v>144</v>
      </c>
      <c r="C299" s="1">
        <v>46258</v>
      </c>
      <c r="D299" t="s">
        <v>382</v>
      </c>
      <c r="E299">
        <v>2</v>
      </c>
      <c r="F299" t="str">
        <f>_xlfn.XLOOKUP(B299,Employee_Master!A:A,Employee_Master!E:E,"Not Found")</f>
        <v>Operations</v>
      </c>
      <c r="G299" t="s">
        <v>381</v>
      </c>
      <c r="H299">
        <f t="shared" si="8"/>
        <v>2.4635568513119535</v>
      </c>
      <c r="I299">
        <f t="shared" si="9"/>
        <v>60.465116279069761</v>
      </c>
    </row>
    <row r="300" spans="1:9">
      <c r="A300">
        <v>299</v>
      </c>
      <c r="B300">
        <v>146</v>
      </c>
      <c r="C300" s="1">
        <v>45986</v>
      </c>
      <c r="D300" t="s">
        <v>382</v>
      </c>
      <c r="E300">
        <v>2</v>
      </c>
      <c r="F300" t="str">
        <f>_xlfn.XLOOKUP(B300,Employee_Master!A:A,Employee_Master!E:E,"Not Found")</f>
        <v>Sales</v>
      </c>
      <c r="G300" t="s">
        <v>381</v>
      </c>
      <c r="H300">
        <f t="shared" si="8"/>
        <v>2.4649122807017543</v>
      </c>
      <c r="I300">
        <f t="shared" si="9"/>
        <v>60.349854227405253</v>
      </c>
    </row>
    <row r="301" spans="1:9">
      <c r="A301">
        <v>300</v>
      </c>
      <c r="B301">
        <v>146</v>
      </c>
      <c r="C301" s="1">
        <v>46286</v>
      </c>
      <c r="D301" t="s">
        <v>383</v>
      </c>
      <c r="E301">
        <v>2</v>
      </c>
      <c r="F301" t="str">
        <f>_xlfn.XLOOKUP(B301,Employee_Master!A:A,Employee_Master!E:E,"Not Found")</f>
        <v>Sales</v>
      </c>
      <c r="G301" t="s">
        <v>385</v>
      </c>
      <c r="H301">
        <f t="shared" si="8"/>
        <v>2.466275659824047</v>
      </c>
      <c r="I301">
        <f t="shared" si="9"/>
        <v>60.23391812865497</v>
      </c>
    </row>
    <row r="302" spans="1:9">
      <c r="A302">
        <v>301</v>
      </c>
      <c r="B302">
        <v>146</v>
      </c>
      <c r="C302" s="1">
        <v>46086</v>
      </c>
      <c r="D302" t="s">
        <v>380</v>
      </c>
      <c r="E302">
        <v>1</v>
      </c>
      <c r="F302" t="str">
        <f>_xlfn.XLOOKUP(B302,Employee_Master!A:A,Employee_Master!E:E,"Not Found")</f>
        <v>Sales</v>
      </c>
      <c r="G302" t="s">
        <v>381</v>
      </c>
      <c r="H302">
        <f t="shared" si="8"/>
        <v>2.4676470588235295</v>
      </c>
      <c r="I302">
        <f t="shared" si="9"/>
        <v>60.117302052785924</v>
      </c>
    </row>
    <row r="303" spans="1:9">
      <c r="A303">
        <v>302</v>
      </c>
      <c r="B303">
        <v>146</v>
      </c>
      <c r="C303" s="1">
        <v>45943</v>
      </c>
      <c r="D303" t="s">
        <v>384</v>
      </c>
      <c r="E303">
        <v>1</v>
      </c>
      <c r="F303" t="str">
        <f>_xlfn.XLOOKUP(B303,Employee_Master!A:A,Employee_Master!E:E,"Not Found")</f>
        <v>Sales</v>
      </c>
      <c r="G303" t="s">
        <v>381</v>
      </c>
      <c r="H303">
        <f t="shared" si="8"/>
        <v>2.471976401179941</v>
      </c>
      <c r="I303">
        <f t="shared" si="9"/>
        <v>60.294117647058819</v>
      </c>
    </row>
    <row r="304" spans="1:9">
      <c r="A304">
        <v>303</v>
      </c>
      <c r="B304">
        <v>148</v>
      </c>
      <c r="C304" s="1">
        <v>46026</v>
      </c>
      <c r="D304" t="s">
        <v>384</v>
      </c>
      <c r="E304">
        <v>1</v>
      </c>
      <c r="F304" t="str">
        <f>_xlfn.XLOOKUP(B304,Employee_Master!A:A,Employee_Master!E:E,"Not Found")</f>
        <v>Sales</v>
      </c>
      <c r="G304" t="s">
        <v>381</v>
      </c>
      <c r="H304">
        <f t="shared" si="8"/>
        <v>2.4763313609467454</v>
      </c>
      <c r="I304">
        <f t="shared" si="9"/>
        <v>60.176991150442483</v>
      </c>
    </row>
    <row r="305" spans="1:9">
      <c r="A305">
        <v>304</v>
      </c>
      <c r="B305">
        <v>149</v>
      </c>
      <c r="C305" s="1">
        <v>45991</v>
      </c>
      <c r="D305" t="s">
        <v>382</v>
      </c>
      <c r="E305">
        <v>3</v>
      </c>
      <c r="F305" t="str">
        <f>_xlfn.XLOOKUP(B305,Employee_Master!A:A,Employee_Master!E:E,"Not Found")</f>
        <v>Sales</v>
      </c>
      <c r="G305" t="s">
        <v>385</v>
      </c>
      <c r="H305">
        <f t="shared" si="8"/>
        <v>2.4807121661721068</v>
      </c>
      <c r="I305">
        <f t="shared" si="9"/>
        <v>60.059171597633132</v>
      </c>
    </row>
    <row r="306" spans="1:9">
      <c r="A306">
        <v>305</v>
      </c>
      <c r="B306">
        <v>149</v>
      </c>
      <c r="C306" s="1">
        <v>45936</v>
      </c>
      <c r="D306" t="s">
        <v>383</v>
      </c>
      <c r="E306">
        <v>3</v>
      </c>
      <c r="F306" t="str">
        <f>_xlfn.XLOOKUP(B306,Employee_Master!A:A,Employee_Master!E:E,"Not Found")</f>
        <v>Sales</v>
      </c>
      <c r="G306" t="s">
        <v>385</v>
      </c>
      <c r="H306">
        <f t="shared" si="8"/>
        <v>2.4791666666666665</v>
      </c>
      <c r="I306">
        <f t="shared" si="9"/>
        <v>59.940652818991104</v>
      </c>
    </row>
    <row r="307" spans="1:9">
      <c r="A307">
        <v>306</v>
      </c>
      <c r="B307">
        <v>149</v>
      </c>
      <c r="C307" s="1">
        <v>46122</v>
      </c>
      <c r="D307" t="s">
        <v>380</v>
      </c>
      <c r="E307">
        <v>3</v>
      </c>
      <c r="F307" t="str">
        <f>_xlfn.XLOOKUP(B307,Employee_Master!A:A,Employee_Master!E:E,"Not Found")</f>
        <v>Sales</v>
      </c>
      <c r="G307" t="s">
        <v>385</v>
      </c>
      <c r="H307">
        <f t="shared" si="8"/>
        <v>2.4776119402985075</v>
      </c>
      <c r="I307">
        <f t="shared" si="9"/>
        <v>60.119047619047613</v>
      </c>
    </row>
    <row r="308" spans="1:9">
      <c r="A308">
        <v>307</v>
      </c>
      <c r="B308">
        <v>150</v>
      </c>
      <c r="C308" s="1">
        <v>46232</v>
      </c>
      <c r="D308" t="s">
        <v>382</v>
      </c>
      <c r="E308">
        <v>1</v>
      </c>
      <c r="F308" t="str">
        <f>_xlfn.XLOOKUP(B308,Employee_Master!A:A,Employee_Master!E:E,"Not Found")</f>
        <v>Operations</v>
      </c>
      <c r="G308" t="s">
        <v>385</v>
      </c>
      <c r="H308">
        <f t="shared" si="8"/>
        <v>2.4760479041916166</v>
      </c>
      <c r="I308">
        <f t="shared" si="9"/>
        <v>60.298507462686565</v>
      </c>
    </row>
    <row r="309" spans="1:9">
      <c r="A309">
        <v>308</v>
      </c>
      <c r="B309">
        <v>150</v>
      </c>
      <c r="C309" s="1">
        <v>45947</v>
      </c>
      <c r="D309" t="s">
        <v>382</v>
      </c>
      <c r="E309">
        <v>3</v>
      </c>
      <c r="F309" t="str">
        <f>_xlfn.XLOOKUP(B309,Employee_Master!A:A,Employee_Master!E:E,"Not Found")</f>
        <v>Operations</v>
      </c>
      <c r="G309" t="s">
        <v>381</v>
      </c>
      <c r="H309">
        <f t="shared" si="8"/>
        <v>2.4804804804804803</v>
      </c>
      <c r="I309">
        <f t="shared" si="9"/>
        <v>60.479041916167667</v>
      </c>
    </row>
    <row r="310" spans="1:9">
      <c r="A310">
        <v>309</v>
      </c>
      <c r="B310">
        <v>150</v>
      </c>
      <c r="C310" s="1">
        <v>45946</v>
      </c>
      <c r="D310" t="s">
        <v>383</v>
      </c>
      <c r="E310">
        <v>4</v>
      </c>
      <c r="F310" t="str">
        <f>_xlfn.XLOOKUP(B310,Employee_Master!A:A,Employee_Master!E:E,"Not Found")</f>
        <v>Operations</v>
      </c>
      <c r="G310" t="s">
        <v>385</v>
      </c>
      <c r="H310">
        <f t="shared" si="8"/>
        <v>2.4789156626506026</v>
      </c>
      <c r="I310">
        <f t="shared" si="9"/>
        <v>60.66066066066066</v>
      </c>
    </row>
    <row r="311" spans="1:9">
      <c r="A311">
        <v>310</v>
      </c>
      <c r="B311">
        <v>150</v>
      </c>
      <c r="C311" s="1">
        <v>46206</v>
      </c>
      <c r="D311" t="s">
        <v>384</v>
      </c>
      <c r="E311">
        <v>4</v>
      </c>
      <c r="F311" t="str">
        <f>_xlfn.XLOOKUP(B311,Employee_Master!A:A,Employee_Master!E:E,"Not Found")</f>
        <v>Operations</v>
      </c>
      <c r="G311" t="s">
        <v>386</v>
      </c>
      <c r="H311">
        <f t="shared" si="8"/>
        <v>2.4743202416918431</v>
      </c>
      <c r="I311">
        <f t="shared" si="9"/>
        <v>60.542168674698793</v>
      </c>
    </row>
    <row r="312" spans="1:9">
      <c r="A312">
        <v>311</v>
      </c>
      <c r="B312">
        <v>151</v>
      </c>
      <c r="C312" s="1">
        <v>46110</v>
      </c>
      <c r="D312" t="s">
        <v>382</v>
      </c>
      <c r="E312">
        <v>1</v>
      </c>
      <c r="F312" t="str">
        <f>_xlfn.XLOOKUP(B312,Employee_Master!A:A,Employee_Master!E:E,"Not Found")</f>
        <v>IT</v>
      </c>
      <c r="G312" t="s">
        <v>385</v>
      </c>
      <c r="H312">
        <f t="shared" si="8"/>
        <v>2.4696969696969697</v>
      </c>
      <c r="I312">
        <f t="shared" si="9"/>
        <v>60.725075528700913</v>
      </c>
    </row>
    <row r="313" spans="1:9">
      <c r="A313">
        <v>312</v>
      </c>
      <c r="B313">
        <v>151</v>
      </c>
      <c r="C313" s="1">
        <v>45950</v>
      </c>
      <c r="D313" t="s">
        <v>382</v>
      </c>
      <c r="E313">
        <v>1</v>
      </c>
      <c r="F313" t="str">
        <f>_xlfn.XLOOKUP(B313,Employee_Master!A:A,Employee_Master!E:E,"Not Found")</f>
        <v>IT</v>
      </c>
      <c r="G313" t="s">
        <v>385</v>
      </c>
      <c r="H313">
        <f t="shared" si="8"/>
        <v>2.474164133738602</v>
      </c>
      <c r="I313">
        <f t="shared" si="9"/>
        <v>60.909090909090914</v>
      </c>
    </row>
    <row r="314" spans="1:9">
      <c r="A314">
        <v>313</v>
      </c>
      <c r="B314">
        <v>151</v>
      </c>
      <c r="C314" s="1">
        <v>46060</v>
      </c>
      <c r="D314" t="s">
        <v>384</v>
      </c>
      <c r="E314">
        <v>1</v>
      </c>
      <c r="F314" t="str">
        <f>_xlfn.XLOOKUP(B314,Employee_Master!A:A,Employee_Master!E:E,"Not Found")</f>
        <v>IT</v>
      </c>
      <c r="G314" t="s">
        <v>381</v>
      </c>
      <c r="H314">
        <f t="shared" si="8"/>
        <v>2.4786585365853657</v>
      </c>
      <c r="I314">
        <f t="shared" si="9"/>
        <v>61.094224924012153</v>
      </c>
    </row>
    <row r="315" spans="1:9">
      <c r="A315">
        <v>314</v>
      </c>
      <c r="B315">
        <v>151</v>
      </c>
      <c r="C315" s="1">
        <v>46254</v>
      </c>
      <c r="D315" t="s">
        <v>384</v>
      </c>
      <c r="E315">
        <v>4</v>
      </c>
      <c r="F315" t="str">
        <f>_xlfn.XLOOKUP(B315,Employee_Master!A:A,Employee_Master!E:E,"Not Found")</f>
        <v>IT</v>
      </c>
      <c r="G315" t="s">
        <v>385</v>
      </c>
      <c r="H315">
        <f t="shared" si="8"/>
        <v>2.4831804281345566</v>
      </c>
      <c r="I315">
        <f t="shared" si="9"/>
        <v>61.280487804878049</v>
      </c>
    </row>
    <row r="316" spans="1:9">
      <c r="A316">
        <v>315</v>
      </c>
      <c r="B316">
        <v>152</v>
      </c>
      <c r="C316" s="1">
        <v>46054</v>
      </c>
      <c r="D316" t="s">
        <v>382</v>
      </c>
      <c r="E316">
        <v>1</v>
      </c>
      <c r="F316" t="str">
        <f>_xlfn.XLOOKUP(B316,Employee_Master!A:A,Employee_Master!E:E,"Not Found")</f>
        <v>Finance</v>
      </c>
      <c r="G316" t="s">
        <v>381</v>
      </c>
      <c r="H316">
        <f t="shared" si="8"/>
        <v>2.4785276073619631</v>
      </c>
      <c r="I316">
        <f t="shared" si="9"/>
        <v>61.162079510703357</v>
      </c>
    </row>
    <row r="317" spans="1:9">
      <c r="A317">
        <v>316</v>
      </c>
      <c r="B317">
        <v>152</v>
      </c>
      <c r="C317" s="1">
        <v>46089</v>
      </c>
      <c r="D317" t="s">
        <v>382</v>
      </c>
      <c r="E317">
        <v>2</v>
      </c>
      <c r="F317" t="str">
        <f>_xlfn.XLOOKUP(B317,Employee_Master!A:A,Employee_Master!E:E,"Not Found")</f>
        <v>Finance</v>
      </c>
      <c r="G317" t="s">
        <v>386</v>
      </c>
      <c r="H317">
        <f t="shared" si="8"/>
        <v>2.483076923076923</v>
      </c>
      <c r="I317">
        <f t="shared" si="9"/>
        <v>61.349693251533743</v>
      </c>
    </row>
    <row r="318" spans="1:9">
      <c r="A318">
        <v>317</v>
      </c>
      <c r="B318">
        <v>153</v>
      </c>
      <c r="C318" s="1">
        <v>45979</v>
      </c>
      <c r="D318" t="s">
        <v>384</v>
      </c>
      <c r="E318">
        <v>2</v>
      </c>
      <c r="F318" t="str">
        <f>_xlfn.XLOOKUP(B318,Employee_Master!A:A,Employee_Master!E:E,"Not Found")</f>
        <v>Marketing</v>
      </c>
      <c r="G318" t="s">
        <v>386</v>
      </c>
      <c r="H318">
        <f t="shared" si="8"/>
        <v>2.4845679012345681</v>
      </c>
      <c r="I318">
        <f t="shared" si="9"/>
        <v>61.230769230769234</v>
      </c>
    </row>
    <row r="319" spans="1:9">
      <c r="A319">
        <v>318</v>
      </c>
      <c r="B319">
        <v>153</v>
      </c>
      <c r="C319" s="1">
        <v>46276</v>
      </c>
      <c r="D319" t="s">
        <v>384</v>
      </c>
      <c r="E319">
        <v>4</v>
      </c>
      <c r="F319" t="str">
        <f>_xlfn.XLOOKUP(B319,Employee_Master!A:A,Employee_Master!E:E,"Not Found")</f>
        <v>Marketing</v>
      </c>
      <c r="G319" t="s">
        <v>381</v>
      </c>
      <c r="H319">
        <f t="shared" si="8"/>
        <v>2.4860681114551082</v>
      </c>
      <c r="I319">
        <f t="shared" si="9"/>
        <v>61.419753086419746</v>
      </c>
    </row>
    <row r="320" spans="1:9">
      <c r="A320">
        <v>319</v>
      </c>
      <c r="B320">
        <v>153</v>
      </c>
      <c r="C320" s="1">
        <v>46188</v>
      </c>
      <c r="D320" t="s">
        <v>380</v>
      </c>
      <c r="E320">
        <v>4</v>
      </c>
      <c r="F320" t="str">
        <f>_xlfn.XLOOKUP(B320,Employee_Master!A:A,Employee_Master!E:E,"Not Found")</f>
        <v>Marketing</v>
      </c>
      <c r="G320" t="s">
        <v>381</v>
      </c>
      <c r="H320">
        <f t="shared" si="8"/>
        <v>2.481366459627329</v>
      </c>
      <c r="I320">
        <f t="shared" si="9"/>
        <v>61.609907120743031</v>
      </c>
    </row>
    <row r="321" spans="1:9">
      <c r="A321">
        <v>320</v>
      </c>
      <c r="B321">
        <v>154</v>
      </c>
      <c r="C321" s="1">
        <v>46129</v>
      </c>
      <c r="D321" t="s">
        <v>384</v>
      </c>
      <c r="E321">
        <v>3</v>
      </c>
      <c r="F321" t="str">
        <f>_xlfn.XLOOKUP(B321,Employee_Master!A:A,Employee_Master!E:E,"Not Found")</f>
        <v>HR</v>
      </c>
      <c r="G321" t="s">
        <v>386</v>
      </c>
      <c r="H321">
        <f t="shared" si="8"/>
        <v>2.4766355140186915</v>
      </c>
      <c r="I321">
        <f t="shared" si="9"/>
        <v>61.490683229813669</v>
      </c>
    </row>
    <row r="322" spans="1:9">
      <c r="A322">
        <v>321</v>
      </c>
      <c r="B322">
        <v>154</v>
      </c>
      <c r="C322" s="1">
        <v>45991</v>
      </c>
      <c r="D322" t="s">
        <v>382</v>
      </c>
      <c r="E322">
        <v>2</v>
      </c>
      <c r="F322" t="str">
        <f>_xlfn.XLOOKUP(B322,Employee_Master!A:A,Employee_Master!E:E,"Not Found")</f>
        <v>HR</v>
      </c>
      <c r="G322" t="s">
        <v>385</v>
      </c>
      <c r="H322">
        <f t="shared" ref="H322:H385" si="10">AVERAGE(E322:E961)</f>
        <v>2.4750000000000001</v>
      </c>
      <c r="I322">
        <f t="shared" ref="I322:I385" si="11">COUNTIF(G321:G960,"Approved")/COUNTA(G321:G960)*100</f>
        <v>61.370716510903421</v>
      </c>
    </row>
    <row r="323" spans="1:9">
      <c r="A323">
        <v>322</v>
      </c>
      <c r="B323">
        <v>154</v>
      </c>
      <c r="C323" s="1">
        <v>46081</v>
      </c>
      <c r="D323" t="s">
        <v>380</v>
      </c>
      <c r="E323">
        <v>1</v>
      </c>
      <c r="F323" t="str">
        <f>_xlfn.XLOOKUP(B323,Employee_Master!A:A,Employee_Master!E:E,"Not Found")</f>
        <v>HR</v>
      </c>
      <c r="G323" t="s">
        <v>381</v>
      </c>
      <c r="H323">
        <f t="shared" si="10"/>
        <v>2.476489028213166</v>
      </c>
      <c r="I323">
        <f t="shared" si="11"/>
        <v>61.5625</v>
      </c>
    </row>
    <row r="324" spans="1:9">
      <c r="A324">
        <v>323</v>
      </c>
      <c r="B324">
        <v>154</v>
      </c>
      <c r="C324" s="1">
        <v>46238</v>
      </c>
      <c r="D324" t="s">
        <v>383</v>
      </c>
      <c r="E324">
        <v>4</v>
      </c>
      <c r="F324" t="str">
        <f>_xlfn.XLOOKUP(B324,Employee_Master!A:A,Employee_Master!E:E,"Not Found")</f>
        <v>HR</v>
      </c>
      <c r="G324" t="s">
        <v>381</v>
      </c>
      <c r="H324">
        <f t="shared" si="10"/>
        <v>2.4811320754716979</v>
      </c>
      <c r="I324">
        <f t="shared" si="11"/>
        <v>61.755485893416932</v>
      </c>
    </row>
    <row r="325" spans="1:9">
      <c r="A325">
        <v>324</v>
      </c>
      <c r="B325">
        <v>155</v>
      </c>
      <c r="C325" s="1">
        <v>45970</v>
      </c>
      <c r="D325" t="s">
        <v>380</v>
      </c>
      <c r="E325">
        <v>4</v>
      </c>
      <c r="F325" t="str">
        <f>_xlfn.XLOOKUP(B325,Employee_Master!A:A,Employee_Master!E:E,"Not Found")</f>
        <v>Operations</v>
      </c>
      <c r="G325" t="s">
        <v>385</v>
      </c>
      <c r="H325">
        <f t="shared" si="10"/>
        <v>2.4763406940063093</v>
      </c>
      <c r="I325">
        <f t="shared" si="11"/>
        <v>61.635220125786162</v>
      </c>
    </row>
    <row r="326" spans="1:9">
      <c r="A326">
        <v>325</v>
      </c>
      <c r="B326">
        <v>156</v>
      </c>
      <c r="C326" s="1">
        <v>45933</v>
      </c>
      <c r="D326" t="s">
        <v>382</v>
      </c>
      <c r="E326">
        <v>2</v>
      </c>
      <c r="F326" t="str">
        <f>_xlfn.XLOOKUP(B326,Employee_Master!A:A,Employee_Master!E:E,"Not Found")</f>
        <v>HR</v>
      </c>
      <c r="G326" t="s">
        <v>385</v>
      </c>
      <c r="H326">
        <f t="shared" si="10"/>
        <v>2.471518987341772</v>
      </c>
      <c r="I326">
        <f t="shared" si="11"/>
        <v>61.514195583596212</v>
      </c>
    </row>
    <row r="327" spans="1:9">
      <c r="A327">
        <v>326</v>
      </c>
      <c r="B327">
        <v>158</v>
      </c>
      <c r="C327" s="1">
        <v>46024</v>
      </c>
      <c r="D327" t="s">
        <v>380</v>
      </c>
      <c r="E327">
        <v>3</v>
      </c>
      <c r="F327" t="str">
        <f>_xlfn.XLOOKUP(B327,Employee_Master!A:A,Employee_Master!E:E,"Not Found")</f>
        <v>IT</v>
      </c>
      <c r="G327" t="s">
        <v>386</v>
      </c>
      <c r="H327">
        <f t="shared" si="10"/>
        <v>2.4730158730158731</v>
      </c>
      <c r="I327">
        <f t="shared" si="11"/>
        <v>61.708860759493668</v>
      </c>
    </row>
    <row r="328" spans="1:9">
      <c r="A328">
        <v>327</v>
      </c>
      <c r="B328">
        <v>158</v>
      </c>
      <c r="C328" s="1">
        <v>46183</v>
      </c>
      <c r="D328" t="s">
        <v>380</v>
      </c>
      <c r="E328">
        <v>4</v>
      </c>
      <c r="F328" t="str">
        <f>_xlfn.XLOOKUP(B328,Employee_Master!A:A,Employee_Master!E:E,"Not Found")</f>
        <v>IT</v>
      </c>
      <c r="G328" t="s">
        <v>381</v>
      </c>
      <c r="H328">
        <f t="shared" si="10"/>
        <v>2.4713375796178343</v>
      </c>
      <c r="I328">
        <f t="shared" si="11"/>
        <v>61.904761904761905</v>
      </c>
    </row>
    <row r="329" spans="1:9">
      <c r="A329">
        <v>328</v>
      </c>
      <c r="B329">
        <v>160</v>
      </c>
      <c r="C329" s="1">
        <v>46002</v>
      </c>
      <c r="D329" t="s">
        <v>380</v>
      </c>
      <c r="E329">
        <v>1</v>
      </c>
      <c r="F329" t="str">
        <f>_xlfn.XLOOKUP(B329,Employee_Master!A:A,Employee_Master!E:E,"Not Found")</f>
        <v>Finance</v>
      </c>
      <c r="G329" t="s">
        <v>385</v>
      </c>
      <c r="H329">
        <f t="shared" si="10"/>
        <v>2.4664536741214058</v>
      </c>
      <c r="I329">
        <f t="shared" si="11"/>
        <v>62.101910828025474</v>
      </c>
    </row>
    <row r="330" spans="1:9">
      <c r="A330">
        <v>329</v>
      </c>
      <c r="B330">
        <v>161</v>
      </c>
      <c r="C330" s="1">
        <v>46118</v>
      </c>
      <c r="D330" t="s">
        <v>382</v>
      </c>
      <c r="E330">
        <v>1</v>
      </c>
      <c r="F330" t="str">
        <f>_xlfn.XLOOKUP(B330,Employee_Master!A:A,Employee_Master!E:E,"Not Found")</f>
        <v>Customer Support</v>
      </c>
      <c r="G330" t="s">
        <v>386</v>
      </c>
      <c r="H330">
        <f t="shared" si="10"/>
        <v>2.4711538461538463</v>
      </c>
      <c r="I330">
        <f t="shared" si="11"/>
        <v>61.980830670926515</v>
      </c>
    </row>
    <row r="331" spans="1:9">
      <c r="A331">
        <v>330</v>
      </c>
      <c r="B331">
        <v>161</v>
      </c>
      <c r="C331" s="1">
        <v>46286</v>
      </c>
      <c r="D331" t="s">
        <v>383</v>
      </c>
      <c r="E331">
        <v>1</v>
      </c>
      <c r="F331" t="str">
        <f>_xlfn.XLOOKUP(B331,Employee_Master!A:A,Employee_Master!E:E,"Not Found")</f>
        <v>Customer Support</v>
      </c>
      <c r="G331" t="s">
        <v>385</v>
      </c>
      <c r="H331">
        <f t="shared" si="10"/>
        <v>2.4758842443729905</v>
      </c>
      <c r="I331">
        <f t="shared" si="11"/>
        <v>62.179487179487182</v>
      </c>
    </row>
    <row r="332" spans="1:9">
      <c r="A332">
        <v>331</v>
      </c>
      <c r="B332">
        <v>161</v>
      </c>
      <c r="C332" s="1">
        <v>46173</v>
      </c>
      <c r="D332" t="s">
        <v>384</v>
      </c>
      <c r="E332">
        <v>3</v>
      </c>
      <c r="F332" t="str">
        <f>_xlfn.XLOOKUP(B332,Employee_Master!A:A,Employee_Master!E:E,"Not Found")</f>
        <v>Customer Support</v>
      </c>
      <c r="G332" t="s">
        <v>385</v>
      </c>
      <c r="H332">
        <f t="shared" si="10"/>
        <v>2.4806451612903224</v>
      </c>
      <c r="I332">
        <f t="shared" si="11"/>
        <v>62.379421221864952</v>
      </c>
    </row>
    <row r="333" spans="1:9">
      <c r="A333">
        <v>332</v>
      </c>
      <c r="B333">
        <v>162</v>
      </c>
      <c r="C333" s="1">
        <v>46290</v>
      </c>
      <c r="D333" t="s">
        <v>382</v>
      </c>
      <c r="E333">
        <v>1</v>
      </c>
      <c r="F333" t="str">
        <f>_xlfn.XLOOKUP(B333,Employee_Master!A:A,Employee_Master!E:E,"Not Found")</f>
        <v>Operations</v>
      </c>
      <c r="G333" t="s">
        <v>381</v>
      </c>
      <c r="H333">
        <f t="shared" si="10"/>
        <v>2.4789644012944985</v>
      </c>
      <c r="I333">
        <f t="shared" si="11"/>
        <v>62.580645161290327</v>
      </c>
    </row>
    <row r="334" spans="1:9">
      <c r="A334">
        <v>333</v>
      </c>
      <c r="B334">
        <v>162</v>
      </c>
      <c r="C334" s="1">
        <v>45975</v>
      </c>
      <c r="D334" t="s">
        <v>383</v>
      </c>
      <c r="E334">
        <v>3</v>
      </c>
      <c r="F334" t="str">
        <f>_xlfn.XLOOKUP(B334,Employee_Master!A:A,Employee_Master!E:E,"Not Found")</f>
        <v>Operations</v>
      </c>
      <c r="G334" t="s">
        <v>385</v>
      </c>
      <c r="H334">
        <f t="shared" si="10"/>
        <v>2.4837662337662336</v>
      </c>
      <c r="I334">
        <f t="shared" si="11"/>
        <v>62.783171521035598</v>
      </c>
    </row>
    <row r="335" spans="1:9">
      <c r="A335">
        <v>334</v>
      </c>
      <c r="B335">
        <v>162</v>
      </c>
      <c r="C335" s="1">
        <v>46136</v>
      </c>
      <c r="D335" t="s">
        <v>380</v>
      </c>
      <c r="E335">
        <v>2</v>
      </c>
      <c r="F335" t="str">
        <f>_xlfn.XLOOKUP(B335,Employee_Master!A:A,Employee_Master!E:E,"Not Found")</f>
        <v>Operations</v>
      </c>
      <c r="G335" t="s">
        <v>381</v>
      </c>
      <c r="H335">
        <f t="shared" si="10"/>
        <v>2.4820846905537461</v>
      </c>
      <c r="I335">
        <f t="shared" si="11"/>
        <v>62.662337662337663</v>
      </c>
    </row>
    <row r="336" spans="1:9">
      <c r="A336">
        <v>335</v>
      </c>
      <c r="B336">
        <v>162</v>
      </c>
      <c r="C336" s="1">
        <v>45943</v>
      </c>
      <c r="D336" t="s">
        <v>380</v>
      </c>
      <c r="E336">
        <v>1</v>
      </c>
      <c r="F336" t="str">
        <f>_xlfn.XLOOKUP(B336,Employee_Master!A:A,Employee_Master!E:E,"Not Found")</f>
        <v>Operations</v>
      </c>
      <c r="G336" t="s">
        <v>386</v>
      </c>
      <c r="H336">
        <f t="shared" si="10"/>
        <v>2.4836601307189543</v>
      </c>
      <c r="I336">
        <f t="shared" si="11"/>
        <v>62.866449511400646</v>
      </c>
    </row>
    <row r="337" spans="1:9">
      <c r="A337">
        <v>336</v>
      </c>
      <c r="B337">
        <v>163</v>
      </c>
      <c r="C337" s="1">
        <v>46271</v>
      </c>
      <c r="D337" t="s">
        <v>380</v>
      </c>
      <c r="E337">
        <v>4</v>
      </c>
      <c r="F337" t="str">
        <f>_xlfn.XLOOKUP(B337,Employee_Master!A:A,Employee_Master!E:E,"Not Found")</f>
        <v>Operations</v>
      </c>
      <c r="G337" t="s">
        <v>386</v>
      </c>
      <c r="H337">
        <f t="shared" si="10"/>
        <v>2.4885245901639346</v>
      </c>
      <c r="I337">
        <f t="shared" si="11"/>
        <v>62.745098039215684</v>
      </c>
    </row>
    <row r="338" spans="1:9">
      <c r="A338">
        <v>337</v>
      </c>
      <c r="B338">
        <v>164</v>
      </c>
      <c r="C338" s="1">
        <v>46216</v>
      </c>
      <c r="D338" t="s">
        <v>383</v>
      </c>
      <c r="E338">
        <v>4</v>
      </c>
      <c r="F338" t="str">
        <f>_xlfn.XLOOKUP(B338,Employee_Master!A:A,Employee_Master!E:E,"Not Found")</f>
        <v>Operations</v>
      </c>
      <c r="G338" t="s">
        <v>381</v>
      </c>
      <c r="H338">
        <f t="shared" si="10"/>
        <v>2.4835526315789473</v>
      </c>
      <c r="I338">
        <f t="shared" si="11"/>
        <v>62.950819672131153</v>
      </c>
    </row>
    <row r="339" spans="1:9">
      <c r="A339">
        <v>338</v>
      </c>
      <c r="B339">
        <v>164</v>
      </c>
      <c r="C339" s="1">
        <v>46267</v>
      </c>
      <c r="D339" t="s">
        <v>380</v>
      </c>
      <c r="E339">
        <v>4</v>
      </c>
      <c r="F339" t="str">
        <f>_xlfn.XLOOKUP(B339,Employee_Master!A:A,Employee_Master!E:E,"Not Found")</f>
        <v>Operations</v>
      </c>
      <c r="G339" t="s">
        <v>381</v>
      </c>
      <c r="H339">
        <f t="shared" si="10"/>
        <v>2.4785478547854787</v>
      </c>
      <c r="I339">
        <f t="shared" si="11"/>
        <v>63.157894736842103</v>
      </c>
    </row>
    <row r="340" spans="1:9">
      <c r="A340">
        <v>339</v>
      </c>
      <c r="B340">
        <v>165</v>
      </c>
      <c r="C340" s="1">
        <v>45951</v>
      </c>
      <c r="D340" t="s">
        <v>380</v>
      </c>
      <c r="E340">
        <v>2</v>
      </c>
      <c r="F340" t="str">
        <f>_xlfn.XLOOKUP(B340,Employee_Master!A:A,Employee_Master!E:E,"Not Found")</f>
        <v>Marketing</v>
      </c>
      <c r="G340" t="s">
        <v>381</v>
      </c>
      <c r="H340">
        <f t="shared" si="10"/>
        <v>2.4735099337748343</v>
      </c>
      <c r="I340">
        <f t="shared" si="11"/>
        <v>63.036303630363037</v>
      </c>
    </row>
    <row r="341" spans="1:9">
      <c r="A341">
        <v>340</v>
      </c>
      <c r="B341">
        <v>165</v>
      </c>
      <c r="C341" s="1">
        <v>46084</v>
      </c>
      <c r="D341" t="s">
        <v>380</v>
      </c>
      <c r="E341">
        <v>4</v>
      </c>
      <c r="F341" t="str">
        <f>_xlfn.XLOOKUP(B341,Employee_Master!A:A,Employee_Master!E:E,"Not Found")</f>
        <v>Marketing</v>
      </c>
      <c r="G341" t="s">
        <v>381</v>
      </c>
      <c r="H341">
        <f t="shared" si="10"/>
        <v>2.4750830564784052</v>
      </c>
      <c r="I341">
        <f t="shared" si="11"/>
        <v>62.913907284768214</v>
      </c>
    </row>
    <row r="342" spans="1:9">
      <c r="A342">
        <v>341</v>
      </c>
      <c r="B342">
        <v>165</v>
      </c>
      <c r="C342" s="1">
        <v>46121</v>
      </c>
      <c r="D342" t="s">
        <v>384</v>
      </c>
      <c r="E342">
        <v>1</v>
      </c>
      <c r="F342" t="str">
        <f>_xlfn.XLOOKUP(B342,Employee_Master!A:A,Employee_Master!E:E,"Not Found")</f>
        <v>Marketing</v>
      </c>
      <c r="G342" t="s">
        <v>381</v>
      </c>
      <c r="H342">
        <f t="shared" si="10"/>
        <v>2.4700000000000002</v>
      </c>
      <c r="I342">
        <f t="shared" si="11"/>
        <v>62.790697674418603</v>
      </c>
    </row>
    <row r="343" spans="1:9">
      <c r="A343">
        <v>342</v>
      </c>
      <c r="B343">
        <v>165</v>
      </c>
      <c r="C343" s="1">
        <v>46199</v>
      </c>
      <c r="D343" t="s">
        <v>383</v>
      </c>
      <c r="E343">
        <v>1</v>
      </c>
      <c r="F343" t="str">
        <f>_xlfn.XLOOKUP(B343,Employee_Master!A:A,Employee_Master!E:E,"Not Found")</f>
        <v>Marketing</v>
      </c>
      <c r="G343" t="s">
        <v>381</v>
      </c>
      <c r="H343">
        <f t="shared" si="10"/>
        <v>2.4749163879598663</v>
      </c>
      <c r="I343">
        <f t="shared" si="11"/>
        <v>62.666666666666671</v>
      </c>
    </row>
    <row r="344" spans="1:9">
      <c r="A344">
        <v>343</v>
      </c>
      <c r="B344">
        <v>166</v>
      </c>
      <c r="C344" s="1">
        <v>46094</v>
      </c>
      <c r="D344" t="s">
        <v>380</v>
      </c>
      <c r="E344">
        <v>4</v>
      </c>
      <c r="F344" t="str">
        <f>_xlfn.XLOOKUP(B344,Employee_Master!A:A,Employee_Master!E:E,"Not Found")</f>
        <v>HR</v>
      </c>
      <c r="G344" t="s">
        <v>381</v>
      </c>
      <c r="H344">
        <f t="shared" si="10"/>
        <v>2.4798657718120807</v>
      </c>
      <c r="I344">
        <f t="shared" si="11"/>
        <v>62.541806020066893</v>
      </c>
    </row>
    <row r="345" spans="1:9">
      <c r="A345">
        <v>344</v>
      </c>
      <c r="B345">
        <v>167</v>
      </c>
      <c r="C345" s="1">
        <v>46270</v>
      </c>
      <c r="D345" t="s">
        <v>382</v>
      </c>
      <c r="E345">
        <v>4</v>
      </c>
      <c r="F345" t="str">
        <f>_xlfn.XLOOKUP(B345,Employee_Master!A:A,Employee_Master!E:E,"Not Found")</f>
        <v>IT</v>
      </c>
      <c r="G345" t="s">
        <v>385</v>
      </c>
      <c r="H345">
        <f t="shared" si="10"/>
        <v>2.4747474747474749</v>
      </c>
      <c r="I345">
        <f t="shared" si="11"/>
        <v>62.416107382550337</v>
      </c>
    </row>
    <row r="346" spans="1:9">
      <c r="A346">
        <v>345</v>
      </c>
      <c r="B346">
        <v>168</v>
      </c>
      <c r="C346" s="1">
        <v>45981</v>
      </c>
      <c r="D346" t="s">
        <v>380</v>
      </c>
      <c r="E346">
        <v>4</v>
      </c>
      <c r="F346" t="str">
        <f>_xlfn.XLOOKUP(B346,Employee_Master!A:A,Employee_Master!E:E,"Not Found")</f>
        <v>IT</v>
      </c>
      <c r="G346" t="s">
        <v>386</v>
      </c>
      <c r="H346">
        <f t="shared" si="10"/>
        <v>2.4695945945945947</v>
      </c>
      <c r="I346">
        <f t="shared" si="11"/>
        <v>62.289562289562298</v>
      </c>
    </row>
    <row r="347" spans="1:9">
      <c r="A347">
        <v>346</v>
      </c>
      <c r="B347">
        <v>169</v>
      </c>
      <c r="C347" s="1">
        <v>45967</v>
      </c>
      <c r="D347" t="s">
        <v>380</v>
      </c>
      <c r="E347">
        <v>2</v>
      </c>
      <c r="F347" t="str">
        <f>_xlfn.XLOOKUP(B347,Employee_Master!A:A,Employee_Master!E:E,"Not Found")</f>
        <v>Marketing</v>
      </c>
      <c r="G347" t="s">
        <v>386</v>
      </c>
      <c r="H347">
        <f t="shared" si="10"/>
        <v>2.464406779661017</v>
      </c>
      <c r="I347">
        <f t="shared" si="11"/>
        <v>62.5</v>
      </c>
    </row>
    <row r="348" spans="1:9">
      <c r="A348">
        <v>347</v>
      </c>
      <c r="B348">
        <v>169</v>
      </c>
      <c r="C348" s="1">
        <v>46005</v>
      </c>
      <c r="D348" t="s">
        <v>384</v>
      </c>
      <c r="E348">
        <v>4</v>
      </c>
      <c r="F348" t="str">
        <f>_xlfn.XLOOKUP(B348,Employee_Master!A:A,Employee_Master!E:E,"Not Found")</f>
        <v>Marketing</v>
      </c>
      <c r="G348" t="s">
        <v>386</v>
      </c>
      <c r="H348">
        <f t="shared" si="10"/>
        <v>2.4659863945578233</v>
      </c>
      <c r="I348">
        <f t="shared" si="11"/>
        <v>62.711864406779661</v>
      </c>
    </row>
    <row r="349" spans="1:9">
      <c r="A349">
        <v>348</v>
      </c>
      <c r="B349">
        <v>169</v>
      </c>
      <c r="C349" s="1">
        <v>45968</v>
      </c>
      <c r="D349" t="s">
        <v>380</v>
      </c>
      <c r="E349">
        <v>2</v>
      </c>
      <c r="F349" t="str">
        <f>_xlfn.XLOOKUP(B349,Employee_Master!A:A,Employee_Master!E:E,"Not Found")</f>
        <v>Marketing</v>
      </c>
      <c r="G349" t="s">
        <v>385</v>
      </c>
      <c r="H349">
        <f t="shared" si="10"/>
        <v>2.4607508532423208</v>
      </c>
      <c r="I349">
        <f t="shared" si="11"/>
        <v>62.925170068027214</v>
      </c>
    </row>
    <row r="350" spans="1:9">
      <c r="A350">
        <v>349</v>
      </c>
      <c r="B350">
        <v>169</v>
      </c>
      <c r="C350" s="1">
        <v>46251</v>
      </c>
      <c r="D350" t="s">
        <v>383</v>
      </c>
      <c r="E350">
        <v>2</v>
      </c>
      <c r="F350" t="str">
        <f>_xlfn.XLOOKUP(B350,Employee_Master!A:A,Employee_Master!E:E,"Not Found")</f>
        <v>Marketing</v>
      </c>
      <c r="G350" t="s">
        <v>381</v>
      </c>
      <c r="H350">
        <f t="shared" si="10"/>
        <v>2.4623287671232879</v>
      </c>
      <c r="I350">
        <f t="shared" si="11"/>
        <v>63.13993174061433</v>
      </c>
    </row>
    <row r="351" spans="1:9">
      <c r="A351">
        <v>350</v>
      </c>
      <c r="B351">
        <v>170</v>
      </c>
      <c r="C351" s="1">
        <v>45961</v>
      </c>
      <c r="D351" t="s">
        <v>382</v>
      </c>
      <c r="E351">
        <v>1</v>
      </c>
      <c r="F351" t="str">
        <f>_xlfn.XLOOKUP(B351,Employee_Master!A:A,Employee_Master!E:E,"Not Found")</f>
        <v>HR</v>
      </c>
      <c r="G351" t="s">
        <v>381</v>
      </c>
      <c r="H351">
        <f t="shared" si="10"/>
        <v>2.463917525773196</v>
      </c>
      <c r="I351">
        <f t="shared" si="11"/>
        <v>63.356164383561641</v>
      </c>
    </row>
    <row r="352" spans="1:9">
      <c r="A352">
        <v>351</v>
      </c>
      <c r="B352">
        <v>170</v>
      </c>
      <c r="C352" s="1">
        <v>46133</v>
      </c>
      <c r="D352" t="s">
        <v>384</v>
      </c>
      <c r="E352">
        <v>2</v>
      </c>
      <c r="F352" t="str">
        <f>_xlfn.XLOOKUP(B352,Employee_Master!A:A,Employee_Master!E:E,"Not Found")</f>
        <v>HR</v>
      </c>
      <c r="G352" t="s">
        <v>381</v>
      </c>
      <c r="H352">
        <f t="shared" si="10"/>
        <v>2.4689655172413794</v>
      </c>
      <c r="I352">
        <f t="shared" si="11"/>
        <v>63.230240549828174</v>
      </c>
    </row>
    <row r="353" spans="1:9">
      <c r="A353">
        <v>352</v>
      </c>
      <c r="B353">
        <v>170</v>
      </c>
      <c r="C353" s="1">
        <v>46131</v>
      </c>
      <c r="D353" t="s">
        <v>382</v>
      </c>
      <c r="E353">
        <v>2</v>
      </c>
      <c r="F353" t="str">
        <f>_xlfn.XLOOKUP(B353,Employee_Master!A:A,Employee_Master!E:E,"Not Found")</f>
        <v>HR</v>
      </c>
      <c r="G353" t="s">
        <v>381</v>
      </c>
      <c r="H353">
        <f t="shared" si="10"/>
        <v>2.4705882352941178</v>
      </c>
      <c r="I353">
        <f t="shared" si="11"/>
        <v>63.103448275862071</v>
      </c>
    </row>
    <row r="354" spans="1:9">
      <c r="A354">
        <v>353</v>
      </c>
      <c r="B354">
        <v>171</v>
      </c>
      <c r="C354" s="1">
        <v>46245</v>
      </c>
      <c r="D354" t="s">
        <v>382</v>
      </c>
      <c r="E354">
        <v>2</v>
      </c>
      <c r="F354" t="str">
        <f>_xlfn.XLOOKUP(B354,Employee_Master!A:A,Employee_Master!E:E,"Not Found")</f>
        <v>Customer Support</v>
      </c>
      <c r="G354" t="s">
        <v>381</v>
      </c>
      <c r="H354">
        <f t="shared" si="10"/>
        <v>2.4722222222222223</v>
      </c>
      <c r="I354">
        <f t="shared" si="11"/>
        <v>62.975778546712803</v>
      </c>
    </row>
    <row r="355" spans="1:9">
      <c r="A355">
        <v>354</v>
      </c>
      <c r="B355">
        <v>171</v>
      </c>
      <c r="C355" s="1">
        <v>46237</v>
      </c>
      <c r="D355" t="s">
        <v>383</v>
      </c>
      <c r="E355">
        <v>4</v>
      </c>
      <c r="F355" t="str">
        <f>_xlfn.XLOOKUP(B355,Employee_Master!A:A,Employee_Master!E:E,"Not Found")</f>
        <v>Customer Support</v>
      </c>
      <c r="G355" t="s">
        <v>381</v>
      </c>
      <c r="H355">
        <f t="shared" si="10"/>
        <v>2.4738675958188154</v>
      </c>
      <c r="I355">
        <f t="shared" si="11"/>
        <v>62.847222222222221</v>
      </c>
    </row>
    <row r="356" spans="1:9">
      <c r="A356">
        <v>355</v>
      </c>
      <c r="B356">
        <v>171</v>
      </c>
      <c r="C356" s="1">
        <v>46152</v>
      </c>
      <c r="D356" t="s">
        <v>384</v>
      </c>
      <c r="E356">
        <v>4</v>
      </c>
      <c r="F356" t="str">
        <f>_xlfn.XLOOKUP(B356,Employee_Master!A:A,Employee_Master!E:E,"Not Found")</f>
        <v>Customer Support</v>
      </c>
      <c r="G356" t="s">
        <v>381</v>
      </c>
      <c r="H356">
        <f t="shared" si="10"/>
        <v>2.4685314685314683</v>
      </c>
      <c r="I356">
        <f t="shared" si="11"/>
        <v>62.717770034843198</v>
      </c>
    </row>
    <row r="357" spans="1:9">
      <c r="A357">
        <v>356</v>
      </c>
      <c r="B357">
        <v>172</v>
      </c>
      <c r="C357" s="1">
        <v>45974</v>
      </c>
      <c r="D357" t="s">
        <v>380</v>
      </c>
      <c r="E357">
        <v>1</v>
      </c>
      <c r="F357" t="str">
        <f>_xlfn.XLOOKUP(B357,Employee_Master!A:A,Employee_Master!E:E,"Not Found")</f>
        <v>Finance</v>
      </c>
      <c r="G357" t="s">
        <v>381</v>
      </c>
      <c r="H357">
        <f t="shared" si="10"/>
        <v>2.4631578947368422</v>
      </c>
      <c r="I357">
        <f t="shared" si="11"/>
        <v>62.587412587412587</v>
      </c>
    </row>
    <row r="358" spans="1:9">
      <c r="A358">
        <v>357</v>
      </c>
      <c r="B358">
        <v>172</v>
      </c>
      <c r="C358" s="1">
        <v>46073</v>
      </c>
      <c r="D358" t="s">
        <v>382</v>
      </c>
      <c r="E358">
        <v>3</v>
      </c>
      <c r="F358" t="str">
        <f>_xlfn.XLOOKUP(B358,Employee_Master!A:A,Employee_Master!E:E,"Not Found")</f>
        <v>Finance</v>
      </c>
      <c r="G358" t="s">
        <v>385</v>
      </c>
      <c r="H358">
        <f t="shared" si="10"/>
        <v>2.4683098591549295</v>
      </c>
      <c r="I358">
        <f t="shared" si="11"/>
        <v>62.456140350877199</v>
      </c>
    </row>
    <row r="359" spans="1:9">
      <c r="A359">
        <v>358</v>
      </c>
      <c r="B359">
        <v>172</v>
      </c>
      <c r="C359" s="1">
        <v>46263</v>
      </c>
      <c r="D359" t="s">
        <v>383</v>
      </c>
      <c r="E359">
        <v>3</v>
      </c>
      <c r="F359" t="str">
        <f>_xlfn.XLOOKUP(B359,Employee_Master!A:A,Employee_Master!E:E,"Not Found")</f>
        <v>Finance</v>
      </c>
      <c r="G359" t="s">
        <v>386</v>
      </c>
      <c r="H359">
        <f t="shared" si="10"/>
        <v>2.4664310954063606</v>
      </c>
      <c r="I359">
        <f t="shared" si="11"/>
        <v>62.323943661971825</v>
      </c>
    </row>
    <row r="360" spans="1:9">
      <c r="A360">
        <v>359</v>
      </c>
      <c r="B360">
        <v>172</v>
      </c>
      <c r="C360" s="1">
        <v>46240</v>
      </c>
      <c r="D360" t="s">
        <v>383</v>
      </c>
      <c r="E360">
        <v>3</v>
      </c>
      <c r="F360" t="str">
        <f>_xlfn.XLOOKUP(B360,Employee_Master!A:A,Employee_Master!E:E,"Not Found")</f>
        <v>Finance</v>
      </c>
      <c r="G360" t="s">
        <v>385</v>
      </c>
      <c r="H360">
        <f t="shared" si="10"/>
        <v>2.4645390070921986</v>
      </c>
      <c r="I360">
        <f t="shared" si="11"/>
        <v>62.544169611307424</v>
      </c>
    </row>
    <row r="361" spans="1:9">
      <c r="A361">
        <v>360</v>
      </c>
      <c r="B361">
        <v>173</v>
      </c>
      <c r="C361" s="1">
        <v>46180</v>
      </c>
      <c r="D361" t="s">
        <v>382</v>
      </c>
      <c r="E361">
        <v>2</v>
      </c>
      <c r="F361" t="str">
        <f>_xlfn.XLOOKUP(B361,Employee_Master!A:A,Employee_Master!E:E,"Not Found")</f>
        <v>Marketing</v>
      </c>
      <c r="G361" t="s">
        <v>385</v>
      </c>
      <c r="H361">
        <f t="shared" si="10"/>
        <v>2.4626334519572954</v>
      </c>
      <c r="I361">
        <f t="shared" si="11"/>
        <v>62.765957446808507</v>
      </c>
    </row>
    <row r="362" spans="1:9">
      <c r="A362">
        <v>361</v>
      </c>
      <c r="B362">
        <v>173</v>
      </c>
      <c r="C362" s="1">
        <v>46103</v>
      </c>
      <c r="D362" t="s">
        <v>384</v>
      </c>
      <c r="E362">
        <v>4</v>
      </c>
      <c r="F362" t="str">
        <f>_xlfn.XLOOKUP(B362,Employee_Master!A:A,Employee_Master!E:E,"Not Found")</f>
        <v>Marketing</v>
      </c>
      <c r="G362" t="s">
        <v>381</v>
      </c>
      <c r="H362">
        <f t="shared" si="10"/>
        <v>2.4642857142857144</v>
      </c>
      <c r="I362">
        <f t="shared" si="11"/>
        <v>62.989323843416365</v>
      </c>
    </row>
    <row r="363" spans="1:9">
      <c r="A363">
        <v>362</v>
      </c>
      <c r="B363">
        <v>173</v>
      </c>
      <c r="C363" s="1">
        <v>46203</v>
      </c>
      <c r="D363" t="s">
        <v>384</v>
      </c>
      <c r="E363">
        <v>3</v>
      </c>
      <c r="F363" t="str">
        <f>_xlfn.XLOOKUP(B363,Employee_Master!A:A,Employee_Master!E:E,"Not Found")</f>
        <v>Marketing</v>
      </c>
      <c r="G363" t="s">
        <v>381</v>
      </c>
      <c r="H363">
        <f t="shared" si="10"/>
        <v>2.4587813620071683</v>
      </c>
      <c r="I363">
        <f t="shared" si="11"/>
        <v>63.214285714285708</v>
      </c>
    </row>
    <row r="364" spans="1:9">
      <c r="A364">
        <v>363</v>
      </c>
      <c r="B364">
        <v>173</v>
      </c>
      <c r="C364" s="1">
        <v>46069</v>
      </c>
      <c r="D364" t="s">
        <v>383</v>
      </c>
      <c r="E364">
        <v>2</v>
      </c>
      <c r="F364" t="str">
        <f>_xlfn.XLOOKUP(B364,Employee_Master!A:A,Employee_Master!E:E,"Not Found")</f>
        <v>Marketing</v>
      </c>
      <c r="G364" t="s">
        <v>381</v>
      </c>
      <c r="H364">
        <f t="shared" si="10"/>
        <v>2.4568345323741005</v>
      </c>
      <c r="I364">
        <f t="shared" si="11"/>
        <v>63.082437275985662</v>
      </c>
    </row>
    <row r="365" spans="1:9">
      <c r="A365">
        <v>364</v>
      </c>
      <c r="B365">
        <v>174</v>
      </c>
      <c r="C365" s="1">
        <v>46053</v>
      </c>
      <c r="D365" t="s">
        <v>380</v>
      </c>
      <c r="E365">
        <v>3</v>
      </c>
      <c r="F365" t="str">
        <f>_xlfn.XLOOKUP(B365,Employee_Master!A:A,Employee_Master!E:E,"Not Found")</f>
        <v>Marketing</v>
      </c>
      <c r="G365" t="s">
        <v>381</v>
      </c>
      <c r="H365">
        <f t="shared" si="10"/>
        <v>2.4584837545126352</v>
      </c>
      <c r="I365">
        <f t="shared" si="11"/>
        <v>62.949640287769782</v>
      </c>
    </row>
    <row r="366" spans="1:9">
      <c r="A366">
        <v>365</v>
      </c>
      <c r="B366">
        <v>174</v>
      </c>
      <c r="C366" s="1">
        <v>46029</v>
      </c>
      <c r="D366" t="s">
        <v>383</v>
      </c>
      <c r="E366">
        <v>4</v>
      </c>
      <c r="F366" t="str">
        <f>_xlfn.XLOOKUP(B366,Employee_Master!A:A,Employee_Master!E:E,"Not Found")</f>
        <v>Marketing</v>
      </c>
      <c r="G366" t="s">
        <v>381</v>
      </c>
      <c r="H366">
        <f t="shared" si="10"/>
        <v>2.4565217391304346</v>
      </c>
      <c r="I366">
        <f t="shared" si="11"/>
        <v>62.815884476534301</v>
      </c>
    </row>
    <row r="367" spans="1:9">
      <c r="A367">
        <v>366</v>
      </c>
      <c r="B367">
        <v>175</v>
      </c>
      <c r="C367" s="1">
        <v>46237</v>
      </c>
      <c r="D367" t="s">
        <v>382</v>
      </c>
      <c r="E367">
        <v>2</v>
      </c>
      <c r="F367" t="str">
        <f>_xlfn.XLOOKUP(B367,Employee_Master!A:A,Employee_Master!E:E,"Not Found")</f>
        <v>HR</v>
      </c>
      <c r="G367" t="s">
        <v>386</v>
      </c>
      <c r="H367">
        <f t="shared" si="10"/>
        <v>2.4509090909090907</v>
      </c>
      <c r="I367">
        <f t="shared" si="11"/>
        <v>62.681159420289859</v>
      </c>
    </row>
    <row r="368" spans="1:9">
      <c r="A368">
        <v>367</v>
      </c>
      <c r="B368">
        <v>175</v>
      </c>
      <c r="C368" s="1">
        <v>46002</v>
      </c>
      <c r="D368" t="s">
        <v>383</v>
      </c>
      <c r="E368">
        <v>2</v>
      </c>
      <c r="F368" t="str">
        <f>_xlfn.XLOOKUP(B368,Employee_Master!A:A,Employee_Master!E:E,"Not Found")</f>
        <v>HR</v>
      </c>
      <c r="G368" t="s">
        <v>381</v>
      </c>
      <c r="H368">
        <f t="shared" si="10"/>
        <v>2.4525547445255476</v>
      </c>
      <c r="I368">
        <f t="shared" si="11"/>
        <v>62.545454545454547</v>
      </c>
    </row>
    <row r="369" spans="1:9">
      <c r="A369">
        <v>368</v>
      </c>
      <c r="B369">
        <v>176</v>
      </c>
      <c r="C369" s="1">
        <v>46214</v>
      </c>
      <c r="D369" t="s">
        <v>383</v>
      </c>
      <c r="E369">
        <v>2</v>
      </c>
      <c r="F369" t="str">
        <f>_xlfn.XLOOKUP(B369,Employee_Master!A:A,Employee_Master!E:E,"Not Found")</f>
        <v>Marketing</v>
      </c>
      <c r="G369" t="s">
        <v>385</v>
      </c>
      <c r="H369">
        <f t="shared" si="10"/>
        <v>2.4542124542124544</v>
      </c>
      <c r="I369">
        <f t="shared" si="11"/>
        <v>62.773722627737229</v>
      </c>
    </row>
    <row r="370" spans="1:9">
      <c r="A370">
        <v>369</v>
      </c>
      <c r="B370">
        <v>176</v>
      </c>
      <c r="C370" s="1">
        <v>46228</v>
      </c>
      <c r="D370" t="s">
        <v>380</v>
      </c>
      <c r="E370">
        <v>1</v>
      </c>
      <c r="F370" t="str">
        <f>_xlfn.XLOOKUP(B370,Employee_Master!A:A,Employee_Master!E:E,"Not Found")</f>
        <v>Marketing</v>
      </c>
      <c r="G370" t="s">
        <v>381</v>
      </c>
      <c r="H370">
        <f t="shared" si="10"/>
        <v>2.4558823529411766</v>
      </c>
      <c r="I370">
        <f t="shared" si="11"/>
        <v>62.637362637362635</v>
      </c>
    </row>
    <row r="371" spans="1:9">
      <c r="A371">
        <v>370</v>
      </c>
      <c r="B371">
        <v>176</v>
      </c>
      <c r="C371" s="1">
        <v>46257</v>
      </c>
      <c r="D371" t="s">
        <v>380</v>
      </c>
      <c r="E371">
        <v>2</v>
      </c>
      <c r="F371" t="str">
        <f>_xlfn.XLOOKUP(B371,Employee_Master!A:A,Employee_Master!E:E,"Not Found")</f>
        <v>Marketing</v>
      </c>
      <c r="G371" t="s">
        <v>386</v>
      </c>
      <c r="H371">
        <f t="shared" si="10"/>
        <v>2.4612546125461257</v>
      </c>
      <c r="I371">
        <f t="shared" si="11"/>
        <v>62.867647058823529</v>
      </c>
    </row>
    <row r="372" spans="1:9">
      <c r="A372">
        <v>371</v>
      </c>
      <c r="B372">
        <v>176</v>
      </c>
      <c r="C372" s="1">
        <v>46255</v>
      </c>
      <c r="D372" t="s">
        <v>383</v>
      </c>
      <c r="E372">
        <v>2</v>
      </c>
      <c r="F372" t="str">
        <f>_xlfn.XLOOKUP(B372,Employee_Master!A:A,Employee_Master!E:E,"Not Found")</f>
        <v>Marketing</v>
      </c>
      <c r="G372" t="s">
        <v>385</v>
      </c>
      <c r="H372">
        <f t="shared" si="10"/>
        <v>2.4629629629629628</v>
      </c>
      <c r="I372">
        <f t="shared" si="11"/>
        <v>62.730627306273071</v>
      </c>
    </row>
    <row r="373" spans="1:9">
      <c r="A373">
        <v>372</v>
      </c>
      <c r="B373">
        <v>177</v>
      </c>
      <c r="C373" s="1">
        <v>46056</v>
      </c>
      <c r="D373" t="s">
        <v>382</v>
      </c>
      <c r="E373">
        <v>4</v>
      </c>
      <c r="F373" t="str">
        <f>_xlfn.XLOOKUP(B373,Employee_Master!A:A,Employee_Master!E:E,"Not Found")</f>
        <v>Marketing</v>
      </c>
      <c r="G373" t="s">
        <v>381</v>
      </c>
      <c r="H373">
        <f t="shared" si="10"/>
        <v>2.4646840148698885</v>
      </c>
      <c r="I373">
        <f t="shared" si="11"/>
        <v>62.962962962962962</v>
      </c>
    </row>
    <row r="374" spans="1:9">
      <c r="A374">
        <v>373</v>
      </c>
      <c r="B374">
        <v>177</v>
      </c>
      <c r="C374" s="1">
        <v>46221</v>
      </c>
      <c r="D374" t="s">
        <v>382</v>
      </c>
      <c r="E374">
        <v>3</v>
      </c>
      <c r="F374" t="str">
        <f>_xlfn.XLOOKUP(B374,Employee_Master!A:A,Employee_Master!E:E,"Not Found")</f>
        <v>Marketing</v>
      </c>
      <c r="G374" t="s">
        <v>381</v>
      </c>
      <c r="H374">
        <f t="shared" si="10"/>
        <v>2.4589552238805972</v>
      </c>
      <c r="I374">
        <f t="shared" si="11"/>
        <v>63.19702602230484</v>
      </c>
    </row>
    <row r="375" spans="1:9">
      <c r="A375">
        <v>374</v>
      </c>
      <c r="B375">
        <v>178</v>
      </c>
      <c r="C375" s="1">
        <v>46241</v>
      </c>
      <c r="D375" t="s">
        <v>384</v>
      </c>
      <c r="E375">
        <v>3</v>
      </c>
      <c r="F375" t="str">
        <f>_xlfn.XLOOKUP(B375,Employee_Master!A:A,Employee_Master!E:E,"Not Found")</f>
        <v>IT</v>
      </c>
      <c r="G375" t="s">
        <v>381</v>
      </c>
      <c r="H375">
        <f t="shared" si="10"/>
        <v>2.4569288389513106</v>
      </c>
      <c r="I375">
        <f t="shared" si="11"/>
        <v>63.059701492537314</v>
      </c>
    </row>
    <row r="376" spans="1:9">
      <c r="A376">
        <v>375</v>
      </c>
      <c r="B376">
        <v>178</v>
      </c>
      <c r="C376" s="1">
        <v>46123</v>
      </c>
      <c r="D376" t="s">
        <v>382</v>
      </c>
      <c r="E376">
        <v>1</v>
      </c>
      <c r="F376" t="str">
        <f>_xlfn.XLOOKUP(B376,Employee_Master!A:A,Employee_Master!E:E,"Not Found")</f>
        <v>IT</v>
      </c>
      <c r="G376" t="s">
        <v>381</v>
      </c>
      <c r="H376">
        <f t="shared" si="10"/>
        <v>2.4548872180451129</v>
      </c>
      <c r="I376">
        <f t="shared" si="11"/>
        <v>62.921348314606739</v>
      </c>
    </row>
    <row r="377" spans="1:9">
      <c r="A377">
        <v>376</v>
      </c>
      <c r="B377">
        <v>179</v>
      </c>
      <c r="C377" s="1">
        <v>46061</v>
      </c>
      <c r="D377" t="s">
        <v>382</v>
      </c>
      <c r="E377">
        <v>4</v>
      </c>
      <c r="F377" t="str">
        <f>_xlfn.XLOOKUP(B377,Employee_Master!A:A,Employee_Master!E:E,"Not Found")</f>
        <v>Marketing</v>
      </c>
      <c r="G377" t="s">
        <v>386</v>
      </c>
      <c r="H377">
        <f t="shared" si="10"/>
        <v>2.4603773584905659</v>
      </c>
      <c r="I377">
        <f t="shared" si="11"/>
        <v>62.781954887218049</v>
      </c>
    </row>
    <row r="378" spans="1:9">
      <c r="A378">
        <v>377</v>
      </c>
      <c r="B378">
        <v>180</v>
      </c>
      <c r="C378" s="1">
        <v>46072</v>
      </c>
      <c r="D378" t="s">
        <v>382</v>
      </c>
      <c r="E378">
        <v>2</v>
      </c>
      <c r="F378" t="str">
        <f>_xlfn.XLOOKUP(B378,Employee_Master!A:A,Employee_Master!E:E,"Not Found")</f>
        <v>Finance</v>
      </c>
      <c r="G378" t="s">
        <v>381</v>
      </c>
      <c r="H378">
        <f t="shared" si="10"/>
        <v>2.4545454545454546</v>
      </c>
      <c r="I378">
        <f t="shared" si="11"/>
        <v>62.641509433962263</v>
      </c>
    </row>
    <row r="379" spans="1:9">
      <c r="A379">
        <v>378</v>
      </c>
      <c r="B379">
        <v>180</v>
      </c>
      <c r="C379" s="1">
        <v>45957</v>
      </c>
      <c r="D379" t="s">
        <v>382</v>
      </c>
      <c r="E379">
        <v>4</v>
      </c>
      <c r="F379" t="str">
        <f>_xlfn.XLOOKUP(B379,Employee_Master!A:A,Employee_Master!E:E,"Not Found")</f>
        <v>Finance</v>
      </c>
      <c r="G379" t="s">
        <v>386</v>
      </c>
      <c r="H379">
        <f t="shared" si="10"/>
        <v>2.456273764258555</v>
      </c>
      <c r="I379">
        <f t="shared" si="11"/>
        <v>62.878787878787875</v>
      </c>
    </row>
    <row r="380" spans="1:9">
      <c r="A380">
        <v>379</v>
      </c>
      <c r="B380">
        <v>180</v>
      </c>
      <c r="C380" s="1">
        <v>45986</v>
      </c>
      <c r="D380" t="s">
        <v>382</v>
      </c>
      <c r="E380">
        <v>4</v>
      </c>
      <c r="F380" t="str">
        <f>_xlfn.XLOOKUP(B380,Employee_Master!A:A,Employee_Master!E:E,"Not Found")</f>
        <v>Finance</v>
      </c>
      <c r="G380" t="s">
        <v>385</v>
      </c>
      <c r="H380">
        <f t="shared" si="10"/>
        <v>2.4503816793893129</v>
      </c>
      <c r="I380">
        <f t="shared" si="11"/>
        <v>62.737642585551335</v>
      </c>
    </row>
    <row r="381" spans="1:9">
      <c r="A381">
        <v>380</v>
      </c>
      <c r="B381">
        <v>180</v>
      </c>
      <c r="C381" s="1">
        <v>46091</v>
      </c>
      <c r="D381" t="s">
        <v>384</v>
      </c>
      <c r="E381">
        <v>2</v>
      </c>
      <c r="F381" t="str">
        <f>_xlfn.XLOOKUP(B381,Employee_Master!A:A,Employee_Master!E:E,"Not Found")</f>
        <v>Finance</v>
      </c>
      <c r="G381" t="s">
        <v>381</v>
      </c>
      <c r="H381">
        <f t="shared" si="10"/>
        <v>2.4444444444444446</v>
      </c>
      <c r="I381">
        <f t="shared" si="11"/>
        <v>62.977099236641223</v>
      </c>
    </row>
    <row r="382" spans="1:9">
      <c r="A382">
        <v>381</v>
      </c>
      <c r="B382">
        <v>182</v>
      </c>
      <c r="C382" s="1">
        <v>45958</v>
      </c>
      <c r="D382" t="s">
        <v>384</v>
      </c>
      <c r="E382">
        <v>1</v>
      </c>
      <c r="F382" t="str">
        <f>_xlfn.XLOOKUP(B382,Employee_Master!A:A,Employee_Master!E:E,"Not Found")</f>
        <v>Marketing</v>
      </c>
      <c r="G382" t="s">
        <v>381</v>
      </c>
      <c r="H382">
        <f t="shared" si="10"/>
        <v>2.4461538461538463</v>
      </c>
      <c r="I382">
        <f t="shared" si="11"/>
        <v>63.218390804597703</v>
      </c>
    </row>
    <row r="383" spans="1:9">
      <c r="A383">
        <v>382</v>
      </c>
      <c r="B383">
        <v>182</v>
      </c>
      <c r="C383" s="1">
        <v>45986</v>
      </c>
      <c r="D383" t="s">
        <v>383</v>
      </c>
      <c r="E383">
        <v>2</v>
      </c>
      <c r="F383" t="str">
        <f>_xlfn.XLOOKUP(B383,Employee_Master!A:A,Employee_Master!E:E,"Not Found")</f>
        <v>Marketing</v>
      </c>
      <c r="G383" t="s">
        <v>381</v>
      </c>
      <c r="H383">
        <f t="shared" si="10"/>
        <v>2.4517374517374519</v>
      </c>
      <c r="I383">
        <f t="shared" si="11"/>
        <v>63.076923076923073</v>
      </c>
    </row>
    <row r="384" spans="1:9">
      <c r="A384">
        <v>383</v>
      </c>
      <c r="B384">
        <v>183</v>
      </c>
      <c r="C384" s="1">
        <v>46035</v>
      </c>
      <c r="D384" t="s">
        <v>384</v>
      </c>
      <c r="E384">
        <v>1</v>
      </c>
      <c r="F384" t="str">
        <f>_xlfn.XLOOKUP(B384,Employee_Master!A:A,Employee_Master!E:E,"Not Found")</f>
        <v>HR</v>
      </c>
      <c r="G384" t="s">
        <v>381</v>
      </c>
      <c r="H384">
        <f t="shared" si="10"/>
        <v>2.4534883720930232</v>
      </c>
      <c r="I384">
        <f t="shared" si="11"/>
        <v>62.93436293436293</v>
      </c>
    </row>
    <row r="385" spans="1:9">
      <c r="A385">
        <v>384</v>
      </c>
      <c r="B385">
        <v>183</v>
      </c>
      <c r="C385" s="1">
        <v>45988</v>
      </c>
      <c r="D385" t="s">
        <v>383</v>
      </c>
      <c r="E385">
        <v>3</v>
      </c>
      <c r="F385" t="str">
        <f>_xlfn.XLOOKUP(B385,Employee_Master!A:A,Employee_Master!E:E,"Not Found")</f>
        <v>HR</v>
      </c>
      <c r="G385" t="s">
        <v>381</v>
      </c>
      <c r="H385">
        <f t="shared" si="10"/>
        <v>2.4591439688715955</v>
      </c>
      <c r="I385">
        <f t="shared" si="11"/>
        <v>62.790697674418603</v>
      </c>
    </row>
    <row r="386" spans="1:9">
      <c r="A386">
        <v>385</v>
      </c>
      <c r="B386">
        <v>183</v>
      </c>
      <c r="C386" s="1">
        <v>46151</v>
      </c>
      <c r="D386" t="s">
        <v>380</v>
      </c>
      <c r="E386">
        <v>2</v>
      </c>
      <c r="F386" t="str">
        <f>_xlfn.XLOOKUP(B386,Employee_Master!A:A,Employee_Master!E:E,"Not Found")</f>
        <v>HR</v>
      </c>
      <c r="G386" t="s">
        <v>381</v>
      </c>
      <c r="H386">
        <f t="shared" ref="H386:H449" si="12">AVERAGE(E386:E1025)</f>
        <v>2.45703125</v>
      </c>
      <c r="I386">
        <f t="shared" ref="I386:I449" si="13">COUNTIF(G385:G1024,"Approved")/COUNTA(G385:G1024)*100</f>
        <v>62.645914396887157</v>
      </c>
    </row>
    <row r="387" spans="1:9">
      <c r="A387">
        <v>386</v>
      </c>
      <c r="B387">
        <v>184</v>
      </c>
      <c r="C387" s="1">
        <v>46240</v>
      </c>
      <c r="D387" t="s">
        <v>383</v>
      </c>
      <c r="E387">
        <v>3</v>
      </c>
      <c r="F387" t="str">
        <f>_xlfn.XLOOKUP(B387,Employee_Master!A:A,Employee_Master!E:E,"Not Found")</f>
        <v>Customer Support</v>
      </c>
      <c r="G387" t="s">
        <v>381</v>
      </c>
      <c r="H387">
        <f t="shared" si="12"/>
        <v>2.4588235294117649</v>
      </c>
      <c r="I387">
        <f t="shared" si="13"/>
        <v>62.5</v>
      </c>
    </row>
    <row r="388" spans="1:9">
      <c r="A388">
        <v>387</v>
      </c>
      <c r="B388">
        <v>184</v>
      </c>
      <c r="C388" s="1">
        <v>46008</v>
      </c>
      <c r="D388" t="s">
        <v>384</v>
      </c>
      <c r="E388">
        <v>3</v>
      </c>
      <c r="F388" t="str">
        <f>_xlfn.XLOOKUP(B388,Employee_Master!A:A,Employee_Master!E:E,"Not Found")</f>
        <v>Customer Support</v>
      </c>
      <c r="G388" t="s">
        <v>381</v>
      </c>
      <c r="H388">
        <f t="shared" si="12"/>
        <v>2.4566929133858268</v>
      </c>
      <c r="I388">
        <f t="shared" si="13"/>
        <v>62.352941176470587</v>
      </c>
    </row>
    <row r="389" spans="1:9">
      <c r="A389">
        <v>388</v>
      </c>
      <c r="B389">
        <v>184</v>
      </c>
      <c r="C389" s="1">
        <v>46018</v>
      </c>
      <c r="D389" t="s">
        <v>382</v>
      </c>
      <c r="E389">
        <v>2</v>
      </c>
      <c r="F389" t="str">
        <f>_xlfn.XLOOKUP(B389,Employee_Master!A:A,Employee_Master!E:E,"Not Found")</f>
        <v>Customer Support</v>
      </c>
      <c r="G389" t="s">
        <v>386</v>
      </c>
      <c r="H389">
        <f t="shared" si="12"/>
        <v>2.4545454545454546</v>
      </c>
      <c r="I389">
        <f t="shared" si="13"/>
        <v>62.204724409448822</v>
      </c>
    </row>
    <row r="390" spans="1:9">
      <c r="A390">
        <v>389</v>
      </c>
      <c r="B390">
        <v>184</v>
      </c>
      <c r="C390" s="1">
        <v>46246</v>
      </c>
      <c r="D390" t="s">
        <v>384</v>
      </c>
      <c r="E390">
        <v>2</v>
      </c>
      <c r="F390" t="str">
        <f>_xlfn.XLOOKUP(B390,Employee_Master!A:A,Employee_Master!E:E,"Not Found")</f>
        <v>Customer Support</v>
      </c>
      <c r="G390" t="s">
        <v>381</v>
      </c>
      <c r="H390">
        <f t="shared" si="12"/>
        <v>2.4563492063492065</v>
      </c>
      <c r="I390">
        <f t="shared" si="13"/>
        <v>62.055335968379445</v>
      </c>
    </row>
    <row r="391" spans="1:9">
      <c r="A391">
        <v>390</v>
      </c>
      <c r="B391">
        <v>185</v>
      </c>
      <c r="C391" s="1">
        <v>46245</v>
      </c>
      <c r="D391" t="s">
        <v>383</v>
      </c>
      <c r="E391">
        <v>4</v>
      </c>
      <c r="F391" t="str">
        <f>_xlfn.XLOOKUP(B391,Employee_Master!A:A,Employee_Master!E:E,"Not Found")</f>
        <v>Finance</v>
      </c>
      <c r="G391" t="s">
        <v>381</v>
      </c>
      <c r="H391">
        <f t="shared" si="12"/>
        <v>2.4581673306772909</v>
      </c>
      <c r="I391">
        <f t="shared" si="13"/>
        <v>62.301587301587304</v>
      </c>
    </row>
    <row r="392" spans="1:9">
      <c r="A392">
        <v>391</v>
      </c>
      <c r="B392">
        <v>185</v>
      </c>
      <c r="C392" s="1">
        <v>45979</v>
      </c>
      <c r="D392" t="s">
        <v>380</v>
      </c>
      <c r="E392">
        <v>4</v>
      </c>
      <c r="F392" t="str">
        <f>_xlfn.XLOOKUP(B392,Employee_Master!A:A,Employee_Master!E:E,"Not Found")</f>
        <v>Finance</v>
      </c>
      <c r="G392" t="s">
        <v>381</v>
      </c>
      <c r="H392">
        <f t="shared" si="12"/>
        <v>2.452</v>
      </c>
      <c r="I392">
        <f t="shared" si="13"/>
        <v>62.151394422310759</v>
      </c>
    </row>
    <row r="393" spans="1:9">
      <c r="A393">
        <v>392</v>
      </c>
      <c r="B393">
        <v>185</v>
      </c>
      <c r="C393" s="1">
        <v>46054</v>
      </c>
      <c r="D393" t="s">
        <v>382</v>
      </c>
      <c r="E393">
        <v>2</v>
      </c>
      <c r="F393" t="str">
        <f>_xlfn.XLOOKUP(B393,Employee_Master!A:A,Employee_Master!E:E,"Not Found")</f>
        <v>Finance</v>
      </c>
      <c r="G393" t="s">
        <v>381</v>
      </c>
      <c r="H393">
        <f t="shared" si="12"/>
        <v>2.4457831325301207</v>
      </c>
      <c r="I393">
        <f t="shared" si="13"/>
        <v>62</v>
      </c>
    </row>
    <row r="394" spans="1:9">
      <c r="A394">
        <v>393</v>
      </c>
      <c r="B394">
        <v>185</v>
      </c>
      <c r="C394" s="1">
        <v>46043</v>
      </c>
      <c r="D394" t="s">
        <v>383</v>
      </c>
      <c r="E394">
        <v>1</v>
      </c>
      <c r="F394" t="str">
        <f>_xlfn.XLOOKUP(B394,Employee_Master!A:A,Employee_Master!E:E,"Not Found")</f>
        <v>Finance</v>
      </c>
      <c r="G394" t="s">
        <v>381</v>
      </c>
      <c r="H394">
        <f t="shared" si="12"/>
        <v>2.4475806451612905</v>
      </c>
      <c r="I394">
        <f t="shared" si="13"/>
        <v>61.847389558232933</v>
      </c>
    </row>
    <row r="395" spans="1:9">
      <c r="A395">
        <v>394</v>
      </c>
      <c r="B395">
        <v>186</v>
      </c>
      <c r="C395" s="1">
        <v>46274</v>
      </c>
      <c r="D395" t="s">
        <v>383</v>
      </c>
      <c r="E395">
        <v>4</v>
      </c>
      <c r="F395" t="str">
        <f>_xlfn.XLOOKUP(B395,Employee_Master!A:A,Employee_Master!E:E,"Not Found")</f>
        <v>Operations</v>
      </c>
      <c r="G395" t="s">
        <v>386</v>
      </c>
      <c r="H395">
        <f t="shared" si="12"/>
        <v>2.4534412955465585</v>
      </c>
      <c r="I395">
        <f t="shared" si="13"/>
        <v>61.693548387096776</v>
      </c>
    </row>
    <row r="396" spans="1:9">
      <c r="A396">
        <v>395</v>
      </c>
      <c r="B396">
        <v>187</v>
      </c>
      <c r="C396" s="1">
        <v>46128</v>
      </c>
      <c r="D396" t="s">
        <v>382</v>
      </c>
      <c r="E396">
        <v>2</v>
      </c>
      <c r="F396" t="str">
        <f>_xlfn.XLOOKUP(B396,Employee_Master!A:A,Employee_Master!E:E,"Not Found")</f>
        <v>Operations</v>
      </c>
      <c r="G396" t="s">
        <v>381</v>
      </c>
      <c r="H396">
        <f t="shared" si="12"/>
        <v>2.4471544715447155</v>
      </c>
      <c r="I396">
        <f t="shared" si="13"/>
        <v>61.53846153846154</v>
      </c>
    </row>
    <row r="397" spans="1:9">
      <c r="A397">
        <v>396</v>
      </c>
      <c r="B397">
        <v>187</v>
      </c>
      <c r="C397" s="1">
        <v>45982</v>
      </c>
      <c r="D397" t="s">
        <v>384</v>
      </c>
      <c r="E397">
        <v>4</v>
      </c>
      <c r="F397" t="str">
        <f>_xlfn.XLOOKUP(B397,Employee_Master!A:A,Employee_Master!E:E,"Not Found")</f>
        <v>Operations</v>
      </c>
      <c r="G397" t="s">
        <v>385</v>
      </c>
      <c r="H397">
        <f t="shared" si="12"/>
        <v>2.4489795918367347</v>
      </c>
      <c r="I397">
        <f t="shared" si="13"/>
        <v>61.788617886178862</v>
      </c>
    </row>
    <row r="398" spans="1:9">
      <c r="A398">
        <v>397</v>
      </c>
      <c r="B398">
        <v>187</v>
      </c>
      <c r="C398" s="1">
        <v>46157</v>
      </c>
      <c r="D398" t="s">
        <v>380</v>
      </c>
      <c r="E398">
        <v>4</v>
      </c>
      <c r="F398" t="str">
        <f>_xlfn.XLOOKUP(B398,Employee_Master!A:A,Employee_Master!E:E,"Not Found")</f>
        <v>Operations</v>
      </c>
      <c r="G398" t="s">
        <v>386</v>
      </c>
      <c r="H398">
        <f t="shared" si="12"/>
        <v>2.442622950819672</v>
      </c>
      <c r="I398">
        <f t="shared" si="13"/>
        <v>61.632653061224488</v>
      </c>
    </row>
    <row r="399" spans="1:9">
      <c r="A399">
        <v>398</v>
      </c>
      <c r="B399">
        <v>187</v>
      </c>
      <c r="C399" s="1">
        <v>46125</v>
      </c>
      <c r="D399" t="s">
        <v>384</v>
      </c>
      <c r="E399">
        <v>3</v>
      </c>
      <c r="F399" t="str">
        <f>_xlfn.XLOOKUP(B399,Employee_Master!A:A,Employee_Master!E:E,"Not Found")</f>
        <v>Operations</v>
      </c>
      <c r="G399" t="s">
        <v>381</v>
      </c>
      <c r="H399">
        <f t="shared" si="12"/>
        <v>2.4362139917695473</v>
      </c>
      <c r="I399">
        <f t="shared" si="13"/>
        <v>61.885245901639344</v>
      </c>
    </row>
    <row r="400" spans="1:9">
      <c r="A400">
        <v>399</v>
      </c>
      <c r="B400">
        <v>188</v>
      </c>
      <c r="C400" s="1">
        <v>46154</v>
      </c>
      <c r="D400" t="s">
        <v>383</v>
      </c>
      <c r="E400">
        <v>3</v>
      </c>
      <c r="F400" t="str">
        <f>_xlfn.XLOOKUP(B400,Employee_Master!A:A,Employee_Master!E:E,"Not Found")</f>
        <v>HR</v>
      </c>
      <c r="G400" t="s">
        <v>381</v>
      </c>
      <c r="H400">
        <f t="shared" si="12"/>
        <v>2.4338842975206614</v>
      </c>
      <c r="I400">
        <f t="shared" si="13"/>
        <v>62.139917695473244</v>
      </c>
    </row>
    <row r="401" spans="1:9">
      <c r="A401">
        <v>400</v>
      </c>
      <c r="B401">
        <v>188</v>
      </c>
      <c r="C401" s="1">
        <v>46186</v>
      </c>
      <c r="D401" t="s">
        <v>382</v>
      </c>
      <c r="E401">
        <v>4</v>
      </c>
      <c r="F401" t="str">
        <f>_xlfn.XLOOKUP(B401,Employee_Master!A:A,Employee_Master!E:E,"Not Found")</f>
        <v>HR</v>
      </c>
      <c r="G401" t="s">
        <v>386</v>
      </c>
      <c r="H401">
        <f t="shared" si="12"/>
        <v>2.4315352697095434</v>
      </c>
      <c r="I401">
        <f t="shared" si="13"/>
        <v>61.983471074380169</v>
      </c>
    </row>
    <row r="402" spans="1:9">
      <c r="A402">
        <v>401</v>
      </c>
      <c r="B402">
        <v>188</v>
      </c>
      <c r="C402" s="1">
        <v>46036</v>
      </c>
      <c r="D402" t="s">
        <v>383</v>
      </c>
      <c r="E402">
        <v>2</v>
      </c>
      <c r="F402" t="str">
        <f>_xlfn.XLOOKUP(B402,Employee_Master!A:A,Employee_Master!E:E,"Not Found")</f>
        <v>HR</v>
      </c>
      <c r="G402" t="s">
        <v>381</v>
      </c>
      <c r="H402">
        <f t="shared" si="12"/>
        <v>2.4249999999999998</v>
      </c>
      <c r="I402">
        <f t="shared" si="13"/>
        <v>61.825726141078839</v>
      </c>
    </row>
    <row r="403" spans="1:9">
      <c r="A403">
        <v>402</v>
      </c>
      <c r="B403">
        <v>189</v>
      </c>
      <c r="C403" s="1">
        <v>46288</v>
      </c>
      <c r="D403" t="s">
        <v>382</v>
      </c>
      <c r="E403">
        <v>2</v>
      </c>
      <c r="F403" t="str">
        <f>_xlfn.XLOOKUP(B403,Employee_Master!A:A,Employee_Master!E:E,"Not Found")</f>
        <v>Finance</v>
      </c>
      <c r="G403" t="s">
        <v>385</v>
      </c>
      <c r="H403">
        <f t="shared" si="12"/>
        <v>2.4267782426778242</v>
      </c>
      <c r="I403">
        <f t="shared" si="13"/>
        <v>62.083333333333336</v>
      </c>
    </row>
    <row r="404" spans="1:9">
      <c r="A404">
        <v>403</v>
      </c>
      <c r="B404">
        <v>189</v>
      </c>
      <c r="C404" s="1">
        <v>46037</v>
      </c>
      <c r="D404" t="s">
        <v>380</v>
      </c>
      <c r="E404">
        <v>3</v>
      </c>
      <c r="F404" t="str">
        <f>_xlfn.XLOOKUP(B404,Employee_Master!A:A,Employee_Master!E:E,"Not Found")</f>
        <v>Finance</v>
      </c>
      <c r="G404" t="s">
        <v>381</v>
      </c>
      <c r="H404">
        <f t="shared" si="12"/>
        <v>2.4285714285714284</v>
      </c>
      <c r="I404">
        <f t="shared" si="13"/>
        <v>61.924686192468613</v>
      </c>
    </row>
    <row r="405" spans="1:9">
      <c r="A405">
        <v>404</v>
      </c>
      <c r="B405">
        <v>189</v>
      </c>
      <c r="C405" s="1">
        <v>46138</v>
      </c>
      <c r="D405" t="s">
        <v>383</v>
      </c>
      <c r="E405">
        <v>2</v>
      </c>
      <c r="F405" t="str">
        <f>_xlfn.XLOOKUP(B405,Employee_Master!A:A,Employee_Master!E:E,"Not Found")</f>
        <v>Finance</v>
      </c>
      <c r="G405" t="s">
        <v>381</v>
      </c>
      <c r="H405">
        <f t="shared" si="12"/>
        <v>2.4261603375527425</v>
      </c>
      <c r="I405">
        <f t="shared" si="13"/>
        <v>62.184873949579831</v>
      </c>
    </row>
    <row r="406" spans="1:9">
      <c r="A406">
        <v>405</v>
      </c>
      <c r="B406">
        <v>189</v>
      </c>
      <c r="C406" s="1">
        <v>46049</v>
      </c>
      <c r="D406" t="s">
        <v>382</v>
      </c>
      <c r="E406">
        <v>4</v>
      </c>
      <c r="F406" t="str">
        <f>_xlfn.XLOOKUP(B406,Employee_Master!A:A,Employee_Master!E:E,"Not Found")</f>
        <v>Finance</v>
      </c>
      <c r="G406" t="s">
        <v>381</v>
      </c>
      <c r="H406">
        <f t="shared" si="12"/>
        <v>2.4279661016949152</v>
      </c>
      <c r="I406">
        <f t="shared" si="13"/>
        <v>62.025316455696199</v>
      </c>
    </row>
    <row r="407" spans="1:9">
      <c r="A407">
        <v>406</v>
      </c>
      <c r="B407">
        <v>190</v>
      </c>
      <c r="C407" s="1">
        <v>46055</v>
      </c>
      <c r="D407" t="s">
        <v>384</v>
      </c>
      <c r="E407">
        <v>4</v>
      </c>
      <c r="F407" t="str">
        <f>_xlfn.XLOOKUP(B407,Employee_Master!A:A,Employee_Master!E:E,"Not Found")</f>
        <v>HR</v>
      </c>
      <c r="G407" t="s">
        <v>381</v>
      </c>
      <c r="H407">
        <f t="shared" si="12"/>
        <v>2.4212765957446809</v>
      </c>
      <c r="I407">
        <f t="shared" si="13"/>
        <v>61.864406779661017</v>
      </c>
    </row>
    <row r="408" spans="1:9">
      <c r="A408">
        <v>407</v>
      </c>
      <c r="B408">
        <v>190</v>
      </c>
      <c r="C408" s="1">
        <v>46130</v>
      </c>
      <c r="D408" t="s">
        <v>383</v>
      </c>
      <c r="E408">
        <v>3</v>
      </c>
      <c r="F408" t="str">
        <f>_xlfn.XLOOKUP(B408,Employee_Master!A:A,Employee_Master!E:E,"Not Found")</f>
        <v>HR</v>
      </c>
      <c r="G408" t="s">
        <v>385</v>
      </c>
      <c r="H408">
        <f t="shared" si="12"/>
        <v>2.4145299145299144</v>
      </c>
      <c r="I408">
        <f t="shared" si="13"/>
        <v>61.702127659574465</v>
      </c>
    </row>
    <row r="409" spans="1:9">
      <c r="A409">
        <v>408</v>
      </c>
      <c r="B409">
        <v>190</v>
      </c>
      <c r="C409" s="1">
        <v>45941</v>
      </c>
      <c r="D409" t="s">
        <v>382</v>
      </c>
      <c r="E409">
        <v>4</v>
      </c>
      <c r="F409" t="str">
        <f>_xlfn.XLOOKUP(B409,Employee_Master!A:A,Employee_Master!E:E,"Not Found")</f>
        <v>HR</v>
      </c>
      <c r="G409" t="s">
        <v>385</v>
      </c>
      <c r="H409">
        <f t="shared" si="12"/>
        <v>2.4120171673819741</v>
      </c>
      <c r="I409">
        <f t="shared" si="13"/>
        <v>61.53846153846154</v>
      </c>
    </row>
    <row r="410" spans="1:9">
      <c r="A410">
        <v>409</v>
      </c>
      <c r="B410">
        <v>190</v>
      </c>
      <c r="C410" s="1">
        <v>46148</v>
      </c>
      <c r="D410" t="s">
        <v>384</v>
      </c>
      <c r="E410">
        <v>4</v>
      </c>
      <c r="F410" t="str">
        <f>_xlfn.XLOOKUP(B410,Employee_Master!A:A,Employee_Master!E:E,"Not Found")</f>
        <v>HR</v>
      </c>
      <c r="G410" t="s">
        <v>381</v>
      </c>
      <c r="H410">
        <f t="shared" si="12"/>
        <v>2.4051724137931036</v>
      </c>
      <c r="I410">
        <f t="shared" si="13"/>
        <v>61.802575107296143</v>
      </c>
    </row>
    <row r="411" spans="1:9">
      <c r="A411">
        <v>410</v>
      </c>
      <c r="B411">
        <v>191</v>
      </c>
      <c r="C411" s="1">
        <v>46048</v>
      </c>
      <c r="D411" t="s">
        <v>383</v>
      </c>
      <c r="E411">
        <v>3</v>
      </c>
      <c r="F411" t="str">
        <f>_xlfn.XLOOKUP(B411,Employee_Master!A:A,Employee_Master!E:E,"Not Found")</f>
        <v>IT</v>
      </c>
      <c r="G411" t="s">
        <v>381</v>
      </c>
      <c r="H411">
        <f t="shared" si="12"/>
        <v>2.3982683982683981</v>
      </c>
      <c r="I411">
        <f t="shared" si="13"/>
        <v>62.068965517241381</v>
      </c>
    </row>
    <row r="412" spans="1:9">
      <c r="A412">
        <v>411</v>
      </c>
      <c r="B412">
        <v>191</v>
      </c>
      <c r="C412" s="1">
        <v>46176</v>
      </c>
      <c r="D412" t="s">
        <v>380</v>
      </c>
      <c r="E412">
        <v>2</v>
      </c>
      <c r="F412" t="str">
        <f>_xlfn.XLOOKUP(B412,Employee_Master!A:A,Employee_Master!E:E,"Not Found")</f>
        <v>IT</v>
      </c>
      <c r="G412" t="s">
        <v>381</v>
      </c>
      <c r="H412">
        <f t="shared" si="12"/>
        <v>2.3956521739130436</v>
      </c>
      <c r="I412">
        <f t="shared" si="13"/>
        <v>61.904761904761905</v>
      </c>
    </row>
    <row r="413" spans="1:9">
      <c r="A413">
        <v>412</v>
      </c>
      <c r="B413">
        <v>192</v>
      </c>
      <c r="C413" s="1">
        <v>46261</v>
      </c>
      <c r="D413" t="s">
        <v>380</v>
      </c>
      <c r="E413">
        <v>1</v>
      </c>
      <c r="F413" t="str">
        <f>_xlfn.XLOOKUP(B413,Employee_Master!A:A,Employee_Master!E:E,"Not Found")</f>
        <v>Finance</v>
      </c>
      <c r="G413" t="s">
        <v>385</v>
      </c>
      <c r="H413">
        <f t="shared" si="12"/>
        <v>2.3973799126637556</v>
      </c>
      <c r="I413">
        <f t="shared" si="13"/>
        <v>61.739130434782609</v>
      </c>
    </row>
    <row r="414" spans="1:9">
      <c r="A414">
        <v>413</v>
      </c>
      <c r="B414">
        <v>192</v>
      </c>
      <c r="C414" s="1">
        <v>46117</v>
      </c>
      <c r="D414" t="s">
        <v>384</v>
      </c>
      <c r="E414">
        <v>2</v>
      </c>
      <c r="F414" t="str">
        <f>_xlfn.XLOOKUP(B414,Employee_Master!A:A,Employee_Master!E:E,"Not Found")</f>
        <v>Finance</v>
      </c>
      <c r="G414" t="s">
        <v>381</v>
      </c>
      <c r="H414">
        <f t="shared" si="12"/>
        <v>2.4035087719298245</v>
      </c>
      <c r="I414">
        <f t="shared" si="13"/>
        <v>61.572052401746724</v>
      </c>
    </row>
    <row r="415" spans="1:9">
      <c r="A415">
        <v>414</v>
      </c>
      <c r="B415">
        <v>192</v>
      </c>
      <c r="C415" s="1">
        <v>46293</v>
      </c>
      <c r="D415" t="s">
        <v>380</v>
      </c>
      <c r="E415">
        <v>1</v>
      </c>
      <c r="F415" t="str">
        <f>_xlfn.XLOOKUP(B415,Employee_Master!A:A,Employee_Master!E:E,"Not Found")</f>
        <v>Finance</v>
      </c>
      <c r="G415" t="s">
        <v>386</v>
      </c>
      <c r="H415">
        <f t="shared" si="12"/>
        <v>2.4052863436123348</v>
      </c>
      <c r="I415">
        <f t="shared" si="13"/>
        <v>61.842105263157897</v>
      </c>
    </row>
    <row r="416" spans="1:9">
      <c r="A416">
        <v>415</v>
      </c>
      <c r="B416">
        <v>192</v>
      </c>
      <c r="C416" s="1">
        <v>46287</v>
      </c>
      <c r="D416" t="s">
        <v>384</v>
      </c>
      <c r="E416">
        <v>3</v>
      </c>
      <c r="F416" t="str">
        <f>_xlfn.XLOOKUP(B416,Employee_Master!A:A,Employee_Master!E:E,"Not Found")</f>
        <v>Finance</v>
      </c>
      <c r="G416" t="s">
        <v>381</v>
      </c>
      <c r="H416">
        <f t="shared" si="12"/>
        <v>2.4115044247787609</v>
      </c>
      <c r="I416">
        <f t="shared" si="13"/>
        <v>61.674008810572687</v>
      </c>
    </row>
    <row r="417" spans="1:9">
      <c r="A417">
        <v>416</v>
      </c>
      <c r="B417">
        <v>193</v>
      </c>
      <c r="C417" s="1">
        <v>46061</v>
      </c>
      <c r="D417" t="s">
        <v>382</v>
      </c>
      <c r="E417">
        <v>2</v>
      </c>
      <c r="F417" t="str">
        <f>_xlfn.XLOOKUP(B417,Employee_Master!A:A,Employee_Master!E:E,"Not Found")</f>
        <v>Sales</v>
      </c>
      <c r="G417" t="s">
        <v>381</v>
      </c>
      <c r="H417">
        <f t="shared" si="12"/>
        <v>2.4088888888888889</v>
      </c>
      <c r="I417">
        <f t="shared" si="13"/>
        <v>61.946902654867252</v>
      </c>
    </row>
    <row r="418" spans="1:9">
      <c r="A418">
        <v>417</v>
      </c>
      <c r="B418">
        <v>193</v>
      </c>
      <c r="C418" s="1">
        <v>46003</v>
      </c>
      <c r="D418" t="s">
        <v>382</v>
      </c>
      <c r="E418">
        <v>3</v>
      </c>
      <c r="F418" t="str">
        <f>_xlfn.XLOOKUP(B418,Employee_Master!A:A,Employee_Master!E:E,"Not Found")</f>
        <v>Sales</v>
      </c>
      <c r="G418" t="s">
        <v>381</v>
      </c>
      <c r="H418">
        <f t="shared" si="12"/>
        <v>2.4107142857142856</v>
      </c>
      <c r="I418">
        <f t="shared" si="13"/>
        <v>61.777777777777779</v>
      </c>
    </row>
    <row r="419" spans="1:9">
      <c r="A419">
        <v>418</v>
      </c>
      <c r="B419">
        <v>193</v>
      </c>
      <c r="C419" s="1">
        <v>46048</v>
      </c>
      <c r="D419" t="s">
        <v>382</v>
      </c>
      <c r="E419">
        <v>3</v>
      </c>
      <c r="F419" t="str">
        <f>_xlfn.XLOOKUP(B419,Employee_Master!A:A,Employee_Master!E:E,"Not Found")</f>
        <v>Sales</v>
      </c>
      <c r="G419" t="s">
        <v>381</v>
      </c>
      <c r="H419">
        <f t="shared" si="12"/>
        <v>2.4080717488789238</v>
      </c>
      <c r="I419">
        <f t="shared" si="13"/>
        <v>61.607142857142861</v>
      </c>
    </row>
    <row r="420" spans="1:9">
      <c r="A420">
        <v>419</v>
      </c>
      <c r="B420">
        <v>193</v>
      </c>
      <c r="C420" s="1">
        <v>46197</v>
      </c>
      <c r="D420" t="s">
        <v>384</v>
      </c>
      <c r="E420">
        <v>2</v>
      </c>
      <c r="F420" t="str">
        <f>_xlfn.XLOOKUP(B420,Employee_Master!A:A,Employee_Master!E:E,"Not Found")</f>
        <v>Sales</v>
      </c>
      <c r="G420" t="s">
        <v>381</v>
      </c>
      <c r="H420">
        <f t="shared" si="12"/>
        <v>2.4054054054054053</v>
      </c>
      <c r="I420">
        <f t="shared" si="13"/>
        <v>61.434977578475333</v>
      </c>
    </row>
    <row r="421" spans="1:9">
      <c r="A421">
        <v>420</v>
      </c>
      <c r="B421">
        <v>194</v>
      </c>
      <c r="C421" s="1">
        <v>45957</v>
      </c>
      <c r="D421" t="s">
        <v>380</v>
      </c>
      <c r="E421">
        <v>3</v>
      </c>
      <c r="F421" t="str">
        <f>_xlfn.XLOOKUP(B421,Employee_Master!A:A,Employee_Master!E:E,"Not Found")</f>
        <v>Sales</v>
      </c>
      <c r="G421" t="s">
        <v>386</v>
      </c>
      <c r="H421">
        <f t="shared" si="12"/>
        <v>2.4072398190045248</v>
      </c>
      <c r="I421">
        <f t="shared" si="13"/>
        <v>61.261261261261254</v>
      </c>
    </row>
    <row r="422" spans="1:9">
      <c r="A422">
        <v>421</v>
      </c>
      <c r="B422">
        <v>194</v>
      </c>
      <c r="C422" s="1">
        <v>46171</v>
      </c>
      <c r="D422" t="s">
        <v>382</v>
      </c>
      <c r="E422">
        <v>2</v>
      </c>
      <c r="F422" t="str">
        <f>_xlfn.XLOOKUP(B422,Employee_Master!A:A,Employee_Master!E:E,"Not Found")</f>
        <v>Sales</v>
      </c>
      <c r="G422" t="s">
        <v>381</v>
      </c>
      <c r="H422">
        <f t="shared" si="12"/>
        <v>2.4045454545454548</v>
      </c>
      <c r="I422">
        <f t="shared" si="13"/>
        <v>61.085972850678736</v>
      </c>
    </row>
    <row r="423" spans="1:9">
      <c r="A423">
        <v>422</v>
      </c>
      <c r="B423">
        <v>194</v>
      </c>
      <c r="C423" s="1">
        <v>45939</v>
      </c>
      <c r="D423" t="s">
        <v>380</v>
      </c>
      <c r="E423">
        <v>1</v>
      </c>
      <c r="F423" t="str">
        <f>_xlfn.XLOOKUP(B423,Employee_Master!A:A,Employee_Master!E:E,"Not Found")</f>
        <v>Sales</v>
      </c>
      <c r="G423" t="s">
        <v>381</v>
      </c>
      <c r="H423">
        <f t="shared" si="12"/>
        <v>2.4063926940639271</v>
      </c>
      <c r="I423">
        <f t="shared" si="13"/>
        <v>61.363636363636367</v>
      </c>
    </row>
    <row r="424" spans="1:9">
      <c r="A424">
        <v>423</v>
      </c>
      <c r="B424">
        <v>194</v>
      </c>
      <c r="C424" s="1">
        <v>45982</v>
      </c>
      <c r="D424" t="s">
        <v>383</v>
      </c>
      <c r="E424">
        <v>2</v>
      </c>
      <c r="F424" t="str">
        <f>_xlfn.XLOOKUP(B424,Employee_Master!A:A,Employee_Master!E:E,"Not Found")</f>
        <v>Sales</v>
      </c>
      <c r="G424" t="s">
        <v>386</v>
      </c>
      <c r="H424">
        <f t="shared" si="12"/>
        <v>2.4128440366972477</v>
      </c>
      <c r="I424">
        <f t="shared" si="13"/>
        <v>61.187214611872143</v>
      </c>
    </row>
    <row r="425" spans="1:9">
      <c r="A425">
        <v>424</v>
      </c>
      <c r="B425">
        <v>196</v>
      </c>
      <c r="C425" s="1">
        <v>46214</v>
      </c>
      <c r="D425" t="s">
        <v>383</v>
      </c>
      <c r="E425">
        <v>2</v>
      </c>
      <c r="F425" t="str">
        <f>_xlfn.XLOOKUP(B425,Employee_Master!A:A,Employee_Master!E:E,"Not Found")</f>
        <v>Customer Support</v>
      </c>
      <c r="G425" t="s">
        <v>381</v>
      </c>
      <c r="H425">
        <f t="shared" si="12"/>
        <v>2.414746543778802</v>
      </c>
      <c r="I425">
        <f t="shared" si="13"/>
        <v>61.009174311926607</v>
      </c>
    </row>
    <row r="426" spans="1:9">
      <c r="A426">
        <v>425</v>
      </c>
      <c r="B426">
        <v>196</v>
      </c>
      <c r="C426" s="1">
        <v>46204</v>
      </c>
      <c r="D426" t="s">
        <v>380</v>
      </c>
      <c r="E426">
        <v>2</v>
      </c>
      <c r="F426" t="str">
        <f>_xlfn.XLOOKUP(B426,Employee_Master!A:A,Employee_Master!E:E,"Not Found")</f>
        <v>Customer Support</v>
      </c>
      <c r="G426" t="s">
        <v>381</v>
      </c>
      <c r="H426">
        <f t="shared" si="12"/>
        <v>2.4166666666666665</v>
      </c>
      <c r="I426">
        <f t="shared" si="13"/>
        <v>61.29032258064516</v>
      </c>
    </row>
    <row r="427" spans="1:9">
      <c r="A427">
        <v>426</v>
      </c>
      <c r="B427">
        <v>196</v>
      </c>
      <c r="C427" s="1">
        <v>46097</v>
      </c>
      <c r="D427" t="s">
        <v>380</v>
      </c>
      <c r="E427">
        <v>3</v>
      </c>
      <c r="F427" t="str">
        <f>_xlfn.XLOOKUP(B427,Employee_Master!A:A,Employee_Master!E:E,"Not Found")</f>
        <v>Customer Support</v>
      </c>
      <c r="G427" t="s">
        <v>386</v>
      </c>
      <c r="H427">
        <f t="shared" si="12"/>
        <v>2.4186046511627906</v>
      </c>
      <c r="I427">
        <f t="shared" si="13"/>
        <v>61.111111111111114</v>
      </c>
    </row>
    <row r="428" spans="1:9">
      <c r="A428">
        <v>427</v>
      </c>
      <c r="B428">
        <v>198</v>
      </c>
      <c r="C428" s="1">
        <v>46189</v>
      </c>
      <c r="D428" t="s">
        <v>384</v>
      </c>
      <c r="E428">
        <v>4</v>
      </c>
      <c r="F428" t="str">
        <f>_xlfn.XLOOKUP(B428,Employee_Master!A:A,Employee_Master!E:E,"Not Found")</f>
        <v>IT</v>
      </c>
      <c r="G428" t="s">
        <v>381</v>
      </c>
      <c r="H428">
        <f t="shared" si="12"/>
        <v>2.4158878504672896</v>
      </c>
      <c r="I428">
        <f t="shared" si="13"/>
        <v>60.930232558139529</v>
      </c>
    </row>
    <row r="429" spans="1:9">
      <c r="A429">
        <v>428</v>
      </c>
      <c r="B429">
        <v>198</v>
      </c>
      <c r="C429" s="1">
        <v>46016</v>
      </c>
      <c r="D429" t="s">
        <v>384</v>
      </c>
      <c r="E429">
        <v>4</v>
      </c>
      <c r="F429" t="str">
        <f>_xlfn.XLOOKUP(B429,Employee_Master!A:A,Employee_Master!E:E,"Not Found")</f>
        <v>IT</v>
      </c>
      <c r="G429" t="s">
        <v>381</v>
      </c>
      <c r="H429">
        <f t="shared" si="12"/>
        <v>2.408450704225352</v>
      </c>
      <c r="I429">
        <f t="shared" si="13"/>
        <v>61.214953271028037</v>
      </c>
    </row>
    <row r="430" spans="1:9">
      <c r="A430">
        <v>429</v>
      </c>
      <c r="B430">
        <v>198</v>
      </c>
      <c r="C430" s="1">
        <v>45998</v>
      </c>
      <c r="D430" t="s">
        <v>380</v>
      </c>
      <c r="E430">
        <v>3</v>
      </c>
      <c r="F430" t="str">
        <f>_xlfn.XLOOKUP(B430,Employee_Master!A:A,Employee_Master!E:E,"Not Found")</f>
        <v>IT</v>
      </c>
      <c r="G430" t="s">
        <v>386</v>
      </c>
      <c r="H430">
        <f t="shared" si="12"/>
        <v>2.4009433962264151</v>
      </c>
      <c r="I430">
        <f t="shared" si="13"/>
        <v>61.032863849765263</v>
      </c>
    </row>
    <row r="431" spans="1:9">
      <c r="A431">
        <v>430</v>
      </c>
      <c r="B431">
        <v>198</v>
      </c>
      <c r="C431" s="1">
        <v>46073</v>
      </c>
      <c r="D431" t="s">
        <v>382</v>
      </c>
      <c r="E431">
        <v>2</v>
      </c>
      <c r="F431" t="str">
        <f>_xlfn.XLOOKUP(B431,Employee_Master!A:A,Employee_Master!E:E,"Not Found")</f>
        <v>IT</v>
      </c>
      <c r="G431" t="s">
        <v>385</v>
      </c>
      <c r="H431">
        <f t="shared" si="12"/>
        <v>2.3981042654028437</v>
      </c>
      <c r="I431">
        <f t="shared" si="13"/>
        <v>60.84905660377359</v>
      </c>
    </row>
    <row r="432" spans="1:9">
      <c r="A432">
        <v>431</v>
      </c>
      <c r="B432">
        <v>199</v>
      </c>
      <c r="C432" s="1">
        <v>46294</v>
      </c>
      <c r="D432" t="s">
        <v>384</v>
      </c>
      <c r="E432">
        <v>2</v>
      </c>
      <c r="F432" t="str">
        <f>_xlfn.XLOOKUP(B432,Employee_Master!A:A,Employee_Master!E:E,"Not Found")</f>
        <v>Finance</v>
      </c>
      <c r="G432" t="s">
        <v>381</v>
      </c>
      <c r="H432">
        <f t="shared" si="12"/>
        <v>2.4</v>
      </c>
      <c r="I432">
        <f t="shared" si="13"/>
        <v>61.137440758293835</v>
      </c>
    </row>
    <row r="433" spans="1:9">
      <c r="A433">
        <v>432</v>
      </c>
      <c r="B433">
        <v>200</v>
      </c>
      <c r="C433" s="1">
        <v>45952</v>
      </c>
      <c r="D433" t="s">
        <v>384</v>
      </c>
      <c r="E433">
        <v>4</v>
      </c>
      <c r="F433" t="str">
        <f>_xlfn.XLOOKUP(B433,Employee_Master!A:A,Employee_Master!E:E,"Not Found")</f>
        <v>Operations</v>
      </c>
      <c r="G433" t="s">
        <v>381</v>
      </c>
      <c r="H433">
        <f t="shared" si="12"/>
        <v>2.401913875598086</v>
      </c>
      <c r="I433">
        <f t="shared" si="13"/>
        <v>61.428571428571431</v>
      </c>
    </row>
    <row r="434" spans="1:9">
      <c r="A434">
        <v>433</v>
      </c>
      <c r="B434">
        <v>200</v>
      </c>
      <c r="C434" s="1">
        <v>45931</v>
      </c>
      <c r="D434" t="s">
        <v>383</v>
      </c>
      <c r="E434">
        <v>4</v>
      </c>
      <c r="F434" t="str">
        <f>_xlfn.XLOOKUP(B434,Employee_Master!A:A,Employee_Master!E:E,"Not Found")</f>
        <v>Operations</v>
      </c>
      <c r="G434" t="s">
        <v>386</v>
      </c>
      <c r="H434">
        <f t="shared" si="12"/>
        <v>2.3942307692307692</v>
      </c>
      <c r="I434">
        <f t="shared" si="13"/>
        <v>61.244019138755981</v>
      </c>
    </row>
    <row r="435" spans="1:9">
      <c r="A435">
        <v>434</v>
      </c>
      <c r="B435">
        <v>200</v>
      </c>
      <c r="C435" s="1">
        <v>46181</v>
      </c>
      <c r="D435" t="s">
        <v>382</v>
      </c>
      <c r="E435">
        <v>4</v>
      </c>
      <c r="F435" t="str">
        <f>_xlfn.XLOOKUP(B435,Employee_Master!A:A,Employee_Master!E:E,"Not Found")</f>
        <v>Operations</v>
      </c>
      <c r="G435" t="s">
        <v>386</v>
      </c>
      <c r="H435">
        <f t="shared" si="12"/>
        <v>2.3864734299516908</v>
      </c>
      <c r="I435">
        <f t="shared" si="13"/>
        <v>61.057692307692314</v>
      </c>
    </row>
    <row r="436" spans="1:9">
      <c r="A436">
        <v>435</v>
      </c>
      <c r="B436">
        <v>200</v>
      </c>
      <c r="C436" s="1">
        <v>46169</v>
      </c>
      <c r="D436" t="s">
        <v>383</v>
      </c>
      <c r="E436">
        <v>4</v>
      </c>
      <c r="F436" t="str">
        <f>_xlfn.XLOOKUP(B436,Employee_Master!A:A,Employee_Master!E:E,"Not Found")</f>
        <v>Operations</v>
      </c>
      <c r="G436" t="s">
        <v>381</v>
      </c>
      <c r="H436">
        <f t="shared" si="12"/>
        <v>2.378640776699029</v>
      </c>
      <c r="I436">
        <f t="shared" si="13"/>
        <v>61.35265700483091</v>
      </c>
    </row>
    <row r="437" spans="1:9">
      <c r="A437">
        <v>436</v>
      </c>
      <c r="B437">
        <v>201</v>
      </c>
      <c r="C437" s="1">
        <v>46139</v>
      </c>
      <c r="D437" t="s">
        <v>380</v>
      </c>
      <c r="E437">
        <v>4</v>
      </c>
      <c r="F437" t="str">
        <f>_xlfn.XLOOKUP(B437,Employee_Master!A:A,Employee_Master!E:E,"Not Found")</f>
        <v>Sales</v>
      </c>
      <c r="G437" t="s">
        <v>381</v>
      </c>
      <c r="H437">
        <f t="shared" si="12"/>
        <v>2.3707317073170731</v>
      </c>
      <c r="I437">
        <f t="shared" si="13"/>
        <v>61.650485436893199</v>
      </c>
    </row>
    <row r="438" spans="1:9">
      <c r="A438">
        <v>437</v>
      </c>
      <c r="B438">
        <v>201</v>
      </c>
      <c r="C438" s="1">
        <v>45949</v>
      </c>
      <c r="D438" t="s">
        <v>380</v>
      </c>
      <c r="E438">
        <v>1</v>
      </c>
      <c r="F438" t="str">
        <f>_xlfn.XLOOKUP(B438,Employee_Master!A:A,Employee_Master!E:E,"Not Found")</f>
        <v>Sales</v>
      </c>
      <c r="G438" t="s">
        <v>386</v>
      </c>
      <c r="H438">
        <f t="shared" si="12"/>
        <v>2.3627450980392157</v>
      </c>
      <c r="I438">
        <f t="shared" si="13"/>
        <v>61.463414634146339</v>
      </c>
    </row>
    <row r="439" spans="1:9">
      <c r="A439">
        <v>438</v>
      </c>
      <c r="B439">
        <v>201</v>
      </c>
      <c r="C439" s="1">
        <v>46119</v>
      </c>
      <c r="D439" t="s">
        <v>383</v>
      </c>
      <c r="E439">
        <v>1</v>
      </c>
      <c r="F439" t="str">
        <f>_xlfn.XLOOKUP(B439,Employee_Master!A:A,Employee_Master!E:E,"Not Found")</f>
        <v>Sales</v>
      </c>
      <c r="G439" t="s">
        <v>386</v>
      </c>
      <c r="H439">
        <f t="shared" si="12"/>
        <v>2.3694581280788176</v>
      </c>
      <c r="I439">
        <f t="shared" si="13"/>
        <v>61.274509803921575</v>
      </c>
    </row>
    <row r="440" spans="1:9">
      <c r="A440">
        <v>439</v>
      </c>
      <c r="B440">
        <v>201</v>
      </c>
      <c r="C440" s="1">
        <v>46142</v>
      </c>
      <c r="D440" t="s">
        <v>382</v>
      </c>
      <c r="E440">
        <v>4</v>
      </c>
      <c r="F440" t="str">
        <f>_xlfn.XLOOKUP(B440,Employee_Master!A:A,Employee_Master!E:E,"Not Found")</f>
        <v>Sales</v>
      </c>
      <c r="G440" t="s">
        <v>381</v>
      </c>
      <c r="H440">
        <f t="shared" si="12"/>
        <v>2.3762376237623761</v>
      </c>
      <c r="I440">
        <f t="shared" si="13"/>
        <v>61.576354679802961</v>
      </c>
    </row>
    <row r="441" spans="1:9">
      <c r="A441">
        <v>440</v>
      </c>
      <c r="B441">
        <v>202</v>
      </c>
      <c r="C441" s="1">
        <v>45943</v>
      </c>
      <c r="D441" t="s">
        <v>383</v>
      </c>
      <c r="E441">
        <v>4</v>
      </c>
      <c r="F441" t="str">
        <f>_xlfn.XLOOKUP(B441,Employee_Master!A:A,Employee_Master!E:E,"Not Found")</f>
        <v>Operations</v>
      </c>
      <c r="G441" t="s">
        <v>381</v>
      </c>
      <c r="H441">
        <f t="shared" si="12"/>
        <v>2.3681592039800994</v>
      </c>
      <c r="I441">
        <f t="shared" si="13"/>
        <v>61.881188118811878</v>
      </c>
    </row>
    <row r="442" spans="1:9">
      <c r="A442">
        <v>441</v>
      </c>
      <c r="B442">
        <v>202</v>
      </c>
      <c r="C442" s="1">
        <v>45939</v>
      </c>
      <c r="D442" t="s">
        <v>380</v>
      </c>
      <c r="E442">
        <v>4</v>
      </c>
      <c r="F442" t="str">
        <f>_xlfn.XLOOKUP(B442,Employee_Master!A:A,Employee_Master!E:E,"Not Found")</f>
        <v>Operations</v>
      </c>
      <c r="G442" t="s">
        <v>381</v>
      </c>
      <c r="H442">
        <f t="shared" si="12"/>
        <v>2.36</v>
      </c>
      <c r="I442">
        <f t="shared" si="13"/>
        <v>61.691542288557208</v>
      </c>
    </row>
    <row r="443" spans="1:9">
      <c r="A443">
        <v>442</v>
      </c>
      <c r="B443">
        <v>203</v>
      </c>
      <c r="C443" s="1">
        <v>46233</v>
      </c>
      <c r="D443" t="s">
        <v>380</v>
      </c>
      <c r="E443">
        <v>3</v>
      </c>
      <c r="F443" t="str">
        <f>_xlfn.XLOOKUP(B443,Employee_Master!A:A,Employee_Master!E:E,"Not Found")</f>
        <v>Customer Support</v>
      </c>
      <c r="G443" t="s">
        <v>385</v>
      </c>
      <c r="H443">
        <f t="shared" si="12"/>
        <v>2.3517587939698492</v>
      </c>
      <c r="I443">
        <f t="shared" si="13"/>
        <v>61.5</v>
      </c>
    </row>
    <row r="444" spans="1:9">
      <c r="A444">
        <v>443</v>
      </c>
      <c r="B444">
        <v>203</v>
      </c>
      <c r="C444" s="1">
        <v>46056</v>
      </c>
      <c r="D444" t="s">
        <v>380</v>
      </c>
      <c r="E444">
        <v>1</v>
      </c>
      <c r="F444" t="str">
        <f>_xlfn.XLOOKUP(B444,Employee_Master!A:A,Employee_Master!E:E,"Not Found")</f>
        <v>Customer Support</v>
      </c>
      <c r="G444" t="s">
        <v>381</v>
      </c>
      <c r="H444">
        <f t="shared" si="12"/>
        <v>2.3484848484848486</v>
      </c>
      <c r="I444">
        <f t="shared" si="13"/>
        <v>61.306532663316581</v>
      </c>
    </row>
    <row r="445" spans="1:9">
      <c r="A445">
        <v>444</v>
      </c>
      <c r="B445">
        <v>203</v>
      </c>
      <c r="C445" s="1">
        <v>46155</v>
      </c>
      <c r="D445" t="s">
        <v>383</v>
      </c>
      <c r="E445">
        <v>4</v>
      </c>
      <c r="F445" t="str">
        <f>_xlfn.XLOOKUP(B445,Employee_Master!A:A,Employee_Master!E:E,"Not Found")</f>
        <v>Customer Support</v>
      </c>
      <c r="G445" t="s">
        <v>385</v>
      </c>
      <c r="H445">
        <f t="shared" si="12"/>
        <v>2.3553299492385786</v>
      </c>
      <c r="I445">
        <f t="shared" si="13"/>
        <v>61.616161616161612</v>
      </c>
    </row>
    <row r="446" spans="1:9">
      <c r="A446">
        <v>445</v>
      </c>
      <c r="B446">
        <v>204</v>
      </c>
      <c r="C446" s="1">
        <v>46295</v>
      </c>
      <c r="D446" t="s">
        <v>382</v>
      </c>
      <c r="E446">
        <v>3</v>
      </c>
      <c r="F446" t="str">
        <f>_xlfn.XLOOKUP(B446,Employee_Master!A:A,Employee_Master!E:E,"Not Found")</f>
        <v>IT</v>
      </c>
      <c r="G446" t="s">
        <v>381</v>
      </c>
      <c r="H446">
        <f t="shared" si="12"/>
        <v>2.3469387755102042</v>
      </c>
      <c r="I446">
        <f t="shared" si="13"/>
        <v>61.421319796954307</v>
      </c>
    </row>
    <row r="447" spans="1:9">
      <c r="A447">
        <v>446</v>
      </c>
      <c r="B447">
        <v>204</v>
      </c>
      <c r="C447" s="1">
        <v>46168</v>
      </c>
      <c r="D447" t="s">
        <v>380</v>
      </c>
      <c r="E447">
        <v>4</v>
      </c>
      <c r="F447" t="str">
        <f>_xlfn.XLOOKUP(B447,Employee_Master!A:A,Employee_Master!E:E,"Not Found")</f>
        <v>IT</v>
      </c>
      <c r="G447" t="s">
        <v>381</v>
      </c>
      <c r="H447">
        <f t="shared" si="12"/>
        <v>2.3435897435897437</v>
      </c>
      <c r="I447">
        <f t="shared" si="13"/>
        <v>61.734693877551017</v>
      </c>
    </row>
    <row r="448" spans="1:9">
      <c r="A448">
        <v>447</v>
      </c>
      <c r="B448">
        <v>204</v>
      </c>
      <c r="C448" s="1">
        <v>46056</v>
      </c>
      <c r="D448" t="s">
        <v>380</v>
      </c>
      <c r="E448">
        <v>1</v>
      </c>
      <c r="F448" t="str">
        <f>_xlfn.XLOOKUP(B448,Employee_Master!A:A,Employee_Master!E:E,"Not Found")</f>
        <v>IT</v>
      </c>
      <c r="G448" t="s">
        <v>381</v>
      </c>
      <c r="H448">
        <f t="shared" si="12"/>
        <v>2.3350515463917527</v>
      </c>
      <c r="I448">
        <f t="shared" si="13"/>
        <v>61.53846153846154</v>
      </c>
    </row>
    <row r="449" spans="1:9">
      <c r="A449">
        <v>448</v>
      </c>
      <c r="B449">
        <v>205</v>
      </c>
      <c r="C449" s="1">
        <v>45958</v>
      </c>
      <c r="D449" t="s">
        <v>383</v>
      </c>
      <c r="E449">
        <v>4</v>
      </c>
      <c r="F449" t="str">
        <f>_xlfn.XLOOKUP(B449,Employee_Master!A:A,Employee_Master!E:E,"Not Found")</f>
        <v>IT</v>
      </c>
      <c r="G449" t="s">
        <v>385</v>
      </c>
      <c r="H449">
        <f t="shared" si="12"/>
        <v>2.3419689119170983</v>
      </c>
      <c r="I449">
        <f t="shared" si="13"/>
        <v>61.340206185567013</v>
      </c>
    </row>
    <row r="450" spans="1:9">
      <c r="A450">
        <v>449</v>
      </c>
      <c r="B450">
        <v>205</v>
      </c>
      <c r="C450" s="1">
        <v>46265</v>
      </c>
      <c r="D450" t="s">
        <v>382</v>
      </c>
      <c r="E450">
        <v>1</v>
      </c>
      <c r="F450" t="str">
        <f>_xlfn.XLOOKUP(B450,Employee_Master!A:A,Employee_Master!E:E,"Not Found")</f>
        <v>IT</v>
      </c>
      <c r="G450" t="s">
        <v>386</v>
      </c>
      <c r="H450">
        <f t="shared" ref="H450:H513" si="14">AVERAGE(E450:E1089)</f>
        <v>2.3333333333333335</v>
      </c>
      <c r="I450">
        <f t="shared" ref="I450:I513" si="15">COUNTIF(G449:G1088,"Approved")/COUNTA(G449:G1088)*100</f>
        <v>61.139896373056992</v>
      </c>
    </row>
    <row r="451" spans="1:9">
      <c r="A451">
        <v>450</v>
      </c>
      <c r="B451">
        <v>206</v>
      </c>
      <c r="C451" s="1">
        <v>46112</v>
      </c>
      <c r="D451" t="s">
        <v>382</v>
      </c>
      <c r="E451">
        <v>1</v>
      </c>
      <c r="F451" t="str">
        <f>_xlfn.XLOOKUP(B451,Employee_Master!A:A,Employee_Master!E:E,"Not Found")</f>
        <v>IT</v>
      </c>
      <c r="G451" t="s">
        <v>385</v>
      </c>
      <c r="H451">
        <f t="shared" si="14"/>
        <v>2.3403141361256545</v>
      </c>
      <c r="I451">
        <f t="shared" si="15"/>
        <v>61.458333333333336</v>
      </c>
    </row>
    <row r="452" spans="1:9">
      <c r="A452">
        <v>451</v>
      </c>
      <c r="B452">
        <v>206</v>
      </c>
      <c r="C452" s="1">
        <v>45965</v>
      </c>
      <c r="D452" t="s">
        <v>383</v>
      </c>
      <c r="E452">
        <v>3</v>
      </c>
      <c r="F452" t="str">
        <f>_xlfn.XLOOKUP(B452,Employee_Master!A:A,Employee_Master!E:E,"Not Found")</f>
        <v>IT</v>
      </c>
      <c r="G452" t="s">
        <v>381</v>
      </c>
      <c r="H452">
        <f t="shared" si="14"/>
        <v>2.3473684210526318</v>
      </c>
      <c r="I452">
        <f t="shared" si="15"/>
        <v>61.780104712041883</v>
      </c>
    </row>
    <row r="453" spans="1:9">
      <c r="A453">
        <v>452</v>
      </c>
      <c r="B453">
        <v>207</v>
      </c>
      <c r="C453" s="1">
        <v>46190</v>
      </c>
      <c r="D453" t="s">
        <v>380</v>
      </c>
      <c r="E453">
        <v>1</v>
      </c>
      <c r="F453" t="str">
        <f>_xlfn.XLOOKUP(B453,Employee_Master!A:A,Employee_Master!E:E,"Not Found")</f>
        <v>Finance</v>
      </c>
      <c r="G453" t="s">
        <v>381</v>
      </c>
      <c r="H453">
        <f t="shared" si="14"/>
        <v>2.3439153439153437</v>
      </c>
      <c r="I453">
        <f t="shared" si="15"/>
        <v>62.10526315789474</v>
      </c>
    </row>
    <row r="454" spans="1:9">
      <c r="A454">
        <v>453</v>
      </c>
      <c r="B454">
        <v>207</v>
      </c>
      <c r="C454" s="1">
        <v>46005</v>
      </c>
      <c r="D454" t="s">
        <v>383</v>
      </c>
      <c r="E454">
        <v>1</v>
      </c>
      <c r="F454" t="str">
        <f>_xlfn.XLOOKUP(B454,Employee_Master!A:A,Employee_Master!E:E,"Not Found")</f>
        <v>Finance</v>
      </c>
      <c r="G454" t="s">
        <v>381</v>
      </c>
      <c r="H454">
        <f t="shared" si="14"/>
        <v>2.3510638297872339</v>
      </c>
      <c r="I454">
        <f t="shared" si="15"/>
        <v>61.904761904761905</v>
      </c>
    </row>
    <row r="455" spans="1:9">
      <c r="A455">
        <v>454</v>
      </c>
      <c r="B455">
        <v>208</v>
      </c>
      <c r="C455" s="1">
        <v>46042</v>
      </c>
      <c r="D455" t="s">
        <v>383</v>
      </c>
      <c r="E455">
        <v>1</v>
      </c>
      <c r="F455" t="str">
        <f>_xlfn.XLOOKUP(B455,Employee_Master!A:A,Employee_Master!E:E,"Not Found")</f>
        <v>Marketing</v>
      </c>
      <c r="G455" t="s">
        <v>385</v>
      </c>
      <c r="H455">
        <f t="shared" si="14"/>
        <v>2.358288770053476</v>
      </c>
      <c r="I455">
        <f t="shared" si="15"/>
        <v>61.702127659574465</v>
      </c>
    </row>
    <row r="456" spans="1:9">
      <c r="A456">
        <v>455</v>
      </c>
      <c r="B456">
        <v>208</v>
      </c>
      <c r="C456" s="1">
        <v>46137</v>
      </c>
      <c r="D456" t="s">
        <v>383</v>
      </c>
      <c r="E456">
        <v>4</v>
      </c>
      <c r="F456" t="str">
        <f>_xlfn.XLOOKUP(B456,Employee_Master!A:A,Employee_Master!E:E,"Not Found")</f>
        <v>Marketing</v>
      </c>
      <c r="G456" t="s">
        <v>381</v>
      </c>
      <c r="H456">
        <f t="shared" si="14"/>
        <v>2.3655913978494625</v>
      </c>
      <c r="I456">
        <f t="shared" si="15"/>
        <v>61.497326203208559</v>
      </c>
    </row>
    <row r="457" spans="1:9">
      <c r="A457">
        <v>456</v>
      </c>
      <c r="B457">
        <v>208</v>
      </c>
      <c r="C457" s="1">
        <v>46249</v>
      </c>
      <c r="D457" t="s">
        <v>383</v>
      </c>
      <c r="E457">
        <v>3</v>
      </c>
      <c r="F457" t="str">
        <f>_xlfn.XLOOKUP(B457,Employee_Master!A:A,Employee_Master!E:E,"Not Found")</f>
        <v>Marketing</v>
      </c>
      <c r="G457" t="s">
        <v>381</v>
      </c>
      <c r="H457">
        <f t="shared" si="14"/>
        <v>2.3567567567567567</v>
      </c>
      <c r="I457">
        <f t="shared" si="15"/>
        <v>61.827956989247312</v>
      </c>
    </row>
    <row r="458" spans="1:9">
      <c r="A458">
        <v>457</v>
      </c>
      <c r="B458">
        <v>208</v>
      </c>
      <c r="C458" s="1">
        <v>45957</v>
      </c>
      <c r="D458" t="s">
        <v>384</v>
      </c>
      <c r="E458">
        <v>4</v>
      </c>
      <c r="F458" t="str">
        <f>_xlfn.XLOOKUP(B458,Employee_Master!A:A,Employee_Master!E:E,"Not Found")</f>
        <v>Marketing</v>
      </c>
      <c r="G458" t="s">
        <v>385</v>
      </c>
      <c r="H458">
        <f t="shared" si="14"/>
        <v>2.3532608695652173</v>
      </c>
      <c r="I458">
        <f t="shared" si="15"/>
        <v>61.621621621621628</v>
      </c>
    </row>
    <row r="459" spans="1:9">
      <c r="A459">
        <v>458</v>
      </c>
      <c r="B459">
        <v>209</v>
      </c>
      <c r="C459" s="1">
        <v>46194</v>
      </c>
      <c r="D459" t="s">
        <v>384</v>
      </c>
      <c r="E459">
        <v>1</v>
      </c>
      <c r="F459" t="str">
        <f>_xlfn.XLOOKUP(B459,Employee_Master!A:A,Employee_Master!E:E,"Not Found")</f>
        <v>Sales</v>
      </c>
      <c r="G459" t="s">
        <v>381</v>
      </c>
      <c r="H459">
        <f t="shared" si="14"/>
        <v>2.3442622950819674</v>
      </c>
      <c r="I459">
        <f t="shared" si="15"/>
        <v>61.413043478260867</v>
      </c>
    </row>
    <row r="460" spans="1:9">
      <c r="A460">
        <v>459</v>
      </c>
      <c r="B460">
        <v>209</v>
      </c>
      <c r="C460" s="1">
        <v>46124</v>
      </c>
      <c r="D460" t="s">
        <v>383</v>
      </c>
      <c r="E460">
        <v>4</v>
      </c>
      <c r="F460" t="str">
        <f>_xlfn.XLOOKUP(B460,Employee_Master!A:A,Employee_Master!E:E,"Not Found")</f>
        <v>Sales</v>
      </c>
      <c r="G460" t="s">
        <v>381</v>
      </c>
      <c r="H460">
        <f t="shared" si="14"/>
        <v>2.3516483516483517</v>
      </c>
      <c r="I460">
        <f t="shared" si="15"/>
        <v>61.748633879781423</v>
      </c>
    </row>
    <row r="461" spans="1:9">
      <c r="A461">
        <v>460</v>
      </c>
      <c r="B461">
        <v>209</v>
      </c>
      <c r="C461" s="1">
        <v>46004</v>
      </c>
      <c r="D461" t="s">
        <v>380</v>
      </c>
      <c r="E461">
        <v>2</v>
      </c>
      <c r="F461" t="str">
        <f>_xlfn.XLOOKUP(B461,Employee_Master!A:A,Employee_Master!E:E,"Not Found")</f>
        <v>Sales</v>
      </c>
      <c r="G461" t="s">
        <v>381</v>
      </c>
      <c r="H461">
        <f t="shared" si="14"/>
        <v>2.3425414364640882</v>
      </c>
      <c r="I461">
        <f t="shared" si="15"/>
        <v>61.53846153846154</v>
      </c>
    </row>
    <row r="462" spans="1:9">
      <c r="A462">
        <v>461</v>
      </c>
      <c r="B462">
        <v>210</v>
      </c>
      <c r="C462" s="1">
        <v>46127</v>
      </c>
      <c r="D462" t="s">
        <v>383</v>
      </c>
      <c r="E462">
        <v>4</v>
      </c>
      <c r="F462" t="str">
        <f>_xlfn.XLOOKUP(B462,Employee_Master!A:A,Employee_Master!E:E,"Not Found")</f>
        <v>Operations</v>
      </c>
      <c r="G462" t="s">
        <v>381</v>
      </c>
      <c r="H462">
        <f t="shared" si="14"/>
        <v>2.3444444444444446</v>
      </c>
      <c r="I462">
        <f t="shared" si="15"/>
        <v>61.325966850828728</v>
      </c>
    </row>
    <row r="463" spans="1:9">
      <c r="A463">
        <v>462</v>
      </c>
      <c r="B463">
        <v>210</v>
      </c>
      <c r="C463" s="1">
        <v>45952</v>
      </c>
      <c r="D463" t="s">
        <v>384</v>
      </c>
      <c r="E463">
        <v>3</v>
      </c>
      <c r="F463" t="str">
        <f>_xlfn.XLOOKUP(B463,Employee_Master!A:A,Employee_Master!E:E,"Not Found")</f>
        <v>Operations</v>
      </c>
      <c r="G463" t="s">
        <v>381</v>
      </c>
      <c r="H463">
        <f t="shared" si="14"/>
        <v>2.3351955307262569</v>
      </c>
      <c r="I463">
        <f t="shared" si="15"/>
        <v>61.111111111111114</v>
      </c>
    </row>
    <row r="464" spans="1:9">
      <c r="A464">
        <v>463</v>
      </c>
      <c r="B464">
        <v>210</v>
      </c>
      <c r="C464" s="1">
        <v>45999</v>
      </c>
      <c r="D464" t="s">
        <v>380</v>
      </c>
      <c r="E464">
        <v>4</v>
      </c>
      <c r="F464" t="str">
        <f>_xlfn.XLOOKUP(B464,Employee_Master!A:A,Employee_Master!E:E,"Not Found")</f>
        <v>Operations</v>
      </c>
      <c r="G464" t="s">
        <v>386</v>
      </c>
      <c r="H464">
        <f t="shared" si="14"/>
        <v>2.3314606741573032</v>
      </c>
      <c r="I464">
        <f t="shared" si="15"/>
        <v>60.893854748603346</v>
      </c>
    </row>
    <row r="465" spans="1:9">
      <c r="A465">
        <v>464</v>
      </c>
      <c r="B465">
        <v>210</v>
      </c>
      <c r="C465" s="1">
        <v>46030</v>
      </c>
      <c r="D465" t="s">
        <v>382</v>
      </c>
      <c r="E465">
        <v>2</v>
      </c>
      <c r="F465" t="str">
        <f>_xlfn.XLOOKUP(B465,Employee_Master!A:A,Employee_Master!E:E,"Not Found")</f>
        <v>Operations</v>
      </c>
      <c r="G465" t="s">
        <v>385</v>
      </c>
      <c r="H465">
        <f t="shared" si="14"/>
        <v>2.3220338983050848</v>
      </c>
      <c r="I465">
        <f t="shared" si="15"/>
        <v>60.674157303370791</v>
      </c>
    </row>
    <row r="466" spans="1:9">
      <c r="A466">
        <v>465</v>
      </c>
      <c r="B466">
        <v>211</v>
      </c>
      <c r="C466" s="1">
        <v>46221</v>
      </c>
      <c r="D466" t="s">
        <v>383</v>
      </c>
      <c r="E466">
        <v>2</v>
      </c>
      <c r="F466" t="str">
        <f>_xlfn.XLOOKUP(B466,Employee_Master!A:A,Employee_Master!E:E,"Not Found")</f>
        <v>HR</v>
      </c>
      <c r="G466" t="s">
        <v>381</v>
      </c>
      <c r="H466">
        <f t="shared" si="14"/>
        <v>2.3238636363636362</v>
      </c>
      <c r="I466">
        <f t="shared" si="15"/>
        <v>61.016949152542374</v>
      </c>
    </row>
    <row r="467" spans="1:9">
      <c r="A467">
        <v>466</v>
      </c>
      <c r="B467">
        <v>211</v>
      </c>
      <c r="C467" s="1">
        <v>45964</v>
      </c>
      <c r="D467" t="s">
        <v>380</v>
      </c>
      <c r="E467">
        <v>1</v>
      </c>
      <c r="F467" t="str">
        <f>_xlfn.XLOOKUP(B467,Employee_Master!A:A,Employee_Master!E:E,"Not Found")</f>
        <v>HR</v>
      </c>
      <c r="G467" t="s">
        <v>381</v>
      </c>
      <c r="H467">
        <f t="shared" si="14"/>
        <v>2.3257142857142856</v>
      </c>
      <c r="I467">
        <f t="shared" si="15"/>
        <v>61.363636363636367</v>
      </c>
    </row>
    <row r="468" spans="1:9">
      <c r="A468">
        <v>467</v>
      </c>
      <c r="B468">
        <v>211</v>
      </c>
      <c r="C468" s="1">
        <v>46178</v>
      </c>
      <c r="D468" t="s">
        <v>384</v>
      </c>
      <c r="E468">
        <v>2</v>
      </c>
      <c r="F468" t="str">
        <f>_xlfn.XLOOKUP(B468,Employee_Master!A:A,Employee_Master!E:E,"Not Found")</f>
        <v>HR</v>
      </c>
      <c r="G468" t="s">
        <v>385</v>
      </c>
      <c r="H468">
        <f t="shared" si="14"/>
        <v>2.3333333333333335</v>
      </c>
      <c r="I468">
        <f t="shared" si="15"/>
        <v>61.142857142857146</v>
      </c>
    </row>
    <row r="469" spans="1:9">
      <c r="A469">
        <v>468</v>
      </c>
      <c r="B469">
        <v>211</v>
      </c>
      <c r="C469" s="1">
        <v>46015</v>
      </c>
      <c r="D469" t="s">
        <v>382</v>
      </c>
      <c r="E469">
        <v>1</v>
      </c>
      <c r="F469" t="str">
        <f>_xlfn.XLOOKUP(B469,Employee_Master!A:A,Employee_Master!E:E,"Not Found")</f>
        <v>HR</v>
      </c>
      <c r="G469" t="s">
        <v>381</v>
      </c>
      <c r="H469">
        <f t="shared" si="14"/>
        <v>2.3352601156069364</v>
      </c>
      <c r="I469">
        <f t="shared" si="15"/>
        <v>60.919540229885058</v>
      </c>
    </row>
    <row r="470" spans="1:9">
      <c r="A470">
        <v>469</v>
      </c>
      <c r="B470">
        <v>212</v>
      </c>
      <c r="C470" s="1">
        <v>46106</v>
      </c>
      <c r="D470" t="s">
        <v>383</v>
      </c>
      <c r="E470">
        <v>4</v>
      </c>
      <c r="F470" t="str">
        <f>_xlfn.XLOOKUP(B470,Employee_Master!A:A,Employee_Master!E:E,"Not Found")</f>
        <v>Customer Support</v>
      </c>
      <c r="G470" t="s">
        <v>381</v>
      </c>
      <c r="H470">
        <f t="shared" si="14"/>
        <v>2.3430232558139537</v>
      </c>
      <c r="I470">
        <f t="shared" si="15"/>
        <v>61.271676300578036</v>
      </c>
    </row>
    <row r="471" spans="1:9">
      <c r="A471">
        <v>470</v>
      </c>
      <c r="B471">
        <v>212</v>
      </c>
      <c r="C471" s="1">
        <v>46226</v>
      </c>
      <c r="D471" t="s">
        <v>383</v>
      </c>
      <c r="E471">
        <v>3</v>
      </c>
      <c r="F471" t="str">
        <f>_xlfn.XLOOKUP(B471,Employee_Master!A:A,Employee_Master!E:E,"Not Found")</f>
        <v>Customer Support</v>
      </c>
      <c r="G471" t="s">
        <v>386</v>
      </c>
      <c r="H471">
        <f t="shared" si="14"/>
        <v>2.3333333333333335</v>
      </c>
      <c r="I471">
        <f t="shared" si="15"/>
        <v>61.046511627906973</v>
      </c>
    </row>
    <row r="472" spans="1:9">
      <c r="A472">
        <v>471</v>
      </c>
      <c r="B472">
        <v>212</v>
      </c>
      <c r="C472" s="1">
        <v>46010</v>
      </c>
      <c r="D472" t="s">
        <v>383</v>
      </c>
      <c r="E472">
        <v>2</v>
      </c>
      <c r="F472" t="str">
        <f>_xlfn.XLOOKUP(B472,Employee_Master!A:A,Employee_Master!E:E,"Not Found")</f>
        <v>Customer Support</v>
      </c>
      <c r="G472" t="s">
        <v>381</v>
      </c>
      <c r="H472">
        <f t="shared" si="14"/>
        <v>2.3294117647058825</v>
      </c>
      <c r="I472">
        <f t="shared" si="15"/>
        <v>60.818713450292393</v>
      </c>
    </row>
    <row r="473" spans="1:9">
      <c r="A473">
        <v>472</v>
      </c>
      <c r="B473">
        <v>214</v>
      </c>
      <c r="C473" s="1">
        <v>46178</v>
      </c>
      <c r="D473" t="s">
        <v>383</v>
      </c>
      <c r="E473">
        <v>3</v>
      </c>
      <c r="F473" t="str">
        <f>_xlfn.XLOOKUP(B473,Employee_Master!A:A,Employee_Master!E:E,"Not Found")</f>
        <v>Sales</v>
      </c>
      <c r="G473" t="s">
        <v>386</v>
      </c>
      <c r="H473">
        <f t="shared" si="14"/>
        <v>2.331360946745562</v>
      </c>
      <c r="I473">
        <f t="shared" si="15"/>
        <v>61.176470588235297</v>
      </c>
    </row>
    <row r="474" spans="1:9">
      <c r="A474">
        <v>473</v>
      </c>
      <c r="B474">
        <v>214</v>
      </c>
      <c r="C474" s="1">
        <v>46084</v>
      </c>
      <c r="D474" t="s">
        <v>382</v>
      </c>
      <c r="E474">
        <v>4</v>
      </c>
      <c r="F474" t="str">
        <f>_xlfn.XLOOKUP(B474,Employee_Master!A:A,Employee_Master!E:E,"Not Found")</f>
        <v>Sales</v>
      </c>
      <c r="G474" t="s">
        <v>381</v>
      </c>
      <c r="H474">
        <f t="shared" si="14"/>
        <v>2.3273809523809526</v>
      </c>
      <c r="I474">
        <f t="shared" si="15"/>
        <v>60.946745562130175</v>
      </c>
    </row>
    <row r="475" spans="1:9">
      <c r="A475">
        <v>474</v>
      </c>
      <c r="B475">
        <v>214</v>
      </c>
      <c r="C475" s="1">
        <v>46233</v>
      </c>
      <c r="D475" t="s">
        <v>383</v>
      </c>
      <c r="E475">
        <v>3</v>
      </c>
      <c r="F475" t="str">
        <f>_xlfn.XLOOKUP(B475,Employee_Master!A:A,Employee_Master!E:E,"Not Found")</f>
        <v>Sales</v>
      </c>
      <c r="G475" t="s">
        <v>381</v>
      </c>
      <c r="H475">
        <f t="shared" si="14"/>
        <v>2.317365269461078</v>
      </c>
      <c r="I475">
        <f t="shared" si="15"/>
        <v>61.30952380952381</v>
      </c>
    </row>
    <row r="476" spans="1:9">
      <c r="A476">
        <v>475</v>
      </c>
      <c r="B476">
        <v>215</v>
      </c>
      <c r="C476" s="1">
        <v>46215</v>
      </c>
      <c r="D476" t="s">
        <v>380</v>
      </c>
      <c r="E476">
        <v>2</v>
      </c>
      <c r="F476" t="str">
        <f>_xlfn.XLOOKUP(B476,Employee_Master!A:A,Employee_Master!E:E,"Not Found")</f>
        <v>Customer Support</v>
      </c>
      <c r="G476" t="s">
        <v>381</v>
      </c>
      <c r="H476">
        <f t="shared" si="14"/>
        <v>2.3132530120481927</v>
      </c>
      <c r="I476">
        <f t="shared" si="15"/>
        <v>61.077844311377248</v>
      </c>
    </row>
    <row r="477" spans="1:9">
      <c r="A477">
        <v>476</v>
      </c>
      <c r="B477">
        <v>216</v>
      </c>
      <c r="C477" s="1">
        <v>46009</v>
      </c>
      <c r="D477" t="s">
        <v>384</v>
      </c>
      <c r="E477">
        <v>3</v>
      </c>
      <c r="F477" t="str">
        <f>_xlfn.XLOOKUP(B477,Employee_Master!A:A,Employee_Master!E:E,"Not Found")</f>
        <v>Sales</v>
      </c>
      <c r="G477" t="s">
        <v>385</v>
      </c>
      <c r="H477">
        <f t="shared" si="14"/>
        <v>2.315151515151515</v>
      </c>
      <c r="I477">
        <f t="shared" si="15"/>
        <v>60.843373493975903</v>
      </c>
    </row>
    <row r="478" spans="1:9">
      <c r="A478">
        <v>477</v>
      </c>
      <c r="B478">
        <v>216</v>
      </c>
      <c r="C478" s="1">
        <v>46135</v>
      </c>
      <c r="D478" t="s">
        <v>382</v>
      </c>
      <c r="E478">
        <v>3</v>
      </c>
      <c r="F478" t="str">
        <f>_xlfn.XLOOKUP(B478,Employee_Master!A:A,Employee_Master!E:E,"Not Found")</f>
        <v>Sales</v>
      </c>
      <c r="G478" t="s">
        <v>381</v>
      </c>
      <c r="H478">
        <f t="shared" si="14"/>
        <v>2.3109756097560976</v>
      </c>
      <c r="I478">
        <f t="shared" si="15"/>
        <v>60.606060606060609</v>
      </c>
    </row>
    <row r="479" spans="1:9">
      <c r="A479">
        <v>478</v>
      </c>
      <c r="B479">
        <v>216</v>
      </c>
      <c r="C479" s="1">
        <v>45972</v>
      </c>
      <c r="D479" t="s">
        <v>380</v>
      </c>
      <c r="E479">
        <v>2</v>
      </c>
      <c r="F479" t="str">
        <f>_xlfn.XLOOKUP(B479,Employee_Master!A:A,Employee_Master!E:E,"Not Found")</f>
        <v>Sales</v>
      </c>
      <c r="G479" t="s">
        <v>386</v>
      </c>
      <c r="H479">
        <f t="shared" si="14"/>
        <v>2.3067484662576687</v>
      </c>
      <c r="I479">
        <f t="shared" si="15"/>
        <v>60.975609756097562</v>
      </c>
    </row>
    <row r="480" spans="1:9">
      <c r="A480">
        <v>479</v>
      </c>
      <c r="B480">
        <v>217</v>
      </c>
      <c r="C480" s="1">
        <v>46270</v>
      </c>
      <c r="D480" t="s">
        <v>384</v>
      </c>
      <c r="E480">
        <v>3</v>
      </c>
      <c r="F480" t="str">
        <f>_xlfn.XLOOKUP(B480,Employee_Master!A:A,Employee_Master!E:E,"Not Found")</f>
        <v>HR</v>
      </c>
      <c r="G480" t="s">
        <v>381</v>
      </c>
      <c r="H480">
        <f t="shared" si="14"/>
        <v>2.308641975308642</v>
      </c>
      <c r="I480">
        <f t="shared" si="15"/>
        <v>60.736196319018411</v>
      </c>
    </row>
    <row r="481" spans="1:9">
      <c r="A481">
        <v>480</v>
      </c>
      <c r="B481">
        <v>217</v>
      </c>
      <c r="C481" s="1">
        <v>46154</v>
      </c>
      <c r="D481" t="s">
        <v>382</v>
      </c>
      <c r="E481">
        <v>4</v>
      </c>
      <c r="F481" t="str">
        <f>_xlfn.XLOOKUP(B481,Employee_Master!A:A,Employee_Master!E:E,"Not Found")</f>
        <v>HR</v>
      </c>
      <c r="G481" t="s">
        <v>381</v>
      </c>
      <c r="H481">
        <f t="shared" si="14"/>
        <v>2.3043478260869565</v>
      </c>
      <c r="I481">
        <f t="shared" si="15"/>
        <v>61.111111111111114</v>
      </c>
    </row>
    <row r="482" spans="1:9">
      <c r="A482">
        <v>481</v>
      </c>
      <c r="B482">
        <v>217</v>
      </c>
      <c r="C482" s="1">
        <v>46143</v>
      </c>
      <c r="D482" t="s">
        <v>382</v>
      </c>
      <c r="E482">
        <v>1</v>
      </c>
      <c r="F482" t="str">
        <f>_xlfn.XLOOKUP(B482,Employee_Master!A:A,Employee_Master!E:E,"Not Found")</f>
        <v>HR</v>
      </c>
      <c r="G482" t="s">
        <v>381</v>
      </c>
      <c r="H482">
        <f t="shared" si="14"/>
        <v>2.2937500000000002</v>
      </c>
      <c r="I482">
        <f t="shared" si="15"/>
        <v>60.869565217391312</v>
      </c>
    </row>
    <row r="483" spans="1:9">
      <c r="A483">
        <v>482</v>
      </c>
      <c r="B483">
        <v>218</v>
      </c>
      <c r="C483" s="1">
        <v>45991</v>
      </c>
      <c r="D483" t="s">
        <v>383</v>
      </c>
      <c r="E483">
        <v>2</v>
      </c>
      <c r="F483" t="str">
        <f>_xlfn.XLOOKUP(B483,Employee_Master!A:A,Employee_Master!E:E,"Not Found")</f>
        <v>Finance</v>
      </c>
      <c r="G483" t="s">
        <v>385</v>
      </c>
      <c r="H483">
        <f t="shared" si="14"/>
        <v>2.3018867924528301</v>
      </c>
      <c r="I483">
        <f t="shared" si="15"/>
        <v>60.624999999999993</v>
      </c>
    </row>
    <row r="484" spans="1:9">
      <c r="A484">
        <v>483</v>
      </c>
      <c r="B484">
        <v>218</v>
      </c>
      <c r="C484" s="1">
        <v>46182</v>
      </c>
      <c r="D484" t="s">
        <v>382</v>
      </c>
      <c r="E484">
        <v>2</v>
      </c>
      <c r="F484" t="str">
        <f>_xlfn.XLOOKUP(B484,Employee_Master!A:A,Employee_Master!E:E,"Not Found")</f>
        <v>Finance</v>
      </c>
      <c r="G484" t="s">
        <v>385</v>
      </c>
      <c r="H484">
        <f t="shared" si="14"/>
        <v>2.3037974683544302</v>
      </c>
      <c r="I484">
        <f t="shared" si="15"/>
        <v>60.377358490566039</v>
      </c>
    </row>
    <row r="485" spans="1:9">
      <c r="A485">
        <v>484</v>
      </c>
      <c r="B485">
        <v>219</v>
      </c>
      <c r="C485" s="1">
        <v>46051</v>
      </c>
      <c r="D485" t="s">
        <v>383</v>
      </c>
      <c r="E485">
        <v>2</v>
      </c>
      <c r="F485" t="str">
        <f>_xlfn.XLOOKUP(B485,Employee_Master!A:A,Employee_Master!E:E,"Not Found")</f>
        <v>IT</v>
      </c>
      <c r="G485" t="s">
        <v>386</v>
      </c>
      <c r="H485">
        <f t="shared" si="14"/>
        <v>2.3057324840764331</v>
      </c>
      <c r="I485">
        <f t="shared" si="15"/>
        <v>60.75949367088608</v>
      </c>
    </row>
    <row r="486" spans="1:9">
      <c r="A486">
        <v>485</v>
      </c>
      <c r="B486">
        <v>219</v>
      </c>
      <c r="C486" s="1">
        <v>46015</v>
      </c>
      <c r="D486" t="s">
        <v>383</v>
      </c>
      <c r="E486">
        <v>2</v>
      </c>
      <c r="F486" t="str">
        <f>_xlfn.XLOOKUP(B486,Employee_Master!A:A,Employee_Master!E:E,"Not Found")</f>
        <v>IT</v>
      </c>
      <c r="G486" t="s">
        <v>386</v>
      </c>
      <c r="H486">
        <f t="shared" si="14"/>
        <v>2.3076923076923075</v>
      </c>
      <c r="I486">
        <f t="shared" si="15"/>
        <v>61.146496815286625</v>
      </c>
    </row>
    <row r="487" spans="1:9">
      <c r="A487">
        <v>486</v>
      </c>
      <c r="B487">
        <v>219</v>
      </c>
      <c r="C487" s="1">
        <v>46098</v>
      </c>
      <c r="D487" t="s">
        <v>382</v>
      </c>
      <c r="E487">
        <v>1</v>
      </c>
      <c r="F487" t="str">
        <f>_xlfn.XLOOKUP(B487,Employee_Master!A:A,Employee_Master!E:E,"Not Found")</f>
        <v>IT</v>
      </c>
      <c r="G487" t="s">
        <v>381</v>
      </c>
      <c r="H487">
        <f t="shared" si="14"/>
        <v>2.3096774193548386</v>
      </c>
      <c r="I487">
        <f t="shared" si="15"/>
        <v>61.53846153846154</v>
      </c>
    </row>
    <row r="488" spans="1:9">
      <c r="A488">
        <v>487</v>
      </c>
      <c r="B488">
        <v>223</v>
      </c>
      <c r="C488" s="1">
        <v>46207</v>
      </c>
      <c r="D488" t="s">
        <v>382</v>
      </c>
      <c r="E488">
        <v>4</v>
      </c>
      <c r="F488" t="str">
        <f>_xlfn.XLOOKUP(B488,Employee_Master!A:A,Employee_Master!E:E,"Not Found")</f>
        <v>Finance</v>
      </c>
      <c r="G488" t="s">
        <v>381</v>
      </c>
      <c r="H488">
        <f t="shared" si="14"/>
        <v>2.3181818181818183</v>
      </c>
      <c r="I488">
        <f t="shared" si="15"/>
        <v>61.935483870967744</v>
      </c>
    </row>
    <row r="489" spans="1:9">
      <c r="A489">
        <v>488</v>
      </c>
      <c r="B489">
        <v>224</v>
      </c>
      <c r="C489" s="1">
        <v>45957</v>
      </c>
      <c r="D489" t="s">
        <v>384</v>
      </c>
      <c r="E489">
        <v>4</v>
      </c>
      <c r="F489" t="str">
        <f>_xlfn.XLOOKUP(B489,Employee_Master!A:A,Employee_Master!E:E,"Not Found")</f>
        <v>HR</v>
      </c>
      <c r="G489" t="s">
        <v>381</v>
      </c>
      <c r="H489">
        <f t="shared" si="14"/>
        <v>2.3071895424836599</v>
      </c>
      <c r="I489">
        <f t="shared" si="15"/>
        <v>61.688311688311693</v>
      </c>
    </row>
    <row r="490" spans="1:9">
      <c r="A490">
        <v>489</v>
      </c>
      <c r="B490">
        <v>226</v>
      </c>
      <c r="C490" s="1">
        <v>46080</v>
      </c>
      <c r="D490" t="s">
        <v>383</v>
      </c>
      <c r="E490">
        <v>3</v>
      </c>
      <c r="F490" t="str">
        <f>_xlfn.XLOOKUP(B490,Employee_Master!A:A,Employee_Master!E:E,"Not Found")</f>
        <v>HR</v>
      </c>
      <c r="G490" t="s">
        <v>386</v>
      </c>
      <c r="H490">
        <f t="shared" si="14"/>
        <v>2.2960526315789473</v>
      </c>
      <c r="I490">
        <f t="shared" si="15"/>
        <v>61.437908496732028</v>
      </c>
    </row>
    <row r="491" spans="1:9">
      <c r="A491">
        <v>490</v>
      </c>
      <c r="B491">
        <v>229</v>
      </c>
      <c r="C491" s="1">
        <v>46089</v>
      </c>
      <c r="D491" t="s">
        <v>383</v>
      </c>
      <c r="E491">
        <v>1</v>
      </c>
      <c r="F491" t="str">
        <f>_xlfn.XLOOKUP(B491,Employee_Master!A:A,Employee_Master!E:E,"Not Found")</f>
        <v>Operations</v>
      </c>
      <c r="G491" t="s">
        <v>381</v>
      </c>
      <c r="H491">
        <f t="shared" si="14"/>
        <v>2.2913907284768213</v>
      </c>
      <c r="I491">
        <f t="shared" si="15"/>
        <v>61.184210526315788</v>
      </c>
    </row>
    <row r="492" spans="1:9">
      <c r="A492">
        <v>491</v>
      </c>
      <c r="B492">
        <v>230</v>
      </c>
      <c r="C492" s="1">
        <v>45973</v>
      </c>
      <c r="D492" t="s">
        <v>384</v>
      </c>
      <c r="E492">
        <v>1</v>
      </c>
      <c r="F492" t="str">
        <f>_xlfn.XLOOKUP(B492,Employee_Master!A:A,Employee_Master!E:E,"Not Found")</f>
        <v>Sales</v>
      </c>
      <c r="G492" t="s">
        <v>381</v>
      </c>
      <c r="H492">
        <f t="shared" si="14"/>
        <v>2.2999999999999998</v>
      </c>
      <c r="I492">
        <f t="shared" si="15"/>
        <v>61.589403973509938</v>
      </c>
    </row>
    <row r="493" spans="1:9">
      <c r="A493">
        <v>492</v>
      </c>
      <c r="B493">
        <v>230</v>
      </c>
      <c r="C493" s="1">
        <v>46018</v>
      </c>
      <c r="D493" t="s">
        <v>382</v>
      </c>
      <c r="E493">
        <v>4</v>
      </c>
      <c r="F493" t="str">
        <f>_xlfn.XLOOKUP(B493,Employee_Master!A:A,Employee_Master!E:E,"Not Found")</f>
        <v>Sales</v>
      </c>
      <c r="G493" t="s">
        <v>381</v>
      </c>
      <c r="H493">
        <f t="shared" si="14"/>
        <v>2.3087248322147653</v>
      </c>
      <c r="I493">
        <f t="shared" si="15"/>
        <v>61.333333333333329</v>
      </c>
    </row>
    <row r="494" spans="1:9">
      <c r="A494">
        <v>493</v>
      </c>
      <c r="B494">
        <v>230</v>
      </c>
      <c r="C494" s="1">
        <v>46067</v>
      </c>
      <c r="D494" t="s">
        <v>383</v>
      </c>
      <c r="E494">
        <v>1</v>
      </c>
      <c r="F494" t="str">
        <f>_xlfn.XLOOKUP(B494,Employee_Master!A:A,Employee_Master!E:E,"Not Found")</f>
        <v>Sales</v>
      </c>
      <c r="G494" t="s">
        <v>386</v>
      </c>
      <c r="H494">
        <f t="shared" si="14"/>
        <v>2.2972972972972974</v>
      </c>
      <c r="I494">
        <f t="shared" si="15"/>
        <v>61.073825503355707</v>
      </c>
    </row>
    <row r="495" spans="1:9">
      <c r="A495">
        <v>494</v>
      </c>
      <c r="B495">
        <v>230</v>
      </c>
      <c r="C495" s="1">
        <v>46076</v>
      </c>
      <c r="D495" t="s">
        <v>380</v>
      </c>
      <c r="E495">
        <v>1</v>
      </c>
      <c r="F495" t="str">
        <f>_xlfn.XLOOKUP(B495,Employee_Master!A:A,Employee_Master!E:E,"Not Found")</f>
        <v>Sales</v>
      </c>
      <c r="G495" t="s">
        <v>385</v>
      </c>
      <c r="H495">
        <f t="shared" si="14"/>
        <v>2.306122448979592</v>
      </c>
      <c r="I495">
        <f t="shared" si="15"/>
        <v>60.810810810810814</v>
      </c>
    </row>
    <row r="496" spans="1:9">
      <c r="A496">
        <v>495</v>
      </c>
      <c r="B496">
        <v>231</v>
      </c>
      <c r="C496" s="1">
        <v>46064</v>
      </c>
      <c r="D496" t="s">
        <v>380</v>
      </c>
      <c r="E496">
        <v>1</v>
      </c>
      <c r="F496" t="str">
        <f>_xlfn.XLOOKUP(B496,Employee_Master!A:A,Employee_Master!E:E,"Not Found")</f>
        <v>HR</v>
      </c>
      <c r="G496" t="s">
        <v>385</v>
      </c>
      <c r="H496">
        <f t="shared" si="14"/>
        <v>2.3150684931506849</v>
      </c>
      <c r="I496">
        <f t="shared" si="15"/>
        <v>61.224489795918366</v>
      </c>
    </row>
    <row r="497" spans="1:9">
      <c r="A497">
        <v>496</v>
      </c>
      <c r="B497">
        <v>231</v>
      </c>
      <c r="C497" s="1">
        <v>46241</v>
      </c>
      <c r="D497" t="s">
        <v>380</v>
      </c>
      <c r="E497">
        <v>3</v>
      </c>
      <c r="F497" t="str">
        <f>_xlfn.XLOOKUP(B497,Employee_Master!A:A,Employee_Master!E:E,"Not Found")</f>
        <v>HR</v>
      </c>
      <c r="G497" t="s">
        <v>381</v>
      </c>
      <c r="H497">
        <f t="shared" si="14"/>
        <v>2.3241379310344827</v>
      </c>
      <c r="I497">
        <f t="shared" si="15"/>
        <v>61.643835616438359</v>
      </c>
    </row>
    <row r="498" spans="1:9">
      <c r="A498">
        <v>497</v>
      </c>
      <c r="B498">
        <v>231</v>
      </c>
      <c r="C498" s="1">
        <v>46132</v>
      </c>
      <c r="D498" t="s">
        <v>383</v>
      </c>
      <c r="E498">
        <v>2</v>
      </c>
      <c r="F498" t="str">
        <f>_xlfn.XLOOKUP(B498,Employee_Master!A:A,Employee_Master!E:E,"Not Found")</f>
        <v>HR</v>
      </c>
      <c r="G498" t="s">
        <v>385</v>
      </c>
      <c r="H498">
        <f t="shared" si="14"/>
        <v>2.3194444444444446</v>
      </c>
      <c r="I498">
        <f t="shared" si="15"/>
        <v>62.068965517241381</v>
      </c>
    </row>
    <row r="499" spans="1:9">
      <c r="A499">
        <v>498</v>
      </c>
      <c r="B499">
        <v>231</v>
      </c>
      <c r="C499" s="1">
        <v>46162</v>
      </c>
      <c r="D499" t="s">
        <v>383</v>
      </c>
      <c r="E499">
        <v>3</v>
      </c>
      <c r="F499" t="str">
        <f>_xlfn.XLOOKUP(B499,Employee_Master!A:A,Employee_Master!E:E,"Not Found")</f>
        <v>HR</v>
      </c>
      <c r="G499" t="s">
        <v>381</v>
      </c>
      <c r="H499">
        <f t="shared" si="14"/>
        <v>2.3216783216783217</v>
      </c>
      <c r="I499">
        <f t="shared" si="15"/>
        <v>61.805555555555557</v>
      </c>
    </row>
    <row r="500" spans="1:9">
      <c r="A500">
        <v>499</v>
      </c>
      <c r="B500">
        <v>232</v>
      </c>
      <c r="C500" s="1">
        <v>46145</v>
      </c>
      <c r="D500" t="s">
        <v>380</v>
      </c>
      <c r="E500">
        <v>3</v>
      </c>
      <c r="F500" t="str">
        <f>_xlfn.XLOOKUP(B500,Employee_Master!A:A,Employee_Master!E:E,"Not Found")</f>
        <v>HR</v>
      </c>
      <c r="G500" t="s">
        <v>381</v>
      </c>
      <c r="H500">
        <f t="shared" si="14"/>
        <v>2.316901408450704</v>
      </c>
      <c r="I500">
        <f t="shared" si="15"/>
        <v>62.23776223776224</v>
      </c>
    </row>
    <row r="501" spans="1:9">
      <c r="A501">
        <v>500</v>
      </c>
      <c r="B501">
        <v>232</v>
      </c>
      <c r="C501" s="1">
        <v>46038</v>
      </c>
      <c r="D501" t="s">
        <v>380</v>
      </c>
      <c r="E501">
        <v>4</v>
      </c>
      <c r="F501" t="str">
        <f>_xlfn.XLOOKUP(B501,Employee_Master!A:A,Employee_Master!E:E,"Not Found")</f>
        <v>HR</v>
      </c>
      <c r="G501" t="s">
        <v>381</v>
      </c>
      <c r="H501">
        <f t="shared" si="14"/>
        <v>2.3120567375886525</v>
      </c>
      <c r="I501">
        <f t="shared" si="15"/>
        <v>61.971830985915489</v>
      </c>
    </row>
    <row r="502" spans="1:9">
      <c r="A502">
        <v>501</v>
      </c>
      <c r="B502">
        <v>232</v>
      </c>
      <c r="C502" s="1">
        <v>46291</v>
      </c>
      <c r="D502" t="s">
        <v>380</v>
      </c>
      <c r="E502">
        <v>1</v>
      </c>
      <c r="F502" t="str">
        <f>_xlfn.XLOOKUP(B502,Employee_Master!A:A,Employee_Master!E:E,"Not Found")</f>
        <v>HR</v>
      </c>
      <c r="G502" t="s">
        <v>381</v>
      </c>
      <c r="H502">
        <f t="shared" si="14"/>
        <v>2.2999999999999998</v>
      </c>
      <c r="I502">
        <f t="shared" si="15"/>
        <v>61.702127659574465</v>
      </c>
    </row>
    <row r="503" spans="1:9">
      <c r="A503">
        <v>502</v>
      </c>
      <c r="B503">
        <v>234</v>
      </c>
      <c r="C503" s="1">
        <v>45991</v>
      </c>
      <c r="D503" t="s">
        <v>380</v>
      </c>
      <c r="E503">
        <v>1</v>
      </c>
      <c r="F503" t="str">
        <f>_xlfn.XLOOKUP(B503,Employee_Master!A:A,Employee_Master!E:E,"Not Found")</f>
        <v>HR</v>
      </c>
      <c r="G503" t="s">
        <v>385</v>
      </c>
      <c r="H503">
        <f t="shared" si="14"/>
        <v>2.3093525179856114</v>
      </c>
      <c r="I503">
        <f t="shared" si="15"/>
        <v>61.428571428571431</v>
      </c>
    </row>
    <row r="504" spans="1:9">
      <c r="A504">
        <v>503</v>
      </c>
      <c r="B504">
        <v>234</v>
      </c>
      <c r="C504" s="1">
        <v>45995</v>
      </c>
      <c r="D504" t="s">
        <v>380</v>
      </c>
      <c r="E504">
        <v>1</v>
      </c>
      <c r="F504" t="str">
        <f>_xlfn.XLOOKUP(B504,Employee_Master!A:A,Employee_Master!E:E,"Not Found")</f>
        <v>HR</v>
      </c>
      <c r="G504" t="s">
        <v>381</v>
      </c>
      <c r="H504">
        <f t="shared" si="14"/>
        <v>2.318840579710145</v>
      </c>
      <c r="I504">
        <f t="shared" si="15"/>
        <v>61.151079136690647</v>
      </c>
    </row>
    <row r="505" spans="1:9">
      <c r="A505">
        <v>504</v>
      </c>
      <c r="B505">
        <v>234</v>
      </c>
      <c r="C505" s="1">
        <v>46101</v>
      </c>
      <c r="D505" t="s">
        <v>383</v>
      </c>
      <c r="E505">
        <v>2</v>
      </c>
      <c r="F505" t="str">
        <f>_xlfn.XLOOKUP(B505,Employee_Master!A:A,Employee_Master!E:E,"Not Found")</f>
        <v>HR</v>
      </c>
      <c r="G505" t="s">
        <v>385</v>
      </c>
      <c r="H505">
        <f t="shared" si="14"/>
        <v>2.3284671532846715</v>
      </c>
      <c r="I505">
        <f t="shared" si="15"/>
        <v>61.594202898550719</v>
      </c>
    </row>
    <row r="506" spans="1:9">
      <c r="A506">
        <v>505</v>
      </c>
      <c r="B506">
        <v>234</v>
      </c>
      <c r="C506" s="1">
        <v>46153</v>
      </c>
      <c r="D506" t="s">
        <v>382</v>
      </c>
      <c r="E506">
        <v>1</v>
      </c>
      <c r="F506" t="str">
        <f>_xlfn.XLOOKUP(B506,Employee_Master!A:A,Employee_Master!E:E,"Not Found")</f>
        <v>HR</v>
      </c>
      <c r="G506" t="s">
        <v>386</v>
      </c>
      <c r="H506">
        <f t="shared" si="14"/>
        <v>2.3308823529411766</v>
      </c>
      <c r="I506">
        <f t="shared" si="15"/>
        <v>61.313868613138688</v>
      </c>
    </row>
    <row r="507" spans="1:9">
      <c r="A507">
        <v>506</v>
      </c>
      <c r="B507">
        <v>235</v>
      </c>
      <c r="C507" s="1">
        <v>46085</v>
      </c>
      <c r="D507" t="s">
        <v>380</v>
      </c>
      <c r="E507">
        <v>4</v>
      </c>
      <c r="F507" t="str">
        <f>_xlfn.XLOOKUP(B507,Employee_Master!A:A,Employee_Master!E:E,"Not Found")</f>
        <v>Customer Support</v>
      </c>
      <c r="G507" t="s">
        <v>381</v>
      </c>
      <c r="H507">
        <f t="shared" si="14"/>
        <v>2.3407407407407406</v>
      </c>
      <c r="I507">
        <f t="shared" si="15"/>
        <v>61.764705882352942</v>
      </c>
    </row>
    <row r="508" spans="1:9">
      <c r="A508">
        <v>507</v>
      </c>
      <c r="B508">
        <v>235</v>
      </c>
      <c r="C508" s="1">
        <v>46117</v>
      </c>
      <c r="D508" t="s">
        <v>380</v>
      </c>
      <c r="E508">
        <v>4</v>
      </c>
      <c r="F508" t="str">
        <f>_xlfn.XLOOKUP(B508,Employee_Master!A:A,Employee_Master!E:E,"Not Found")</f>
        <v>Customer Support</v>
      </c>
      <c r="G508" t="s">
        <v>381</v>
      </c>
      <c r="H508">
        <f t="shared" si="14"/>
        <v>2.3283582089552239</v>
      </c>
      <c r="I508">
        <f t="shared" si="15"/>
        <v>62.222222222222221</v>
      </c>
    </row>
    <row r="509" spans="1:9">
      <c r="A509">
        <v>508</v>
      </c>
      <c r="B509">
        <v>235</v>
      </c>
      <c r="C509" s="1">
        <v>46107</v>
      </c>
      <c r="D509" t="s">
        <v>384</v>
      </c>
      <c r="E509">
        <v>1</v>
      </c>
      <c r="F509" t="str">
        <f>_xlfn.XLOOKUP(B509,Employee_Master!A:A,Employee_Master!E:E,"Not Found")</f>
        <v>Customer Support</v>
      </c>
      <c r="G509" t="s">
        <v>381</v>
      </c>
      <c r="H509">
        <f t="shared" si="14"/>
        <v>2.3157894736842106</v>
      </c>
      <c r="I509">
        <f t="shared" si="15"/>
        <v>61.940298507462686</v>
      </c>
    </row>
    <row r="510" spans="1:9">
      <c r="A510">
        <v>509</v>
      </c>
      <c r="B510">
        <v>235</v>
      </c>
      <c r="C510" s="1">
        <v>46060</v>
      </c>
      <c r="D510" t="s">
        <v>382</v>
      </c>
      <c r="E510">
        <v>2</v>
      </c>
      <c r="F510" t="str">
        <f>_xlfn.XLOOKUP(B510,Employee_Master!A:A,Employee_Master!E:E,"Not Found")</f>
        <v>Customer Support</v>
      </c>
      <c r="G510" t="s">
        <v>385</v>
      </c>
      <c r="H510">
        <f t="shared" si="14"/>
        <v>2.3257575757575757</v>
      </c>
      <c r="I510">
        <f t="shared" si="15"/>
        <v>61.65413533834586</v>
      </c>
    </row>
    <row r="511" spans="1:9">
      <c r="A511">
        <v>510</v>
      </c>
      <c r="B511">
        <v>236</v>
      </c>
      <c r="C511" s="1">
        <v>46268</v>
      </c>
      <c r="D511" t="s">
        <v>382</v>
      </c>
      <c r="E511">
        <v>3</v>
      </c>
      <c r="F511" t="str">
        <f>_xlfn.XLOOKUP(B511,Employee_Master!A:A,Employee_Master!E:E,"Not Found")</f>
        <v>IT</v>
      </c>
      <c r="G511" t="s">
        <v>385</v>
      </c>
      <c r="H511">
        <f t="shared" si="14"/>
        <v>2.3282442748091605</v>
      </c>
      <c r="I511">
        <f t="shared" si="15"/>
        <v>61.363636363636367</v>
      </c>
    </row>
    <row r="512" spans="1:9">
      <c r="A512">
        <v>511</v>
      </c>
      <c r="B512">
        <v>236</v>
      </c>
      <c r="C512" s="1">
        <v>45999</v>
      </c>
      <c r="D512" t="s">
        <v>383</v>
      </c>
      <c r="E512">
        <v>4</v>
      </c>
      <c r="F512" t="str">
        <f>_xlfn.XLOOKUP(B512,Employee_Master!A:A,Employee_Master!E:E,"Not Found")</f>
        <v>IT</v>
      </c>
      <c r="G512" t="s">
        <v>381</v>
      </c>
      <c r="H512">
        <f t="shared" si="14"/>
        <v>2.3230769230769233</v>
      </c>
      <c r="I512">
        <f t="shared" si="15"/>
        <v>61.832061068702295</v>
      </c>
    </row>
    <row r="513" spans="1:9">
      <c r="A513">
        <v>512</v>
      </c>
      <c r="B513">
        <v>236</v>
      </c>
      <c r="C513" s="1">
        <v>46221</v>
      </c>
      <c r="D513" t="s">
        <v>380</v>
      </c>
      <c r="E513">
        <v>1</v>
      </c>
      <c r="F513" t="str">
        <f>_xlfn.XLOOKUP(B513,Employee_Master!A:A,Employee_Master!E:E,"Not Found")</f>
        <v>IT</v>
      </c>
      <c r="G513" t="s">
        <v>381</v>
      </c>
      <c r="H513">
        <f t="shared" si="14"/>
        <v>2.3100775193798451</v>
      </c>
      <c r="I513">
        <f t="shared" si="15"/>
        <v>62.307692307692307</v>
      </c>
    </row>
    <row r="514" spans="1:9">
      <c r="A514">
        <v>513</v>
      </c>
      <c r="B514">
        <v>237</v>
      </c>
      <c r="C514" s="1">
        <v>46143</v>
      </c>
      <c r="D514" t="s">
        <v>384</v>
      </c>
      <c r="E514">
        <v>4</v>
      </c>
      <c r="F514" t="str">
        <f>_xlfn.XLOOKUP(B514,Employee_Master!A:A,Employee_Master!E:E,"Not Found")</f>
        <v>Sales</v>
      </c>
      <c r="G514" t="s">
        <v>381</v>
      </c>
      <c r="H514">
        <f t="shared" ref="H514:H577" si="16">AVERAGE(E514:E1153)</f>
        <v>2.3203125</v>
      </c>
      <c r="I514">
        <f t="shared" ref="I514:I577" si="17">COUNTIF(G513:G1152,"Approved")/COUNTA(G513:G1152)*100</f>
        <v>62.015503875968989</v>
      </c>
    </row>
    <row r="515" spans="1:9">
      <c r="A515">
        <v>514</v>
      </c>
      <c r="B515">
        <v>237</v>
      </c>
      <c r="C515" s="1">
        <v>46006</v>
      </c>
      <c r="D515" t="s">
        <v>384</v>
      </c>
      <c r="E515">
        <v>2</v>
      </c>
      <c r="F515" t="str">
        <f>_xlfn.XLOOKUP(B515,Employee_Master!A:A,Employee_Master!E:E,"Not Found")</f>
        <v>Sales</v>
      </c>
      <c r="G515" t="s">
        <v>381</v>
      </c>
      <c r="H515">
        <f t="shared" si="16"/>
        <v>2.3070866141732282</v>
      </c>
      <c r="I515">
        <f t="shared" si="17"/>
        <v>61.71875</v>
      </c>
    </row>
    <row r="516" spans="1:9">
      <c r="A516">
        <v>515</v>
      </c>
      <c r="B516">
        <v>238</v>
      </c>
      <c r="C516" s="1">
        <v>46240</v>
      </c>
      <c r="D516" t="s">
        <v>382</v>
      </c>
      <c r="E516">
        <v>3</v>
      </c>
      <c r="F516" t="str">
        <f>_xlfn.XLOOKUP(B516,Employee_Master!A:A,Employee_Master!E:E,"Not Found")</f>
        <v>Marketing</v>
      </c>
      <c r="G516" t="s">
        <v>381</v>
      </c>
      <c r="H516">
        <f t="shared" si="16"/>
        <v>2.3095238095238093</v>
      </c>
      <c r="I516">
        <f t="shared" si="17"/>
        <v>61.417322834645674</v>
      </c>
    </row>
    <row r="517" spans="1:9">
      <c r="A517">
        <v>516</v>
      </c>
      <c r="B517">
        <v>238</v>
      </c>
      <c r="C517" s="1">
        <v>46023</v>
      </c>
      <c r="D517" t="s">
        <v>382</v>
      </c>
      <c r="E517">
        <v>1</v>
      </c>
      <c r="F517" t="str">
        <f>_xlfn.XLOOKUP(B517,Employee_Master!A:A,Employee_Master!E:E,"Not Found")</f>
        <v>Marketing</v>
      </c>
      <c r="G517" t="s">
        <v>381</v>
      </c>
      <c r="H517">
        <f t="shared" si="16"/>
        <v>2.3039999999999998</v>
      </c>
      <c r="I517">
        <f t="shared" si="17"/>
        <v>61.111111111111114</v>
      </c>
    </row>
    <row r="518" spans="1:9">
      <c r="A518">
        <v>517</v>
      </c>
      <c r="B518">
        <v>238</v>
      </c>
      <c r="C518" s="1">
        <v>46254</v>
      </c>
      <c r="D518" t="s">
        <v>383</v>
      </c>
      <c r="E518">
        <v>3</v>
      </c>
      <c r="F518" t="str">
        <f>_xlfn.XLOOKUP(B518,Employee_Master!A:A,Employee_Master!E:E,"Not Found")</f>
        <v>Marketing</v>
      </c>
      <c r="G518" t="s">
        <v>386</v>
      </c>
      <c r="H518">
        <f t="shared" si="16"/>
        <v>2.314516129032258</v>
      </c>
      <c r="I518">
        <f t="shared" si="17"/>
        <v>60.8</v>
      </c>
    </row>
    <row r="519" spans="1:9">
      <c r="A519">
        <v>518</v>
      </c>
      <c r="B519">
        <v>238</v>
      </c>
      <c r="C519" s="1">
        <v>46121</v>
      </c>
      <c r="D519" t="s">
        <v>383</v>
      </c>
      <c r="E519">
        <v>1</v>
      </c>
      <c r="F519" t="str">
        <f>_xlfn.XLOOKUP(B519,Employee_Master!A:A,Employee_Master!E:E,"Not Found")</f>
        <v>Marketing</v>
      </c>
      <c r="G519" t="s">
        <v>381</v>
      </c>
      <c r="H519">
        <f t="shared" si="16"/>
        <v>2.3089430894308944</v>
      </c>
      <c r="I519">
        <f t="shared" si="17"/>
        <v>60.483870967741936</v>
      </c>
    </row>
    <row r="520" spans="1:9">
      <c r="A520">
        <v>519</v>
      </c>
      <c r="B520">
        <v>239</v>
      </c>
      <c r="C520" s="1">
        <v>46187</v>
      </c>
      <c r="D520" t="s">
        <v>380</v>
      </c>
      <c r="E520">
        <v>2</v>
      </c>
      <c r="F520" t="str">
        <f>_xlfn.XLOOKUP(B520,Employee_Master!A:A,Employee_Master!E:E,"Not Found")</f>
        <v>IT</v>
      </c>
      <c r="G520" t="s">
        <v>381</v>
      </c>
      <c r="H520">
        <f t="shared" si="16"/>
        <v>2.319672131147541</v>
      </c>
      <c r="I520">
        <f t="shared" si="17"/>
        <v>60.975609756097562</v>
      </c>
    </row>
    <row r="521" spans="1:9">
      <c r="A521">
        <v>520</v>
      </c>
      <c r="B521">
        <v>239</v>
      </c>
      <c r="C521" s="1">
        <v>46101</v>
      </c>
      <c r="D521" t="s">
        <v>383</v>
      </c>
      <c r="E521">
        <v>4</v>
      </c>
      <c r="F521" t="str">
        <f>_xlfn.XLOOKUP(B521,Employee_Master!A:A,Employee_Master!E:E,"Not Found")</f>
        <v>IT</v>
      </c>
      <c r="G521" t="s">
        <v>386</v>
      </c>
      <c r="H521">
        <f t="shared" si="16"/>
        <v>2.3223140495867769</v>
      </c>
      <c r="I521">
        <f t="shared" si="17"/>
        <v>60.655737704918032</v>
      </c>
    </row>
    <row r="522" spans="1:9">
      <c r="A522">
        <v>521</v>
      </c>
      <c r="B522">
        <v>239</v>
      </c>
      <c r="C522" s="1">
        <v>46233</v>
      </c>
      <c r="D522" t="s">
        <v>380</v>
      </c>
      <c r="E522">
        <v>4</v>
      </c>
      <c r="F522" t="str">
        <f>_xlfn.XLOOKUP(B522,Employee_Master!A:A,Employee_Master!E:E,"Not Found")</f>
        <v>IT</v>
      </c>
      <c r="G522" t="s">
        <v>381</v>
      </c>
      <c r="H522">
        <f t="shared" si="16"/>
        <v>2.3083333333333331</v>
      </c>
      <c r="I522">
        <f t="shared" si="17"/>
        <v>60.330578512396691</v>
      </c>
    </row>
    <row r="523" spans="1:9">
      <c r="A523">
        <v>522</v>
      </c>
      <c r="B523">
        <v>240</v>
      </c>
      <c r="C523" s="1">
        <v>46233</v>
      </c>
      <c r="D523" t="s">
        <v>383</v>
      </c>
      <c r="E523">
        <v>4</v>
      </c>
      <c r="F523" t="str">
        <f>_xlfn.XLOOKUP(B523,Employee_Master!A:A,Employee_Master!E:E,"Not Found")</f>
        <v>Finance</v>
      </c>
      <c r="G523" t="s">
        <v>381</v>
      </c>
      <c r="H523">
        <f t="shared" si="16"/>
        <v>2.2941176470588234</v>
      </c>
      <c r="I523">
        <f t="shared" si="17"/>
        <v>60.833333333333329</v>
      </c>
    </row>
    <row r="524" spans="1:9">
      <c r="A524">
        <v>523</v>
      </c>
      <c r="B524">
        <v>240</v>
      </c>
      <c r="C524" s="1">
        <v>46076</v>
      </c>
      <c r="D524" t="s">
        <v>383</v>
      </c>
      <c r="E524">
        <v>1</v>
      </c>
      <c r="F524" t="str">
        <f>_xlfn.XLOOKUP(B524,Employee_Master!A:A,Employee_Master!E:E,"Not Found")</f>
        <v>Finance</v>
      </c>
      <c r="G524" t="s">
        <v>385</v>
      </c>
      <c r="H524">
        <f t="shared" si="16"/>
        <v>2.2796610169491527</v>
      </c>
      <c r="I524">
        <f t="shared" si="17"/>
        <v>60.504201680672267</v>
      </c>
    </row>
    <row r="525" spans="1:9">
      <c r="A525">
        <v>524</v>
      </c>
      <c r="B525">
        <v>240</v>
      </c>
      <c r="C525" s="1">
        <v>46232</v>
      </c>
      <c r="D525" t="s">
        <v>384</v>
      </c>
      <c r="E525">
        <v>4</v>
      </c>
      <c r="F525" t="str">
        <f>_xlfn.XLOOKUP(B525,Employee_Master!A:A,Employee_Master!E:E,"Not Found")</f>
        <v>Finance</v>
      </c>
      <c r="G525" t="s">
        <v>385</v>
      </c>
      <c r="H525">
        <f t="shared" si="16"/>
        <v>2.2905982905982905</v>
      </c>
      <c r="I525">
        <f t="shared" si="17"/>
        <v>60.169491525423723</v>
      </c>
    </row>
    <row r="526" spans="1:9">
      <c r="A526">
        <v>525</v>
      </c>
      <c r="B526">
        <v>241</v>
      </c>
      <c r="C526" s="1">
        <v>46242</v>
      </c>
      <c r="D526" t="s">
        <v>380</v>
      </c>
      <c r="E526">
        <v>3</v>
      </c>
      <c r="F526" t="str">
        <f>_xlfn.XLOOKUP(B526,Employee_Master!A:A,Employee_Master!E:E,"Not Found")</f>
        <v>Finance</v>
      </c>
      <c r="G526" t="s">
        <v>386</v>
      </c>
      <c r="H526">
        <f t="shared" si="16"/>
        <v>2.2758620689655173</v>
      </c>
      <c r="I526">
        <f t="shared" si="17"/>
        <v>60.683760683760681</v>
      </c>
    </row>
    <row r="527" spans="1:9">
      <c r="A527">
        <v>526</v>
      </c>
      <c r="B527">
        <v>241</v>
      </c>
      <c r="C527" s="1">
        <v>46045</v>
      </c>
      <c r="D527" t="s">
        <v>382</v>
      </c>
      <c r="E527">
        <v>3</v>
      </c>
      <c r="F527" t="str">
        <f>_xlfn.XLOOKUP(B527,Employee_Master!A:A,Employee_Master!E:E,"Not Found")</f>
        <v>Finance</v>
      </c>
      <c r="G527" t="s">
        <v>381</v>
      </c>
      <c r="H527">
        <f t="shared" si="16"/>
        <v>2.2695652173913046</v>
      </c>
      <c r="I527">
        <f t="shared" si="17"/>
        <v>61.206896551724135</v>
      </c>
    </row>
    <row r="528" spans="1:9">
      <c r="A528">
        <v>527</v>
      </c>
      <c r="B528">
        <v>241</v>
      </c>
      <c r="C528" s="1">
        <v>46264</v>
      </c>
      <c r="D528" t="s">
        <v>384</v>
      </c>
      <c r="E528">
        <v>2</v>
      </c>
      <c r="F528" t="str">
        <f>_xlfn.XLOOKUP(B528,Employee_Master!A:A,Employee_Master!E:E,"Not Found")</f>
        <v>Finance</v>
      </c>
      <c r="G528" t="s">
        <v>386</v>
      </c>
      <c r="H528">
        <f t="shared" si="16"/>
        <v>2.263157894736842</v>
      </c>
      <c r="I528">
        <f t="shared" si="17"/>
        <v>61.739130434782609</v>
      </c>
    </row>
    <row r="529" spans="1:9">
      <c r="A529">
        <v>528</v>
      </c>
      <c r="B529">
        <v>242</v>
      </c>
      <c r="C529" s="1">
        <v>46133</v>
      </c>
      <c r="D529" t="s">
        <v>383</v>
      </c>
      <c r="E529">
        <v>1</v>
      </c>
      <c r="F529" t="str">
        <f>_xlfn.XLOOKUP(B529,Employee_Master!A:A,Employee_Master!E:E,"Not Found")</f>
        <v>HR</v>
      </c>
      <c r="G529" t="s">
        <v>386</v>
      </c>
      <c r="H529">
        <f t="shared" si="16"/>
        <v>2.2654867256637168</v>
      </c>
      <c r="I529">
        <f t="shared" si="17"/>
        <v>61.403508771929829</v>
      </c>
    </row>
    <row r="530" spans="1:9">
      <c r="A530">
        <v>529</v>
      </c>
      <c r="B530">
        <v>242</v>
      </c>
      <c r="C530" s="1">
        <v>46048</v>
      </c>
      <c r="D530" t="s">
        <v>384</v>
      </c>
      <c r="E530">
        <v>2</v>
      </c>
      <c r="F530" t="str">
        <f>_xlfn.XLOOKUP(B530,Employee_Master!A:A,Employee_Master!E:E,"Not Found")</f>
        <v>HR</v>
      </c>
      <c r="G530" t="s">
        <v>385</v>
      </c>
      <c r="H530">
        <f t="shared" si="16"/>
        <v>2.2767857142857144</v>
      </c>
      <c r="I530">
        <f t="shared" si="17"/>
        <v>61.946902654867252</v>
      </c>
    </row>
    <row r="531" spans="1:9">
      <c r="A531">
        <v>530</v>
      </c>
      <c r="B531">
        <v>243</v>
      </c>
      <c r="C531" s="1">
        <v>46134</v>
      </c>
      <c r="D531" t="s">
        <v>384</v>
      </c>
      <c r="E531">
        <v>4</v>
      </c>
      <c r="F531" t="str">
        <f>_xlfn.XLOOKUP(B531,Employee_Master!A:A,Employee_Master!E:E,"Not Found")</f>
        <v>Operations</v>
      </c>
      <c r="G531" t="s">
        <v>381</v>
      </c>
      <c r="H531">
        <f t="shared" si="16"/>
        <v>2.2792792792792791</v>
      </c>
      <c r="I531">
        <f t="shared" si="17"/>
        <v>62.5</v>
      </c>
    </row>
    <row r="532" spans="1:9">
      <c r="A532">
        <v>531</v>
      </c>
      <c r="B532">
        <v>245</v>
      </c>
      <c r="C532" s="1">
        <v>46205</v>
      </c>
      <c r="D532" t="s">
        <v>382</v>
      </c>
      <c r="E532">
        <v>1</v>
      </c>
      <c r="F532" t="str">
        <f>_xlfn.XLOOKUP(B532,Employee_Master!A:A,Employee_Master!E:E,"Not Found")</f>
        <v>Customer Support</v>
      </c>
      <c r="G532" t="s">
        <v>386</v>
      </c>
      <c r="H532">
        <f t="shared" si="16"/>
        <v>2.2636363636363637</v>
      </c>
      <c r="I532">
        <f t="shared" si="17"/>
        <v>63.063063063063062</v>
      </c>
    </row>
    <row r="533" spans="1:9">
      <c r="A533">
        <v>532</v>
      </c>
      <c r="B533">
        <v>245</v>
      </c>
      <c r="C533" s="1">
        <v>46258</v>
      </c>
      <c r="D533" t="s">
        <v>383</v>
      </c>
      <c r="E533">
        <v>1</v>
      </c>
      <c r="F533" t="str">
        <f>_xlfn.XLOOKUP(B533,Employee_Master!A:A,Employee_Master!E:E,"Not Found")</f>
        <v>Customer Support</v>
      </c>
      <c r="G533" t="s">
        <v>385</v>
      </c>
      <c r="H533">
        <f t="shared" si="16"/>
        <v>2.2752293577981653</v>
      </c>
      <c r="I533">
        <f t="shared" si="17"/>
        <v>62.727272727272734</v>
      </c>
    </row>
    <row r="534" spans="1:9">
      <c r="A534">
        <v>533</v>
      </c>
      <c r="B534">
        <v>246</v>
      </c>
      <c r="C534" s="1">
        <v>46040</v>
      </c>
      <c r="D534" t="s">
        <v>383</v>
      </c>
      <c r="E534">
        <v>1</v>
      </c>
      <c r="F534" t="str">
        <f>_xlfn.XLOOKUP(B534,Employee_Master!A:A,Employee_Master!E:E,"Not Found")</f>
        <v>Finance</v>
      </c>
      <c r="G534" t="s">
        <v>381</v>
      </c>
      <c r="H534">
        <f t="shared" si="16"/>
        <v>2.2870370370370372</v>
      </c>
      <c r="I534">
        <f t="shared" si="17"/>
        <v>63.302752293577981</v>
      </c>
    </row>
    <row r="535" spans="1:9">
      <c r="A535">
        <v>534</v>
      </c>
      <c r="B535">
        <v>246</v>
      </c>
      <c r="C535" s="1">
        <v>46130</v>
      </c>
      <c r="D535" t="s">
        <v>383</v>
      </c>
      <c r="E535">
        <v>2</v>
      </c>
      <c r="F535" t="str">
        <f>_xlfn.XLOOKUP(B535,Employee_Master!A:A,Employee_Master!E:E,"Not Found")</f>
        <v>Finance</v>
      </c>
      <c r="G535" t="s">
        <v>386</v>
      </c>
      <c r="H535">
        <f t="shared" si="16"/>
        <v>2.2990654205607477</v>
      </c>
      <c r="I535">
        <f t="shared" si="17"/>
        <v>63.888888888888886</v>
      </c>
    </row>
    <row r="536" spans="1:9">
      <c r="A536">
        <v>535</v>
      </c>
      <c r="B536">
        <v>246</v>
      </c>
      <c r="C536" s="1">
        <v>46266</v>
      </c>
      <c r="D536" t="s">
        <v>380</v>
      </c>
      <c r="E536">
        <v>1</v>
      </c>
      <c r="F536" t="str">
        <f>_xlfn.XLOOKUP(B536,Employee_Master!A:A,Employee_Master!E:E,"Not Found")</f>
        <v>Finance</v>
      </c>
      <c r="G536" t="s">
        <v>385</v>
      </c>
      <c r="H536">
        <f t="shared" si="16"/>
        <v>2.3018867924528301</v>
      </c>
      <c r="I536">
        <f t="shared" si="17"/>
        <v>63.551401869158873</v>
      </c>
    </row>
    <row r="537" spans="1:9">
      <c r="A537">
        <v>536</v>
      </c>
      <c r="B537">
        <v>246</v>
      </c>
      <c r="C537" s="1">
        <v>45971</v>
      </c>
      <c r="D537" t="s">
        <v>383</v>
      </c>
      <c r="E537">
        <v>2</v>
      </c>
      <c r="F537" t="str">
        <f>_xlfn.XLOOKUP(B537,Employee_Master!A:A,Employee_Master!E:E,"Not Found")</f>
        <v>Finance</v>
      </c>
      <c r="G537" t="s">
        <v>385</v>
      </c>
      <c r="H537">
        <f t="shared" si="16"/>
        <v>2.3142857142857145</v>
      </c>
      <c r="I537">
        <f t="shared" si="17"/>
        <v>64.15094339622641</v>
      </c>
    </row>
    <row r="538" spans="1:9">
      <c r="A538">
        <v>537</v>
      </c>
      <c r="B538">
        <v>249</v>
      </c>
      <c r="C538" s="1">
        <v>46063</v>
      </c>
      <c r="D538" t="s">
        <v>380</v>
      </c>
      <c r="E538">
        <v>3</v>
      </c>
      <c r="F538" t="str">
        <f>_xlfn.XLOOKUP(B538,Employee_Master!A:A,Employee_Master!E:E,"Not Found")</f>
        <v>Sales</v>
      </c>
      <c r="G538" t="s">
        <v>381</v>
      </c>
      <c r="H538">
        <f t="shared" si="16"/>
        <v>2.3173076923076925</v>
      </c>
      <c r="I538">
        <f t="shared" si="17"/>
        <v>64.761904761904759</v>
      </c>
    </row>
    <row r="539" spans="1:9">
      <c r="A539">
        <v>538</v>
      </c>
      <c r="B539">
        <v>250</v>
      </c>
      <c r="C539" s="1">
        <v>46013</v>
      </c>
      <c r="D539" t="s">
        <v>382</v>
      </c>
      <c r="E539">
        <v>2</v>
      </c>
      <c r="F539" t="str">
        <f>_xlfn.XLOOKUP(B539,Employee_Master!A:A,Employee_Master!E:E,"Not Found")</f>
        <v>Customer Support</v>
      </c>
      <c r="G539" t="s">
        <v>381</v>
      </c>
      <c r="H539">
        <f t="shared" si="16"/>
        <v>2.3106796116504853</v>
      </c>
      <c r="I539">
        <f t="shared" si="17"/>
        <v>65.384615384615387</v>
      </c>
    </row>
    <row r="540" spans="1:9">
      <c r="A540">
        <v>539</v>
      </c>
      <c r="B540">
        <v>250</v>
      </c>
      <c r="C540" s="1">
        <v>46116</v>
      </c>
      <c r="D540" t="s">
        <v>384</v>
      </c>
      <c r="E540">
        <v>3</v>
      </c>
      <c r="F540" t="str">
        <f>_xlfn.XLOOKUP(B540,Employee_Master!A:A,Employee_Master!E:E,"Not Found")</f>
        <v>Customer Support</v>
      </c>
      <c r="G540" t="s">
        <v>381</v>
      </c>
      <c r="H540">
        <f t="shared" si="16"/>
        <v>2.3137254901960786</v>
      </c>
      <c r="I540">
        <f t="shared" si="17"/>
        <v>65.048543689320397</v>
      </c>
    </row>
    <row r="541" spans="1:9">
      <c r="A541">
        <v>540</v>
      </c>
      <c r="B541">
        <v>250</v>
      </c>
      <c r="C541" s="1">
        <v>46208</v>
      </c>
      <c r="D541" t="s">
        <v>384</v>
      </c>
      <c r="E541">
        <v>1</v>
      </c>
      <c r="F541" t="str">
        <f>_xlfn.XLOOKUP(B541,Employee_Master!A:A,Employee_Master!E:E,"Not Found")</f>
        <v>Customer Support</v>
      </c>
      <c r="G541" t="s">
        <v>381</v>
      </c>
      <c r="H541">
        <f t="shared" si="16"/>
        <v>2.3069306930693068</v>
      </c>
      <c r="I541">
        <f t="shared" si="17"/>
        <v>64.705882352941174</v>
      </c>
    </row>
    <row r="542" spans="1:9">
      <c r="A542">
        <v>541</v>
      </c>
      <c r="B542">
        <v>253</v>
      </c>
      <c r="C542" s="1">
        <v>45964</v>
      </c>
      <c r="D542" t="s">
        <v>383</v>
      </c>
      <c r="E542">
        <v>2</v>
      </c>
      <c r="F542" t="str">
        <f>_xlfn.XLOOKUP(B542,Employee_Master!A:A,Employee_Master!E:E,"Not Found")</f>
        <v>HR</v>
      </c>
      <c r="G542" t="s">
        <v>381</v>
      </c>
      <c r="H542">
        <f t="shared" si="16"/>
        <v>2.3199999999999998</v>
      </c>
      <c r="I542">
        <f t="shared" si="17"/>
        <v>64.356435643564353</v>
      </c>
    </row>
    <row r="543" spans="1:9">
      <c r="A543">
        <v>542</v>
      </c>
      <c r="B543">
        <v>254</v>
      </c>
      <c r="C543" s="1">
        <v>46103</v>
      </c>
      <c r="D543" t="s">
        <v>384</v>
      </c>
      <c r="E543">
        <v>4</v>
      </c>
      <c r="F543" t="str">
        <f>_xlfn.XLOOKUP(B543,Employee_Master!A:A,Employee_Master!E:E,"Not Found")</f>
        <v>Finance</v>
      </c>
      <c r="G543" t="s">
        <v>386</v>
      </c>
      <c r="H543">
        <f t="shared" si="16"/>
        <v>2.3232323232323231</v>
      </c>
      <c r="I543">
        <f t="shared" si="17"/>
        <v>64</v>
      </c>
    </row>
    <row r="544" spans="1:9">
      <c r="A544">
        <v>543</v>
      </c>
      <c r="B544">
        <v>254</v>
      </c>
      <c r="C544" s="1">
        <v>45993</v>
      </c>
      <c r="D544" t="s">
        <v>382</v>
      </c>
      <c r="E544">
        <v>3</v>
      </c>
      <c r="F544" t="str">
        <f>_xlfn.XLOOKUP(B544,Employee_Master!A:A,Employee_Master!E:E,"Not Found")</f>
        <v>Finance</v>
      </c>
      <c r="G544" t="s">
        <v>381</v>
      </c>
      <c r="H544">
        <f t="shared" si="16"/>
        <v>2.306122448979592</v>
      </c>
      <c r="I544">
        <f t="shared" si="17"/>
        <v>63.636363636363633</v>
      </c>
    </row>
    <row r="545" spans="1:9">
      <c r="A545">
        <v>544</v>
      </c>
      <c r="B545">
        <v>254</v>
      </c>
      <c r="C545" s="1">
        <v>46113</v>
      </c>
      <c r="D545" t="s">
        <v>384</v>
      </c>
      <c r="E545">
        <v>3</v>
      </c>
      <c r="F545" t="str">
        <f>_xlfn.XLOOKUP(B545,Employee_Master!A:A,Employee_Master!E:E,"Not Found")</f>
        <v>Finance</v>
      </c>
      <c r="G545" t="s">
        <v>381</v>
      </c>
      <c r="H545">
        <f t="shared" si="16"/>
        <v>2.2989690721649483</v>
      </c>
      <c r="I545">
        <f t="shared" si="17"/>
        <v>64.285714285714292</v>
      </c>
    </row>
    <row r="546" spans="1:9">
      <c r="A546">
        <v>545</v>
      </c>
      <c r="B546">
        <v>255</v>
      </c>
      <c r="C546" s="1">
        <v>46027</v>
      </c>
      <c r="D546" t="s">
        <v>383</v>
      </c>
      <c r="E546">
        <v>1</v>
      </c>
      <c r="F546" t="str">
        <f>_xlfn.XLOOKUP(B546,Employee_Master!A:A,Employee_Master!E:E,"Not Found")</f>
        <v>Customer Support</v>
      </c>
      <c r="G546" t="s">
        <v>386</v>
      </c>
      <c r="H546">
        <f t="shared" si="16"/>
        <v>2.2916666666666665</v>
      </c>
      <c r="I546">
        <f t="shared" si="17"/>
        <v>63.917525773195869</v>
      </c>
    </row>
    <row r="547" spans="1:9">
      <c r="A547">
        <v>546</v>
      </c>
      <c r="B547">
        <v>255</v>
      </c>
      <c r="C547" s="1">
        <v>45975</v>
      </c>
      <c r="D547" t="s">
        <v>384</v>
      </c>
      <c r="E547">
        <v>2</v>
      </c>
      <c r="F547" t="str">
        <f>_xlfn.XLOOKUP(B547,Employee_Master!A:A,Employee_Master!E:E,"Not Found")</f>
        <v>Customer Support</v>
      </c>
      <c r="G547" t="s">
        <v>381</v>
      </c>
      <c r="H547">
        <f t="shared" si="16"/>
        <v>2.3052631578947369</v>
      </c>
      <c r="I547">
        <f t="shared" si="17"/>
        <v>63.541666666666664</v>
      </c>
    </row>
    <row r="548" spans="1:9">
      <c r="A548">
        <v>547</v>
      </c>
      <c r="B548">
        <v>255</v>
      </c>
      <c r="C548" s="1">
        <v>46106</v>
      </c>
      <c r="D548" t="s">
        <v>380</v>
      </c>
      <c r="E548">
        <v>2</v>
      </c>
      <c r="F548" t="str">
        <f>_xlfn.XLOOKUP(B548,Employee_Master!A:A,Employee_Master!E:E,"Not Found")</f>
        <v>Customer Support</v>
      </c>
      <c r="G548" t="s">
        <v>385</v>
      </c>
      <c r="H548">
        <f t="shared" si="16"/>
        <v>2.3085106382978724</v>
      </c>
      <c r="I548">
        <f t="shared" si="17"/>
        <v>64.21052631578948</v>
      </c>
    </row>
    <row r="549" spans="1:9">
      <c r="A549">
        <v>548</v>
      </c>
      <c r="B549">
        <v>256</v>
      </c>
      <c r="C549" s="1">
        <v>45946</v>
      </c>
      <c r="D549" t="s">
        <v>383</v>
      </c>
      <c r="E549">
        <v>4</v>
      </c>
      <c r="F549" t="str">
        <f>_xlfn.XLOOKUP(B549,Employee_Master!A:A,Employee_Master!E:E,"Not Found")</f>
        <v>Sales</v>
      </c>
      <c r="G549" t="s">
        <v>385</v>
      </c>
      <c r="H549">
        <f t="shared" si="16"/>
        <v>2.3118279569892475</v>
      </c>
      <c r="I549">
        <f t="shared" si="17"/>
        <v>63.829787234042556</v>
      </c>
    </row>
    <row r="550" spans="1:9">
      <c r="A550">
        <v>549</v>
      </c>
      <c r="B550">
        <v>256</v>
      </c>
      <c r="C550" s="1">
        <v>45984</v>
      </c>
      <c r="D550" t="s">
        <v>382</v>
      </c>
      <c r="E550">
        <v>2</v>
      </c>
      <c r="F550" t="str">
        <f>_xlfn.XLOOKUP(B550,Employee_Master!A:A,Employee_Master!E:E,"Not Found")</f>
        <v>Sales</v>
      </c>
      <c r="G550" t="s">
        <v>381</v>
      </c>
      <c r="H550">
        <f t="shared" si="16"/>
        <v>2.2934782608695654</v>
      </c>
      <c r="I550">
        <f t="shared" si="17"/>
        <v>64.516129032258064</v>
      </c>
    </row>
    <row r="551" spans="1:9">
      <c r="A551">
        <v>550</v>
      </c>
      <c r="B551">
        <v>257</v>
      </c>
      <c r="C551" s="1">
        <v>46248</v>
      </c>
      <c r="D551" t="s">
        <v>382</v>
      </c>
      <c r="E551">
        <v>1</v>
      </c>
      <c r="F551" t="str">
        <f>_xlfn.XLOOKUP(B551,Employee_Master!A:A,Employee_Master!E:E,"Not Found")</f>
        <v>Finance</v>
      </c>
      <c r="G551" t="s">
        <v>381</v>
      </c>
      <c r="H551">
        <f t="shared" si="16"/>
        <v>2.2967032967032965</v>
      </c>
      <c r="I551">
        <f t="shared" si="17"/>
        <v>65.217391304347828</v>
      </c>
    </row>
    <row r="552" spans="1:9">
      <c r="A552">
        <v>551</v>
      </c>
      <c r="B552">
        <v>258</v>
      </c>
      <c r="C552" s="1">
        <v>46216</v>
      </c>
      <c r="D552" t="s">
        <v>382</v>
      </c>
      <c r="E552">
        <v>4</v>
      </c>
      <c r="F552" t="str">
        <f>_xlfn.XLOOKUP(B552,Employee_Master!A:A,Employee_Master!E:E,"Not Found")</f>
        <v>IT</v>
      </c>
      <c r="G552" t="s">
        <v>381</v>
      </c>
      <c r="H552">
        <f t="shared" si="16"/>
        <v>2.3111111111111109</v>
      </c>
      <c r="I552">
        <f t="shared" si="17"/>
        <v>64.835164835164832</v>
      </c>
    </row>
    <row r="553" spans="1:9">
      <c r="A553">
        <v>552</v>
      </c>
      <c r="B553">
        <v>258</v>
      </c>
      <c r="C553" s="1">
        <v>46259</v>
      </c>
      <c r="D553" t="s">
        <v>383</v>
      </c>
      <c r="E553">
        <v>2</v>
      </c>
      <c r="F553" t="str">
        <f>_xlfn.XLOOKUP(B553,Employee_Master!A:A,Employee_Master!E:E,"Not Found")</f>
        <v>IT</v>
      </c>
      <c r="G553" t="s">
        <v>381</v>
      </c>
      <c r="H553">
        <f t="shared" si="16"/>
        <v>2.292134831460674</v>
      </c>
      <c r="I553">
        <f t="shared" si="17"/>
        <v>64.444444444444443</v>
      </c>
    </row>
    <row r="554" spans="1:9">
      <c r="A554">
        <v>553</v>
      </c>
      <c r="B554">
        <v>258</v>
      </c>
      <c r="C554" s="1">
        <v>45949</v>
      </c>
      <c r="D554" t="s">
        <v>382</v>
      </c>
      <c r="E554">
        <v>2</v>
      </c>
      <c r="F554" t="str">
        <f>_xlfn.XLOOKUP(B554,Employee_Master!A:A,Employee_Master!E:E,"Not Found")</f>
        <v>IT</v>
      </c>
      <c r="G554" t="s">
        <v>381</v>
      </c>
      <c r="H554">
        <f t="shared" si="16"/>
        <v>2.2954545454545454</v>
      </c>
      <c r="I554">
        <f t="shared" si="17"/>
        <v>64.044943820224717</v>
      </c>
    </row>
    <row r="555" spans="1:9">
      <c r="A555">
        <v>554</v>
      </c>
      <c r="B555">
        <v>259</v>
      </c>
      <c r="C555" s="1">
        <v>46112</v>
      </c>
      <c r="D555" t="s">
        <v>384</v>
      </c>
      <c r="E555">
        <v>3</v>
      </c>
      <c r="F555" t="str">
        <f>_xlfn.XLOOKUP(B555,Employee_Master!A:A,Employee_Master!E:E,"Not Found")</f>
        <v>Customer Support</v>
      </c>
      <c r="G555" t="s">
        <v>381</v>
      </c>
      <c r="H555">
        <f t="shared" si="16"/>
        <v>2.2988505747126435</v>
      </c>
      <c r="I555">
        <f t="shared" si="17"/>
        <v>63.636363636363633</v>
      </c>
    </row>
    <row r="556" spans="1:9">
      <c r="A556">
        <v>555</v>
      </c>
      <c r="B556">
        <v>259</v>
      </c>
      <c r="C556" s="1">
        <v>46143</v>
      </c>
      <c r="D556" t="s">
        <v>384</v>
      </c>
      <c r="E556">
        <v>3</v>
      </c>
      <c r="F556" t="str">
        <f>_xlfn.XLOOKUP(B556,Employee_Master!A:A,Employee_Master!E:E,"Not Found")</f>
        <v>Customer Support</v>
      </c>
      <c r="G556" t="s">
        <v>385</v>
      </c>
      <c r="H556">
        <f t="shared" si="16"/>
        <v>2.2906976744186047</v>
      </c>
      <c r="I556">
        <f t="shared" si="17"/>
        <v>63.218390804597703</v>
      </c>
    </row>
    <row r="557" spans="1:9">
      <c r="A557">
        <v>556</v>
      </c>
      <c r="B557">
        <v>259</v>
      </c>
      <c r="C557" s="1">
        <v>45974</v>
      </c>
      <c r="D557" t="s">
        <v>380</v>
      </c>
      <c r="E557">
        <v>1</v>
      </c>
      <c r="F557" t="str">
        <f>_xlfn.XLOOKUP(B557,Employee_Master!A:A,Employee_Master!E:E,"Not Found")</f>
        <v>Customer Support</v>
      </c>
      <c r="G557" t="s">
        <v>386</v>
      </c>
      <c r="H557">
        <f t="shared" si="16"/>
        <v>2.2823529411764705</v>
      </c>
      <c r="I557">
        <f t="shared" si="17"/>
        <v>62.790697674418603</v>
      </c>
    </row>
    <row r="558" spans="1:9">
      <c r="A558">
        <v>557</v>
      </c>
      <c r="B558">
        <v>259</v>
      </c>
      <c r="C558" s="1">
        <v>46197</v>
      </c>
      <c r="D558" t="s">
        <v>384</v>
      </c>
      <c r="E558">
        <v>2</v>
      </c>
      <c r="F558" t="str">
        <f>_xlfn.XLOOKUP(B558,Employee_Master!A:A,Employee_Master!E:E,"Not Found")</f>
        <v>Customer Support</v>
      </c>
      <c r="G558" t="s">
        <v>385</v>
      </c>
      <c r="H558">
        <f t="shared" si="16"/>
        <v>2.2976190476190474</v>
      </c>
      <c r="I558">
        <f t="shared" si="17"/>
        <v>63.529411764705877</v>
      </c>
    </row>
    <row r="559" spans="1:9">
      <c r="A559">
        <v>558</v>
      </c>
      <c r="B559">
        <v>260</v>
      </c>
      <c r="C559" s="1">
        <v>46214</v>
      </c>
      <c r="D559" t="s">
        <v>383</v>
      </c>
      <c r="E559">
        <v>1</v>
      </c>
      <c r="F559" t="str">
        <f>_xlfn.XLOOKUP(B559,Employee_Master!A:A,Employee_Master!E:E,"Not Found")</f>
        <v>Finance</v>
      </c>
      <c r="G559" t="s">
        <v>386</v>
      </c>
      <c r="H559">
        <f t="shared" si="16"/>
        <v>2.3012048192771086</v>
      </c>
      <c r="I559">
        <f t="shared" si="17"/>
        <v>64.285714285714292</v>
      </c>
    </row>
    <row r="560" spans="1:9">
      <c r="A560">
        <v>559</v>
      </c>
      <c r="B560">
        <v>260</v>
      </c>
      <c r="C560" s="1">
        <v>45947</v>
      </c>
      <c r="D560" t="s">
        <v>383</v>
      </c>
      <c r="E560">
        <v>2</v>
      </c>
      <c r="F560" t="str">
        <f>_xlfn.XLOOKUP(B560,Employee_Master!A:A,Employee_Master!E:E,"Not Found")</f>
        <v>Finance</v>
      </c>
      <c r="G560" t="s">
        <v>381</v>
      </c>
      <c r="H560">
        <f t="shared" si="16"/>
        <v>2.3170731707317072</v>
      </c>
      <c r="I560">
        <f t="shared" si="17"/>
        <v>65.060240963855421</v>
      </c>
    </row>
    <row r="561" spans="1:9">
      <c r="A561">
        <v>560</v>
      </c>
      <c r="B561">
        <v>260</v>
      </c>
      <c r="C561" s="1">
        <v>46205</v>
      </c>
      <c r="D561" t="s">
        <v>382</v>
      </c>
      <c r="E561">
        <v>3</v>
      </c>
      <c r="F561" t="str">
        <f>_xlfn.XLOOKUP(B561,Employee_Master!A:A,Employee_Master!E:E,"Not Found")</f>
        <v>Finance</v>
      </c>
      <c r="G561" t="s">
        <v>381</v>
      </c>
      <c r="H561">
        <f t="shared" si="16"/>
        <v>2.3209876543209877</v>
      </c>
      <c r="I561">
        <f t="shared" si="17"/>
        <v>65.853658536585371</v>
      </c>
    </row>
    <row r="562" spans="1:9">
      <c r="A562">
        <v>561</v>
      </c>
      <c r="B562">
        <v>263</v>
      </c>
      <c r="C562" s="1">
        <v>46271</v>
      </c>
      <c r="D562" t="s">
        <v>380</v>
      </c>
      <c r="E562">
        <v>3</v>
      </c>
      <c r="F562" t="str">
        <f>_xlfn.XLOOKUP(B562,Employee_Master!A:A,Employee_Master!E:E,"Not Found")</f>
        <v>IT</v>
      </c>
      <c r="G562" t="s">
        <v>385</v>
      </c>
      <c r="H562">
        <f t="shared" si="16"/>
        <v>2.3125</v>
      </c>
      <c r="I562">
        <f t="shared" si="17"/>
        <v>65.432098765432102</v>
      </c>
    </row>
    <row r="563" spans="1:9">
      <c r="A563">
        <v>562</v>
      </c>
      <c r="B563">
        <v>263</v>
      </c>
      <c r="C563" s="1">
        <v>46009</v>
      </c>
      <c r="D563" t="s">
        <v>383</v>
      </c>
      <c r="E563">
        <v>3</v>
      </c>
      <c r="F563" t="str">
        <f>_xlfn.XLOOKUP(B563,Employee_Master!A:A,Employee_Master!E:E,"Not Found")</f>
        <v>IT</v>
      </c>
      <c r="G563" t="s">
        <v>385</v>
      </c>
      <c r="H563">
        <f t="shared" si="16"/>
        <v>2.3037974683544302</v>
      </c>
      <c r="I563">
        <f t="shared" si="17"/>
        <v>65</v>
      </c>
    </row>
    <row r="564" spans="1:9">
      <c r="A564">
        <v>563</v>
      </c>
      <c r="B564">
        <v>265</v>
      </c>
      <c r="C564" s="1">
        <v>46117</v>
      </c>
      <c r="D564" t="s">
        <v>384</v>
      </c>
      <c r="E564">
        <v>4</v>
      </c>
      <c r="F564" t="str">
        <f>_xlfn.XLOOKUP(B564,Employee_Master!A:A,Employee_Master!E:E,"Not Found")</f>
        <v>Sales</v>
      </c>
      <c r="G564" t="s">
        <v>381</v>
      </c>
      <c r="H564">
        <f t="shared" si="16"/>
        <v>2.2948717948717947</v>
      </c>
      <c r="I564">
        <f t="shared" si="17"/>
        <v>65.822784810126578</v>
      </c>
    </row>
    <row r="565" spans="1:9">
      <c r="A565">
        <v>564</v>
      </c>
      <c r="B565">
        <v>265</v>
      </c>
      <c r="C565" s="1">
        <v>46084</v>
      </c>
      <c r="D565" t="s">
        <v>382</v>
      </c>
      <c r="E565">
        <v>1</v>
      </c>
      <c r="F565" t="str">
        <f>_xlfn.XLOOKUP(B565,Employee_Master!A:A,Employee_Master!E:E,"Not Found")</f>
        <v>Sales</v>
      </c>
      <c r="G565" t="s">
        <v>381</v>
      </c>
      <c r="H565">
        <f t="shared" si="16"/>
        <v>2.2727272727272729</v>
      </c>
      <c r="I565">
        <f t="shared" si="17"/>
        <v>66.666666666666657</v>
      </c>
    </row>
    <row r="566" spans="1:9">
      <c r="A566">
        <v>565</v>
      </c>
      <c r="B566">
        <v>265</v>
      </c>
      <c r="C566" s="1">
        <v>46076</v>
      </c>
      <c r="D566" t="s">
        <v>383</v>
      </c>
      <c r="E566">
        <v>2</v>
      </c>
      <c r="F566" t="str">
        <f>_xlfn.XLOOKUP(B566,Employee_Master!A:A,Employee_Master!E:E,"Not Found")</f>
        <v>Sales</v>
      </c>
      <c r="G566" t="s">
        <v>381</v>
      </c>
      <c r="H566">
        <f t="shared" si="16"/>
        <v>2.2894736842105261</v>
      </c>
      <c r="I566">
        <f t="shared" si="17"/>
        <v>66.233766233766232</v>
      </c>
    </row>
    <row r="567" spans="1:9">
      <c r="A567">
        <v>566</v>
      </c>
      <c r="B567">
        <v>265</v>
      </c>
      <c r="C567" s="1">
        <v>46001</v>
      </c>
      <c r="D567" t="s">
        <v>384</v>
      </c>
      <c r="E567">
        <v>3</v>
      </c>
      <c r="F567" t="str">
        <f>_xlfn.XLOOKUP(B567,Employee_Master!A:A,Employee_Master!E:E,"Not Found")</f>
        <v>Sales</v>
      </c>
      <c r="G567" t="s">
        <v>381</v>
      </c>
      <c r="H567">
        <f t="shared" si="16"/>
        <v>2.2933333333333334</v>
      </c>
      <c r="I567">
        <f t="shared" si="17"/>
        <v>65.789473684210535</v>
      </c>
    </row>
    <row r="568" spans="1:9">
      <c r="A568">
        <v>567</v>
      </c>
      <c r="B568">
        <v>267</v>
      </c>
      <c r="C568" s="1">
        <v>46101</v>
      </c>
      <c r="D568" t="s">
        <v>383</v>
      </c>
      <c r="E568">
        <v>1</v>
      </c>
      <c r="F568" t="str">
        <f>_xlfn.XLOOKUP(B568,Employee_Master!A:A,Employee_Master!E:E,"Not Found")</f>
        <v>Sales</v>
      </c>
      <c r="G568" t="s">
        <v>381</v>
      </c>
      <c r="H568">
        <f t="shared" si="16"/>
        <v>2.2837837837837838</v>
      </c>
      <c r="I568">
        <f t="shared" si="17"/>
        <v>65.333333333333329</v>
      </c>
    </row>
    <row r="569" spans="1:9">
      <c r="A569">
        <v>568</v>
      </c>
      <c r="B569">
        <v>267</v>
      </c>
      <c r="C569" s="1">
        <v>46226</v>
      </c>
      <c r="D569" t="s">
        <v>380</v>
      </c>
      <c r="E569">
        <v>1</v>
      </c>
      <c r="F569" t="str">
        <f>_xlfn.XLOOKUP(B569,Employee_Master!A:A,Employee_Master!E:E,"Not Found")</f>
        <v>Sales</v>
      </c>
      <c r="G569" t="s">
        <v>381</v>
      </c>
      <c r="H569">
        <f t="shared" si="16"/>
        <v>2.3013698630136985</v>
      </c>
      <c r="I569">
        <f t="shared" si="17"/>
        <v>64.86486486486487</v>
      </c>
    </row>
    <row r="570" spans="1:9">
      <c r="A570">
        <v>569</v>
      </c>
      <c r="B570">
        <v>269</v>
      </c>
      <c r="C570" s="1">
        <v>46090</v>
      </c>
      <c r="D570" t="s">
        <v>384</v>
      </c>
      <c r="E570">
        <v>3</v>
      </c>
      <c r="F570" t="str">
        <f>_xlfn.XLOOKUP(B570,Employee_Master!A:A,Employee_Master!E:E,"Not Found")</f>
        <v>Customer Support</v>
      </c>
      <c r="G570" t="s">
        <v>386</v>
      </c>
      <c r="H570">
        <f t="shared" si="16"/>
        <v>2.3194444444444446</v>
      </c>
      <c r="I570">
        <f t="shared" si="17"/>
        <v>64.38356164383562</v>
      </c>
    </row>
    <row r="571" spans="1:9">
      <c r="A571">
        <v>570</v>
      </c>
      <c r="B571">
        <v>269</v>
      </c>
      <c r="C571" s="1">
        <v>46267</v>
      </c>
      <c r="D571" t="s">
        <v>383</v>
      </c>
      <c r="E571">
        <v>1</v>
      </c>
      <c r="F571" t="str">
        <f>_xlfn.XLOOKUP(B571,Employee_Master!A:A,Employee_Master!E:E,"Not Found")</f>
        <v>Customer Support</v>
      </c>
      <c r="G571" t="s">
        <v>385</v>
      </c>
      <c r="H571">
        <f t="shared" si="16"/>
        <v>2.3098591549295775</v>
      </c>
      <c r="I571">
        <f t="shared" si="17"/>
        <v>63.888888888888886</v>
      </c>
    </row>
    <row r="572" spans="1:9">
      <c r="A572">
        <v>571</v>
      </c>
      <c r="B572">
        <v>271</v>
      </c>
      <c r="C572" s="1">
        <v>46146</v>
      </c>
      <c r="D572" t="s">
        <v>384</v>
      </c>
      <c r="E572">
        <v>3</v>
      </c>
      <c r="F572" t="str">
        <f>_xlfn.XLOOKUP(B572,Employee_Master!A:A,Employee_Master!E:E,"Not Found")</f>
        <v>Operations</v>
      </c>
      <c r="G572" t="s">
        <v>381</v>
      </c>
      <c r="H572">
        <f t="shared" si="16"/>
        <v>2.3285714285714287</v>
      </c>
      <c r="I572">
        <f t="shared" si="17"/>
        <v>64.788732394366207</v>
      </c>
    </row>
    <row r="573" spans="1:9">
      <c r="A573">
        <v>572</v>
      </c>
      <c r="B573">
        <v>271</v>
      </c>
      <c r="C573" s="1">
        <v>45957</v>
      </c>
      <c r="D573" t="s">
        <v>380</v>
      </c>
      <c r="E573">
        <v>1</v>
      </c>
      <c r="F573" t="str">
        <f>_xlfn.XLOOKUP(B573,Employee_Master!A:A,Employee_Master!E:E,"Not Found")</f>
        <v>Operations</v>
      </c>
      <c r="G573" t="s">
        <v>381</v>
      </c>
      <c r="H573">
        <f t="shared" si="16"/>
        <v>2.318840579710145</v>
      </c>
      <c r="I573">
        <f t="shared" si="17"/>
        <v>65.714285714285708</v>
      </c>
    </row>
    <row r="574" spans="1:9">
      <c r="A574">
        <v>573</v>
      </c>
      <c r="B574">
        <v>272</v>
      </c>
      <c r="C574" s="1">
        <v>45933</v>
      </c>
      <c r="D574" t="s">
        <v>384</v>
      </c>
      <c r="E574">
        <v>4</v>
      </c>
      <c r="F574" t="str">
        <f>_xlfn.XLOOKUP(B574,Employee_Master!A:A,Employee_Master!E:E,"Not Found")</f>
        <v>HR</v>
      </c>
      <c r="G574" t="s">
        <v>381</v>
      </c>
      <c r="H574">
        <f t="shared" si="16"/>
        <v>2.3382352941176472</v>
      </c>
      <c r="I574">
        <f t="shared" si="17"/>
        <v>65.217391304347828</v>
      </c>
    </row>
    <row r="575" spans="1:9">
      <c r="A575">
        <v>574</v>
      </c>
      <c r="B575">
        <v>272</v>
      </c>
      <c r="C575" s="1">
        <v>46171</v>
      </c>
      <c r="D575" t="s">
        <v>383</v>
      </c>
      <c r="E575">
        <v>4</v>
      </c>
      <c r="F575" t="str">
        <f>_xlfn.XLOOKUP(B575,Employee_Master!A:A,Employee_Master!E:E,"Not Found")</f>
        <v>HR</v>
      </c>
      <c r="G575" t="s">
        <v>386</v>
      </c>
      <c r="H575">
        <f t="shared" si="16"/>
        <v>2.3134328358208953</v>
      </c>
      <c r="I575">
        <f t="shared" si="17"/>
        <v>64.705882352941174</v>
      </c>
    </row>
    <row r="576" spans="1:9">
      <c r="A576">
        <v>575</v>
      </c>
      <c r="B576">
        <v>272</v>
      </c>
      <c r="C576" s="1">
        <v>45985</v>
      </c>
      <c r="D576" t="s">
        <v>383</v>
      </c>
      <c r="E576">
        <v>2</v>
      </c>
      <c r="F576" t="str">
        <f>_xlfn.XLOOKUP(B576,Employee_Master!A:A,Employee_Master!E:E,"Not Found")</f>
        <v>HR</v>
      </c>
      <c r="G576" t="s">
        <v>386</v>
      </c>
      <c r="H576">
        <f t="shared" si="16"/>
        <v>2.2878787878787881</v>
      </c>
      <c r="I576">
        <f t="shared" si="17"/>
        <v>64.179104477611943</v>
      </c>
    </row>
    <row r="577" spans="1:9">
      <c r="A577">
        <v>576</v>
      </c>
      <c r="B577">
        <v>272</v>
      </c>
      <c r="C577" s="1">
        <v>46218</v>
      </c>
      <c r="D577" t="s">
        <v>380</v>
      </c>
      <c r="E577">
        <v>1</v>
      </c>
      <c r="F577" t="str">
        <f>_xlfn.XLOOKUP(B577,Employee_Master!A:A,Employee_Master!E:E,"Not Found")</f>
        <v>HR</v>
      </c>
      <c r="G577" t="s">
        <v>381</v>
      </c>
      <c r="H577">
        <f t="shared" si="16"/>
        <v>2.2923076923076922</v>
      </c>
      <c r="I577">
        <f t="shared" si="17"/>
        <v>65.151515151515156</v>
      </c>
    </row>
    <row r="578" spans="1:9">
      <c r="A578">
        <v>577</v>
      </c>
      <c r="B578">
        <v>273</v>
      </c>
      <c r="C578" s="1">
        <v>46025</v>
      </c>
      <c r="D578" t="s">
        <v>384</v>
      </c>
      <c r="E578">
        <v>1</v>
      </c>
      <c r="F578" t="str">
        <f>_xlfn.XLOOKUP(B578,Employee_Master!A:A,Employee_Master!E:E,"Not Found")</f>
        <v>Marketing</v>
      </c>
      <c r="G578" t="s">
        <v>385</v>
      </c>
      <c r="H578">
        <f t="shared" ref="H578:H641" si="18">AVERAGE(E578:E1217)</f>
        <v>2.3125</v>
      </c>
      <c r="I578">
        <f t="shared" ref="I578:I641" si="19">COUNTIF(G577:G1216,"Approved")/COUNTA(G577:G1216)*100</f>
        <v>66.153846153846146</v>
      </c>
    </row>
    <row r="579" spans="1:9">
      <c r="A579">
        <v>578</v>
      </c>
      <c r="B579">
        <v>274</v>
      </c>
      <c r="C579" s="1">
        <v>46293</v>
      </c>
      <c r="D579" t="s">
        <v>380</v>
      </c>
      <c r="E579">
        <v>2</v>
      </c>
      <c r="F579" t="str">
        <f>_xlfn.XLOOKUP(B579,Employee_Master!A:A,Employee_Master!E:E,"Not Found")</f>
        <v>Sales</v>
      </c>
      <c r="G579" t="s">
        <v>386</v>
      </c>
      <c r="H579">
        <f t="shared" si="18"/>
        <v>2.3333333333333335</v>
      </c>
      <c r="I579">
        <f t="shared" si="19"/>
        <v>65.625</v>
      </c>
    </row>
    <row r="580" spans="1:9">
      <c r="A580">
        <v>579</v>
      </c>
      <c r="B580">
        <v>275</v>
      </c>
      <c r="C580" s="1">
        <v>46139</v>
      </c>
      <c r="D580" t="s">
        <v>384</v>
      </c>
      <c r="E580">
        <v>3</v>
      </c>
      <c r="F580" t="str">
        <f>_xlfn.XLOOKUP(B580,Employee_Master!A:A,Employee_Master!E:E,"Not Found")</f>
        <v>Marketing</v>
      </c>
      <c r="G580" t="s">
        <v>386</v>
      </c>
      <c r="H580">
        <f t="shared" si="18"/>
        <v>2.338709677419355</v>
      </c>
      <c r="I580">
        <f t="shared" si="19"/>
        <v>66.666666666666657</v>
      </c>
    </row>
    <row r="581" spans="1:9">
      <c r="A581">
        <v>580</v>
      </c>
      <c r="B581">
        <v>276</v>
      </c>
      <c r="C581" s="1">
        <v>46183</v>
      </c>
      <c r="D581" t="s">
        <v>380</v>
      </c>
      <c r="E581">
        <v>1</v>
      </c>
      <c r="F581" t="str">
        <f>_xlfn.XLOOKUP(B581,Employee_Master!A:A,Employee_Master!E:E,"Not Found")</f>
        <v>HR</v>
      </c>
      <c r="G581" t="s">
        <v>385</v>
      </c>
      <c r="H581">
        <f t="shared" si="18"/>
        <v>2.3278688524590163</v>
      </c>
      <c r="I581">
        <f t="shared" si="19"/>
        <v>67.741935483870961</v>
      </c>
    </row>
    <row r="582" spans="1:9">
      <c r="A582">
        <v>581</v>
      </c>
      <c r="B582">
        <v>277</v>
      </c>
      <c r="C582" s="1">
        <v>46244</v>
      </c>
      <c r="D582" t="s">
        <v>382</v>
      </c>
      <c r="E582">
        <v>2</v>
      </c>
      <c r="F582" t="str">
        <f>_xlfn.XLOOKUP(B582,Employee_Master!A:A,Employee_Master!E:E,"Not Found")</f>
        <v>Marketing</v>
      </c>
      <c r="G582" t="s">
        <v>386</v>
      </c>
      <c r="H582">
        <f t="shared" si="18"/>
        <v>2.35</v>
      </c>
      <c r="I582">
        <f t="shared" si="19"/>
        <v>68.852459016393439</v>
      </c>
    </row>
    <row r="583" spans="1:9">
      <c r="A583">
        <v>582</v>
      </c>
      <c r="B583">
        <v>278</v>
      </c>
      <c r="C583" s="1">
        <v>46107</v>
      </c>
      <c r="D583" t="s">
        <v>380</v>
      </c>
      <c r="E583">
        <v>4</v>
      </c>
      <c r="F583" t="str">
        <f>_xlfn.XLOOKUP(B583,Employee_Master!A:A,Employee_Master!E:E,"Not Found")</f>
        <v>Finance</v>
      </c>
      <c r="G583" t="s">
        <v>386</v>
      </c>
      <c r="H583">
        <f t="shared" si="18"/>
        <v>2.3559322033898304</v>
      </c>
      <c r="I583">
        <f t="shared" si="19"/>
        <v>70</v>
      </c>
    </row>
    <row r="584" spans="1:9">
      <c r="A584">
        <v>583</v>
      </c>
      <c r="B584">
        <v>278</v>
      </c>
      <c r="C584" s="1">
        <v>46141</v>
      </c>
      <c r="D584" t="s">
        <v>383</v>
      </c>
      <c r="E584">
        <v>3</v>
      </c>
      <c r="F584" t="str">
        <f>_xlfn.XLOOKUP(B584,Employee_Master!A:A,Employee_Master!E:E,"Not Found")</f>
        <v>Finance</v>
      </c>
      <c r="G584" t="s">
        <v>381</v>
      </c>
      <c r="H584">
        <f t="shared" si="18"/>
        <v>2.3275862068965516</v>
      </c>
      <c r="I584">
        <f t="shared" si="19"/>
        <v>71.186440677966104</v>
      </c>
    </row>
    <row r="585" spans="1:9">
      <c r="A585">
        <v>584</v>
      </c>
      <c r="B585">
        <v>279</v>
      </c>
      <c r="C585" s="1">
        <v>45994</v>
      </c>
      <c r="D585" t="s">
        <v>382</v>
      </c>
      <c r="E585">
        <v>3</v>
      </c>
      <c r="F585" t="str">
        <f>_xlfn.XLOOKUP(B585,Employee_Master!A:A,Employee_Master!E:E,"Not Found")</f>
        <v>Sales</v>
      </c>
      <c r="G585" t="s">
        <v>386</v>
      </c>
      <c r="H585">
        <f t="shared" si="18"/>
        <v>2.3157894736842106</v>
      </c>
      <c r="I585">
        <f t="shared" si="19"/>
        <v>72.41379310344827</v>
      </c>
    </row>
    <row r="586" spans="1:9">
      <c r="A586">
        <v>585</v>
      </c>
      <c r="B586">
        <v>279</v>
      </c>
      <c r="C586" s="1">
        <v>46185</v>
      </c>
      <c r="D586" t="s">
        <v>384</v>
      </c>
      <c r="E586">
        <v>1</v>
      </c>
      <c r="F586" t="str">
        <f>_xlfn.XLOOKUP(B586,Employee_Master!A:A,Employee_Master!E:E,"Not Found")</f>
        <v>Sales</v>
      </c>
      <c r="G586" t="s">
        <v>385</v>
      </c>
      <c r="H586">
        <f t="shared" si="18"/>
        <v>2.3035714285714284</v>
      </c>
      <c r="I586">
        <f t="shared" si="19"/>
        <v>71.929824561403507</v>
      </c>
    </row>
    <row r="587" spans="1:9">
      <c r="A587">
        <v>586</v>
      </c>
      <c r="B587">
        <v>279</v>
      </c>
      <c r="C587" s="1">
        <v>46233</v>
      </c>
      <c r="D587" t="s">
        <v>380</v>
      </c>
      <c r="E587">
        <v>3</v>
      </c>
      <c r="F587" t="str">
        <f>_xlfn.XLOOKUP(B587,Employee_Master!A:A,Employee_Master!E:E,"Not Found")</f>
        <v>Sales</v>
      </c>
      <c r="G587" t="s">
        <v>381</v>
      </c>
      <c r="H587">
        <f t="shared" si="18"/>
        <v>2.3272727272727272</v>
      </c>
      <c r="I587">
        <f t="shared" si="19"/>
        <v>73.214285714285708</v>
      </c>
    </row>
    <row r="588" spans="1:9">
      <c r="A588">
        <v>587</v>
      </c>
      <c r="B588">
        <v>279</v>
      </c>
      <c r="C588" s="1">
        <v>46226</v>
      </c>
      <c r="D588" t="s">
        <v>380</v>
      </c>
      <c r="E588">
        <v>1</v>
      </c>
      <c r="F588" t="str">
        <f>_xlfn.XLOOKUP(B588,Employee_Master!A:A,Employee_Master!E:E,"Not Found")</f>
        <v>Sales</v>
      </c>
      <c r="G588" t="s">
        <v>381</v>
      </c>
      <c r="H588">
        <f t="shared" si="18"/>
        <v>2.3148148148148149</v>
      </c>
      <c r="I588">
        <f t="shared" si="19"/>
        <v>74.545454545454547</v>
      </c>
    </row>
    <row r="589" spans="1:9">
      <c r="A589">
        <v>588</v>
      </c>
      <c r="B589">
        <v>280</v>
      </c>
      <c r="C589" s="1">
        <v>46295</v>
      </c>
      <c r="D589" t="s">
        <v>384</v>
      </c>
      <c r="E589">
        <v>2</v>
      </c>
      <c r="F589" t="str">
        <f>_xlfn.XLOOKUP(B589,Employee_Master!A:A,Employee_Master!E:E,"Not Found")</f>
        <v>IT</v>
      </c>
      <c r="G589" t="s">
        <v>381</v>
      </c>
      <c r="H589">
        <f t="shared" si="18"/>
        <v>2.3396226415094339</v>
      </c>
      <c r="I589">
        <f t="shared" si="19"/>
        <v>74.074074074074076</v>
      </c>
    </row>
    <row r="590" spans="1:9">
      <c r="A590">
        <v>589</v>
      </c>
      <c r="B590">
        <v>283</v>
      </c>
      <c r="C590" s="1">
        <v>45999</v>
      </c>
      <c r="D590" t="s">
        <v>380</v>
      </c>
      <c r="E590">
        <v>3</v>
      </c>
      <c r="F590" t="str">
        <f>_xlfn.XLOOKUP(B590,Employee_Master!A:A,Employee_Master!E:E,"Not Found")</f>
        <v>IT</v>
      </c>
      <c r="G590" t="s">
        <v>381</v>
      </c>
      <c r="H590">
        <f t="shared" si="18"/>
        <v>2.3461538461538463</v>
      </c>
      <c r="I590">
        <f t="shared" si="19"/>
        <v>73.584905660377359</v>
      </c>
    </row>
    <row r="591" spans="1:9">
      <c r="A591">
        <v>590</v>
      </c>
      <c r="B591">
        <v>283</v>
      </c>
      <c r="C591" s="1">
        <v>46225</v>
      </c>
      <c r="D591" t="s">
        <v>384</v>
      </c>
      <c r="E591">
        <v>2</v>
      </c>
      <c r="F591" t="str">
        <f>_xlfn.XLOOKUP(B591,Employee_Master!A:A,Employee_Master!E:E,"Not Found")</f>
        <v>IT</v>
      </c>
      <c r="G591" t="s">
        <v>381</v>
      </c>
      <c r="H591">
        <f t="shared" si="18"/>
        <v>2.3333333333333335</v>
      </c>
      <c r="I591">
        <f t="shared" si="19"/>
        <v>73.076923076923066</v>
      </c>
    </row>
    <row r="592" spans="1:9">
      <c r="A592">
        <v>591</v>
      </c>
      <c r="B592">
        <v>283</v>
      </c>
      <c r="C592" s="1">
        <v>46287</v>
      </c>
      <c r="D592" t="s">
        <v>384</v>
      </c>
      <c r="E592">
        <v>4</v>
      </c>
      <c r="F592" t="str">
        <f>_xlfn.XLOOKUP(B592,Employee_Master!A:A,Employee_Master!E:E,"Not Found")</f>
        <v>IT</v>
      </c>
      <c r="G592" t="s">
        <v>381</v>
      </c>
      <c r="H592">
        <f t="shared" si="18"/>
        <v>2.34</v>
      </c>
      <c r="I592">
        <f t="shared" si="19"/>
        <v>72.549019607843135</v>
      </c>
    </row>
    <row r="593" spans="1:9">
      <c r="A593">
        <v>592</v>
      </c>
      <c r="B593">
        <v>284</v>
      </c>
      <c r="C593" s="1">
        <v>46036</v>
      </c>
      <c r="D593" t="s">
        <v>382</v>
      </c>
      <c r="E593">
        <v>2</v>
      </c>
      <c r="F593" t="str">
        <f>_xlfn.XLOOKUP(B593,Employee_Master!A:A,Employee_Master!E:E,"Not Found")</f>
        <v>Sales</v>
      </c>
      <c r="G593" t="s">
        <v>381</v>
      </c>
      <c r="H593">
        <f t="shared" si="18"/>
        <v>2.306122448979592</v>
      </c>
      <c r="I593">
        <f t="shared" si="19"/>
        <v>72</v>
      </c>
    </row>
    <row r="594" spans="1:9">
      <c r="A594">
        <v>593</v>
      </c>
      <c r="B594">
        <v>284</v>
      </c>
      <c r="C594" s="1">
        <v>46262</v>
      </c>
      <c r="D594" t="s">
        <v>384</v>
      </c>
      <c r="E594">
        <v>3</v>
      </c>
      <c r="F594" t="str">
        <f>_xlfn.XLOOKUP(B594,Employee_Master!A:A,Employee_Master!E:E,"Not Found")</f>
        <v>Sales</v>
      </c>
      <c r="G594" t="s">
        <v>381</v>
      </c>
      <c r="H594">
        <f t="shared" si="18"/>
        <v>2.3125</v>
      </c>
      <c r="I594">
        <f t="shared" si="19"/>
        <v>71.428571428571431</v>
      </c>
    </row>
    <row r="595" spans="1:9">
      <c r="A595">
        <v>594</v>
      </c>
      <c r="B595">
        <v>285</v>
      </c>
      <c r="C595" s="1">
        <v>46124</v>
      </c>
      <c r="D595" t="s">
        <v>383</v>
      </c>
      <c r="E595">
        <v>4</v>
      </c>
      <c r="F595" t="str">
        <f>_xlfn.XLOOKUP(B595,Employee_Master!A:A,Employee_Master!E:E,"Not Found")</f>
        <v>IT</v>
      </c>
      <c r="G595" t="s">
        <v>381</v>
      </c>
      <c r="H595">
        <f t="shared" si="18"/>
        <v>2.2978723404255321</v>
      </c>
      <c r="I595">
        <f t="shared" si="19"/>
        <v>70.833333333333343</v>
      </c>
    </row>
    <row r="596" spans="1:9">
      <c r="A596">
        <v>595</v>
      </c>
      <c r="B596">
        <v>285</v>
      </c>
      <c r="C596" s="1">
        <v>46256</v>
      </c>
      <c r="D596" t="s">
        <v>380</v>
      </c>
      <c r="E596">
        <v>2</v>
      </c>
      <c r="F596" t="str">
        <f>_xlfn.XLOOKUP(B596,Employee_Master!A:A,Employee_Master!E:E,"Not Found")</f>
        <v>IT</v>
      </c>
      <c r="G596" t="s">
        <v>385</v>
      </c>
      <c r="H596">
        <f t="shared" si="18"/>
        <v>2.2608695652173911</v>
      </c>
      <c r="I596">
        <f t="shared" si="19"/>
        <v>70.212765957446805</v>
      </c>
    </row>
    <row r="597" spans="1:9">
      <c r="A597">
        <v>596</v>
      </c>
      <c r="B597">
        <v>285</v>
      </c>
      <c r="C597" s="1">
        <v>46111</v>
      </c>
      <c r="D597" t="s">
        <v>380</v>
      </c>
      <c r="E597">
        <v>2</v>
      </c>
      <c r="F597" t="str">
        <f>_xlfn.XLOOKUP(B597,Employee_Master!A:A,Employee_Master!E:E,"Not Found")</f>
        <v>IT</v>
      </c>
      <c r="G597" t="s">
        <v>385</v>
      </c>
      <c r="H597">
        <f t="shared" si="18"/>
        <v>2.2666666666666666</v>
      </c>
      <c r="I597">
        <f t="shared" si="19"/>
        <v>69.565217391304344</v>
      </c>
    </row>
    <row r="598" spans="1:9">
      <c r="A598">
        <v>597</v>
      </c>
      <c r="B598">
        <v>286</v>
      </c>
      <c r="C598" s="1">
        <v>46071</v>
      </c>
      <c r="D598" t="s">
        <v>382</v>
      </c>
      <c r="E598">
        <v>1</v>
      </c>
      <c r="F598" t="str">
        <f>_xlfn.XLOOKUP(B598,Employee_Master!A:A,Employee_Master!E:E,"Not Found")</f>
        <v>IT</v>
      </c>
      <c r="G598" t="s">
        <v>381</v>
      </c>
      <c r="H598">
        <f t="shared" si="18"/>
        <v>2.2727272727272729</v>
      </c>
      <c r="I598">
        <f t="shared" si="19"/>
        <v>71.111111111111114</v>
      </c>
    </row>
    <row r="599" spans="1:9">
      <c r="A599">
        <v>598</v>
      </c>
      <c r="B599">
        <v>286</v>
      </c>
      <c r="C599" s="1">
        <v>45932</v>
      </c>
      <c r="D599" t="s">
        <v>382</v>
      </c>
      <c r="E599">
        <v>4</v>
      </c>
      <c r="F599" t="str">
        <f>_xlfn.XLOOKUP(B599,Employee_Master!A:A,Employee_Master!E:E,"Not Found")</f>
        <v>IT</v>
      </c>
      <c r="G599" t="s">
        <v>381</v>
      </c>
      <c r="H599">
        <f t="shared" si="18"/>
        <v>2.3023255813953489</v>
      </c>
      <c r="I599">
        <f t="shared" si="19"/>
        <v>72.727272727272734</v>
      </c>
    </row>
    <row r="600" spans="1:9">
      <c r="A600">
        <v>599</v>
      </c>
      <c r="B600">
        <v>286</v>
      </c>
      <c r="C600" s="1">
        <v>45962</v>
      </c>
      <c r="D600" t="s">
        <v>384</v>
      </c>
      <c r="E600">
        <v>4</v>
      </c>
      <c r="F600" t="str">
        <f>_xlfn.XLOOKUP(B600,Employee_Master!A:A,Employee_Master!E:E,"Not Found")</f>
        <v>IT</v>
      </c>
      <c r="G600" t="s">
        <v>386</v>
      </c>
      <c r="H600">
        <f t="shared" si="18"/>
        <v>2.2619047619047619</v>
      </c>
      <c r="I600">
        <f t="shared" si="19"/>
        <v>72.093023255813947</v>
      </c>
    </row>
    <row r="601" spans="1:9">
      <c r="A601">
        <v>600</v>
      </c>
      <c r="B601">
        <v>287</v>
      </c>
      <c r="C601" s="1">
        <v>46035</v>
      </c>
      <c r="D601" t="s">
        <v>382</v>
      </c>
      <c r="E601">
        <v>1</v>
      </c>
      <c r="F601" t="str">
        <f>_xlfn.XLOOKUP(B601,Employee_Master!A:A,Employee_Master!E:E,"Not Found")</f>
        <v>Sales</v>
      </c>
      <c r="G601" t="s">
        <v>381</v>
      </c>
      <c r="H601">
        <f t="shared" si="18"/>
        <v>2.2195121951219514</v>
      </c>
      <c r="I601">
        <f t="shared" si="19"/>
        <v>71.428571428571431</v>
      </c>
    </row>
    <row r="602" spans="1:9">
      <c r="A602">
        <v>601</v>
      </c>
      <c r="B602">
        <v>287</v>
      </c>
      <c r="C602" s="1">
        <v>46003</v>
      </c>
      <c r="D602" t="s">
        <v>383</v>
      </c>
      <c r="E602">
        <v>3</v>
      </c>
      <c r="F602" t="str">
        <f>_xlfn.XLOOKUP(B602,Employee_Master!A:A,Employee_Master!E:E,"Not Found")</f>
        <v>Sales</v>
      </c>
      <c r="G602" t="s">
        <v>381</v>
      </c>
      <c r="H602">
        <f t="shared" si="18"/>
        <v>2.25</v>
      </c>
      <c r="I602">
        <f t="shared" si="19"/>
        <v>73.170731707317074</v>
      </c>
    </row>
    <row r="603" spans="1:9">
      <c r="A603">
        <v>602</v>
      </c>
      <c r="B603">
        <v>288</v>
      </c>
      <c r="C603" s="1">
        <v>45938</v>
      </c>
      <c r="D603" t="s">
        <v>382</v>
      </c>
      <c r="E603">
        <v>1</v>
      </c>
      <c r="F603" t="str">
        <f>_xlfn.XLOOKUP(B603,Employee_Master!A:A,Employee_Master!E:E,"Not Found")</f>
        <v>IT</v>
      </c>
      <c r="G603" t="s">
        <v>386</v>
      </c>
      <c r="H603">
        <f t="shared" si="18"/>
        <v>2.2307692307692308</v>
      </c>
      <c r="I603">
        <f t="shared" si="19"/>
        <v>72.5</v>
      </c>
    </row>
    <row r="604" spans="1:9">
      <c r="A604">
        <v>603</v>
      </c>
      <c r="B604">
        <v>288</v>
      </c>
      <c r="C604" s="1">
        <v>46163</v>
      </c>
      <c r="D604" t="s">
        <v>383</v>
      </c>
      <c r="E604">
        <v>3</v>
      </c>
      <c r="F604" t="str">
        <f>_xlfn.XLOOKUP(B604,Employee_Master!A:A,Employee_Master!E:E,"Not Found")</f>
        <v>IT</v>
      </c>
      <c r="G604" t="s">
        <v>381</v>
      </c>
      <c r="H604">
        <f t="shared" si="18"/>
        <v>2.263157894736842</v>
      </c>
      <c r="I604">
        <f t="shared" si="19"/>
        <v>71.794871794871796</v>
      </c>
    </row>
    <row r="605" spans="1:9">
      <c r="A605">
        <v>604</v>
      </c>
      <c r="B605">
        <v>288</v>
      </c>
      <c r="C605" s="1">
        <v>46161</v>
      </c>
      <c r="D605" t="s">
        <v>380</v>
      </c>
      <c r="E605">
        <v>3</v>
      </c>
      <c r="F605" t="str">
        <f>_xlfn.XLOOKUP(B605,Employee_Master!A:A,Employee_Master!E:E,"Not Found")</f>
        <v>IT</v>
      </c>
      <c r="G605" t="s">
        <v>385</v>
      </c>
      <c r="H605">
        <f t="shared" si="18"/>
        <v>2.2432432432432434</v>
      </c>
      <c r="I605">
        <f t="shared" si="19"/>
        <v>73.68421052631578</v>
      </c>
    </row>
    <row r="606" spans="1:9">
      <c r="A606">
        <v>605</v>
      </c>
      <c r="B606">
        <v>289</v>
      </c>
      <c r="C606" s="1">
        <v>46069</v>
      </c>
      <c r="D606" t="s">
        <v>380</v>
      </c>
      <c r="E606">
        <v>4</v>
      </c>
      <c r="F606" t="str">
        <f>_xlfn.XLOOKUP(B606,Employee_Master!A:A,Employee_Master!E:E,"Not Found")</f>
        <v>Customer Support</v>
      </c>
      <c r="G606" t="s">
        <v>381</v>
      </c>
      <c r="H606">
        <f t="shared" si="18"/>
        <v>2.2222222222222223</v>
      </c>
      <c r="I606">
        <f t="shared" si="19"/>
        <v>72.972972972972968</v>
      </c>
    </row>
    <row r="607" spans="1:9">
      <c r="A607">
        <v>606</v>
      </c>
      <c r="B607">
        <v>289</v>
      </c>
      <c r="C607" s="1">
        <v>46155</v>
      </c>
      <c r="D607" t="s">
        <v>380</v>
      </c>
      <c r="E607">
        <v>1</v>
      </c>
      <c r="F607" t="str">
        <f>_xlfn.XLOOKUP(B607,Employee_Master!A:A,Employee_Master!E:E,"Not Found")</f>
        <v>Customer Support</v>
      </c>
      <c r="G607" t="s">
        <v>381</v>
      </c>
      <c r="H607">
        <f t="shared" si="18"/>
        <v>2.1714285714285713</v>
      </c>
      <c r="I607">
        <f t="shared" si="19"/>
        <v>75</v>
      </c>
    </row>
    <row r="608" spans="1:9">
      <c r="A608">
        <v>607</v>
      </c>
      <c r="B608">
        <v>289</v>
      </c>
      <c r="C608" s="1">
        <v>46261</v>
      </c>
      <c r="D608" t="s">
        <v>382</v>
      </c>
      <c r="E608">
        <v>4</v>
      </c>
      <c r="F608" t="str">
        <f>_xlfn.XLOOKUP(B608,Employee_Master!A:A,Employee_Master!E:E,"Not Found")</f>
        <v>Customer Support</v>
      </c>
      <c r="G608" t="s">
        <v>381</v>
      </c>
      <c r="H608">
        <f t="shared" si="18"/>
        <v>2.2058823529411766</v>
      </c>
      <c r="I608">
        <f t="shared" si="19"/>
        <v>74.285714285714292</v>
      </c>
    </row>
    <row r="609" spans="1:9">
      <c r="A609">
        <v>608</v>
      </c>
      <c r="B609">
        <v>290</v>
      </c>
      <c r="C609" s="1">
        <v>46191</v>
      </c>
      <c r="D609" t="s">
        <v>380</v>
      </c>
      <c r="E609">
        <v>1</v>
      </c>
      <c r="F609" t="str">
        <f>_xlfn.XLOOKUP(B609,Employee_Master!A:A,Employee_Master!E:E,"Not Found")</f>
        <v>Customer Support</v>
      </c>
      <c r="G609" t="s">
        <v>381</v>
      </c>
      <c r="H609">
        <f t="shared" si="18"/>
        <v>2.1515151515151514</v>
      </c>
      <c r="I609">
        <f t="shared" si="19"/>
        <v>73.529411764705884</v>
      </c>
    </row>
    <row r="610" spans="1:9">
      <c r="A610">
        <v>609</v>
      </c>
      <c r="B610">
        <v>290</v>
      </c>
      <c r="C610" s="1">
        <v>46120</v>
      </c>
      <c r="D610" t="s">
        <v>383</v>
      </c>
      <c r="E610">
        <v>1</v>
      </c>
      <c r="F610" t="str">
        <f>_xlfn.XLOOKUP(B610,Employee_Master!A:A,Employee_Master!E:E,"Not Found")</f>
        <v>Customer Support</v>
      </c>
      <c r="G610" t="s">
        <v>381</v>
      </c>
      <c r="H610">
        <f t="shared" si="18"/>
        <v>2.1875</v>
      </c>
      <c r="I610">
        <f t="shared" si="19"/>
        <v>72.727272727272734</v>
      </c>
    </row>
    <row r="611" spans="1:9">
      <c r="A611">
        <v>610</v>
      </c>
      <c r="B611">
        <v>290</v>
      </c>
      <c r="C611" s="1">
        <v>46268</v>
      </c>
      <c r="D611" t="s">
        <v>383</v>
      </c>
      <c r="E611">
        <v>4</v>
      </c>
      <c r="F611" t="str">
        <f>_xlfn.XLOOKUP(B611,Employee_Master!A:A,Employee_Master!E:E,"Not Found")</f>
        <v>Customer Support</v>
      </c>
      <c r="G611" t="s">
        <v>381</v>
      </c>
      <c r="H611">
        <f t="shared" si="18"/>
        <v>2.225806451612903</v>
      </c>
      <c r="I611">
        <f t="shared" si="19"/>
        <v>71.875</v>
      </c>
    </row>
    <row r="612" spans="1:9">
      <c r="A612">
        <v>611</v>
      </c>
      <c r="B612">
        <v>290</v>
      </c>
      <c r="C612" s="1">
        <v>45963</v>
      </c>
      <c r="D612" t="s">
        <v>384</v>
      </c>
      <c r="E612">
        <v>2</v>
      </c>
      <c r="F612" t="str">
        <f>_xlfn.XLOOKUP(B612,Employee_Master!A:A,Employee_Master!E:E,"Not Found")</f>
        <v>Customer Support</v>
      </c>
      <c r="G612" t="s">
        <v>381</v>
      </c>
      <c r="H612">
        <f t="shared" si="18"/>
        <v>2.1666666666666665</v>
      </c>
      <c r="I612">
        <f t="shared" si="19"/>
        <v>70.967741935483872</v>
      </c>
    </row>
    <row r="613" spans="1:9">
      <c r="A613">
        <v>612</v>
      </c>
      <c r="B613">
        <v>291</v>
      </c>
      <c r="C613" s="1">
        <v>46056</v>
      </c>
      <c r="D613" t="s">
        <v>380</v>
      </c>
      <c r="E613">
        <v>4</v>
      </c>
      <c r="F613" t="str">
        <f>_xlfn.XLOOKUP(B613,Employee_Master!A:A,Employee_Master!E:E,"Not Found")</f>
        <v>Sales</v>
      </c>
      <c r="G613" t="s">
        <v>386</v>
      </c>
      <c r="H613">
        <f t="shared" si="18"/>
        <v>2.1724137931034484</v>
      </c>
      <c r="I613">
        <f t="shared" si="19"/>
        <v>70</v>
      </c>
    </row>
    <row r="614" spans="1:9">
      <c r="A614">
        <v>613</v>
      </c>
      <c r="B614">
        <v>291</v>
      </c>
      <c r="C614" s="1">
        <v>45932</v>
      </c>
      <c r="D614" t="s">
        <v>380</v>
      </c>
      <c r="E614">
        <v>1</v>
      </c>
      <c r="F614" t="str">
        <f>_xlfn.XLOOKUP(B614,Employee_Master!A:A,Employee_Master!E:E,"Not Found")</f>
        <v>Sales</v>
      </c>
      <c r="G614" t="s">
        <v>381</v>
      </c>
      <c r="H614">
        <f t="shared" si="18"/>
        <v>2.1071428571428572</v>
      </c>
      <c r="I614">
        <f t="shared" si="19"/>
        <v>68.965517241379317</v>
      </c>
    </row>
    <row r="615" spans="1:9">
      <c r="A615">
        <v>614</v>
      </c>
      <c r="B615">
        <v>292</v>
      </c>
      <c r="C615" s="1">
        <v>46145</v>
      </c>
      <c r="D615" t="s">
        <v>383</v>
      </c>
      <c r="E615">
        <v>1</v>
      </c>
      <c r="F615" t="str">
        <f>_xlfn.XLOOKUP(B615,Employee_Master!A:A,Employee_Master!E:E,"Not Found")</f>
        <v>HR</v>
      </c>
      <c r="G615" t="s">
        <v>385</v>
      </c>
      <c r="H615">
        <f t="shared" si="18"/>
        <v>2.1481481481481484</v>
      </c>
      <c r="I615">
        <f t="shared" si="19"/>
        <v>71.428571428571431</v>
      </c>
    </row>
    <row r="616" spans="1:9">
      <c r="A616">
        <v>615</v>
      </c>
      <c r="B616">
        <v>292</v>
      </c>
      <c r="C616" s="1">
        <v>46030</v>
      </c>
      <c r="D616" t="s">
        <v>380</v>
      </c>
      <c r="E616">
        <v>1</v>
      </c>
      <c r="F616" t="str">
        <f>_xlfn.XLOOKUP(B616,Employee_Master!A:A,Employee_Master!E:E,"Not Found")</f>
        <v>HR</v>
      </c>
      <c r="G616" t="s">
        <v>381</v>
      </c>
      <c r="H616">
        <f t="shared" si="18"/>
        <v>2.1923076923076925</v>
      </c>
      <c r="I616">
        <f t="shared" si="19"/>
        <v>70.370370370370367</v>
      </c>
    </row>
    <row r="617" spans="1:9">
      <c r="A617">
        <v>616</v>
      </c>
      <c r="B617">
        <v>292</v>
      </c>
      <c r="C617" s="1">
        <v>46148</v>
      </c>
      <c r="D617" t="s">
        <v>383</v>
      </c>
      <c r="E617">
        <v>3</v>
      </c>
      <c r="F617" t="str">
        <f>_xlfn.XLOOKUP(B617,Employee_Master!A:A,Employee_Master!E:E,"Not Found")</f>
        <v>HR</v>
      </c>
      <c r="G617" t="s">
        <v>386</v>
      </c>
      <c r="H617">
        <f t="shared" si="18"/>
        <v>2.2400000000000002</v>
      </c>
      <c r="I617">
        <f t="shared" si="19"/>
        <v>73.076923076923066</v>
      </c>
    </row>
    <row r="618" spans="1:9">
      <c r="A618">
        <v>617</v>
      </c>
      <c r="B618">
        <v>292</v>
      </c>
      <c r="C618" s="1">
        <v>46033</v>
      </c>
      <c r="D618" t="s">
        <v>382</v>
      </c>
      <c r="E618">
        <v>3</v>
      </c>
      <c r="F618" t="str">
        <f>_xlfn.XLOOKUP(B618,Employee_Master!A:A,Employee_Master!E:E,"Not Found")</f>
        <v>HR</v>
      </c>
      <c r="G618" t="s">
        <v>381</v>
      </c>
      <c r="H618">
        <f t="shared" si="18"/>
        <v>2.2083333333333335</v>
      </c>
      <c r="I618">
        <f t="shared" si="19"/>
        <v>72</v>
      </c>
    </row>
    <row r="619" spans="1:9">
      <c r="A619">
        <v>618</v>
      </c>
      <c r="B619">
        <v>293</v>
      </c>
      <c r="C619" s="1">
        <v>46172</v>
      </c>
      <c r="D619" t="s">
        <v>380</v>
      </c>
      <c r="E619">
        <v>2</v>
      </c>
      <c r="F619" t="str">
        <f>_xlfn.XLOOKUP(B619,Employee_Master!A:A,Employee_Master!E:E,"Not Found")</f>
        <v>Marketing</v>
      </c>
      <c r="G619" t="s">
        <v>381</v>
      </c>
      <c r="H619">
        <f t="shared" si="18"/>
        <v>2.1739130434782608</v>
      </c>
      <c r="I619">
        <f t="shared" si="19"/>
        <v>75</v>
      </c>
    </row>
    <row r="620" spans="1:9">
      <c r="A620">
        <v>619</v>
      </c>
      <c r="B620">
        <v>293</v>
      </c>
      <c r="C620" s="1">
        <v>45954</v>
      </c>
      <c r="D620" t="s">
        <v>383</v>
      </c>
      <c r="E620">
        <v>3</v>
      </c>
      <c r="F620" t="str">
        <f>_xlfn.XLOOKUP(B620,Employee_Master!A:A,Employee_Master!E:E,"Not Found")</f>
        <v>Marketing</v>
      </c>
      <c r="G620" t="s">
        <v>385</v>
      </c>
      <c r="H620">
        <f t="shared" si="18"/>
        <v>2.1818181818181817</v>
      </c>
      <c r="I620">
        <f t="shared" si="19"/>
        <v>73.91304347826086</v>
      </c>
    </row>
    <row r="621" spans="1:9">
      <c r="A621">
        <v>620</v>
      </c>
      <c r="B621">
        <v>293</v>
      </c>
      <c r="C621" s="1">
        <v>46054</v>
      </c>
      <c r="D621" t="s">
        <v>383</v>
      </c>
      <c r="E621">
        <v>4</v>
      </c>
      <c r="F621" t="str">
        <f>_xlfn.XLOOKUP(B621,Employee_Master!A:A,Employee_Master!E:E,"Not Found")</f>
        <v>Marketing</v>
      </c>
      <c r="G621" t="s">
        <v>381</v>
      </c>
      <c r="H621">
        <f t="shared" si="18"/>
        <v>2.1428571428571428</v>
      </c>
      <c r="I621">
        <f t="shared" si="19"/>
        <v>72.727272727272734</v>
      </c>
    </row>
    <row r="622" spans="1:9">
      <c r="A622">
        <v>621</v>
      </c>
      <c r="B622">
        <v>294</v>
      </c>
      <c r="C622" s="1">
        <v>46218</v>
      </c>
      <c r="D622" t="s">
        <v>384</v>
      </c>
      <c r="E622">
        <v>1</v>
      </c>
      <c r="F622" t="str">
        <f>_xlfn.XLOOKUP(B622,Employee_Master!A:A,Employee_Master!E:E,"Not Found")</f>
        <v>HR</v>
      </c>
      <c r="G622" t="s">
        <v>381</v>
      </c>
      <c r="H622">
        <f t="shared" si="18"/>
        <v>2.0499999999999998</v>
      </c>
      <c r="I622">
        <f t="shared" si="19"/>
        <v>76.19047619047619</v>
      </c>
    </row>
    <row r="623" spans="1:9">
      <c r="A623">
        <v>622</v>
      </c>
      <c r="B623">
        <v>294</v>
      </c>
      <c r="C623" s="1">
        <v>46220</v>
      </c>
      <c r="D623" t="s">
        <v>380</v>
      </c>
      <c r="E623">
        <v>2</v>
      </c>
      <c r="F623" t="str">
        <f>_xlfn.XLOOKUP(B623,Employee_Master!A:A,Employee_Master!E:E,"Not Found")</f>
        <v>HR</v>
      </c>
      <c r="G623" t="s">
        <v>385</v>
      </c>
      <c r="H623">
        <f t="shared" si="18"/>
        <v>2.1052631578947367</v>
      </c>
      <c r="I623">
        <f t="shared" si="19"/>
        <v>75</v>
      </c>
    </row>
    <row r="624" spans="1:9">
      <c r="A624">
        <v>623</v>
      </c>
      <c r="B624">
        <v>294</v>
      </c>
      <c r="C624" s="1">
        <v>45953</v>
      </c>
      <c r="D624" t="s">
        <v>380</v>
      </c>
      <c r="E624">
        <v>4</v>
      </c>
      <c r="F624" t="str">
        <f>_xlfn.XLOOKUP(B624,Employee_Master!A:A,Employee_Master!E:E,"Not Found")</f>
        <v>HR</v>
      </c>
      <c r="G624" t="s">
        <v>385</v>
      </c>
      <c r="H624">
        <f t="shared" si="18"/>
        <v>2.1111111111111112</v>
      </c>
      <c r="I624">
        <f t="shared" si="19"/>
        <v>73.68421052631578</v>
      </c>
    </row>
    <row r="625" spans="1:9">
      <c r="A625">
        <v>624</v>
      </c>
      <c r="B625">
        <v>295</v>
      </c>
      <c r="C625" s="1">
        <v>45968</v>
      </c>
      <c r="D625" t="s">
        <v>384</v>
      </c>
      <c r="E625">
        <v>4</v>
      </c>
      <c r="F625" t="str">
        <f>_xlfn.XLOOKUP(B625,Employee_Master!A:A,Employee_Master!E:E,"Not Found")</f>
        <v>Finance</v>
      </c>
      <c r="G625" t="s">
        <v>381</v>
      </c>
      <c r="H625">
        <f t="shared" si="18"/>
        <v>2</v>
      </c>
      <c r="I625">
        <f t="shared" si="19"/>
        <v>77.777777777777786</v>
      </c>
    </row>
    <row r="626" spans="1:9">
      <c r="A626">
        <v>625</v>
      </c>
      <c r="B626">
        <v>295</v>
      </c>
      <c r="C626" s="1">
        <v>46044</v>
      </c>
      <c r="D626" t="s">
        <v>380</v>
      </c>
      <c r="E626">
        <v>2</v>
      </c>
      <c r="F626" t="str">
        <f>_xlfn.XLOOKUP(B626,Employee_Master!A:A,Employee_Master!E:E,"Not Found")</f>
        <v>Finance</v>
      </c>
      <c r="G626" t="s">
        <v>381</v>
      </c>
      <c r="H626">
        <f t="shared" si="18"/>
        <v>1.875</v>
      </c>
      <c r="I626">
        <f t="shared" si="19"/>
        <v>82.35294117647058</v>
      </c>
    </row>
    <row r="627" spans="1:9">
      <c r="A627">
        <v>626</v>
      </c>
      <c r="B627">
        <v>295</v>
      </c>
      <c r="C627" s="1">
        <v>45980</v>
      </c>
      <c r="D627" t="s">
        <v>384</v>
      </c>
      <c r="E627">
        <v>3</v>
      </c>
      <c r="F627" t="str">
        <f>_xlfn.XLOOKUP(B627,Employee_Master!A:A,Employee_Master!E:E,"Not Found")</f>
        <v>Finance</v>
      </c>
      <c r="G627" t="s">
        <v>381</v>
      </c>
      <c r="H627">
        <f t="shared" si="18"/>
        <v>1.8666666666666667</v>
      </c>
      <c r="I627">
        <f t="shared" si="19"/>
        <v>81.25</v>
      </c>
    </row>
    <row r="628" spans="1:9">
      <c r="A628">
        <v>627</v>
      </c>
      <c r="B628">
        <v>295</v>
      </c>
      <c r="C628" s="1">
        <v>46231</v>
      </c>
      <c r="D628" t="s">
        <v>382</v>
      </c>
      <c r="E628">
        <v>1</v>
      </c>
      <c r="F628" t="str">
        <f>_xlfn.XLOOKUP(B628,Employee_Master!A:A,Employee_Master!E:E,"Not Found")</f>
        <v>Finance</v>
      </c>
      <c r="G628" t="s">
        <v>381</v>
      </c>
      <c r="H628">
        <f t="shared" si="18"/>
        <v>1.7857142857142858</v>
      </c>
      <c r="I628">
        <f t="shared" si="19"/>
        <v>80</v>
      </c>
    </row>
    <row r="629" spans="1:9">
      <c r="A629">
        <v>628</v>
      </c>
      <c r="B629">
        <v>296</v>
      </c>
      <c r="C629" s="1">
        <v>46161</v>
      </c>
      <c r="D629" t="s">
        <v>380</v>
      </c>
      <c r="E629">
        <v>1</v>
      </c>
      <c r="F629" t="str">
        <f>_xlfn.XLOOKUP(B629,Employee_Master!A:A,Employee_Master!E:E,"Not Found")</f>
        <v>Finance</v>
      </c>
      <c r="G629" t="s">
        <v>381</v>
      </c>
      <c r="H629">
        <f t="shared" si="18"/>
        <v>1.8461538461538463</v>
      </c>
      <c r="I629">
        <f t="shared" si="19"/>
        <v>78.571428571428569</v>
      </c>
    </row>
    <row r="630" spans="1:9">
      <c r="A630">
        <v>629</v>
      </c>
      <c r="B630">
        <v>296</v>
      </c>
      <c r="C630" s="1">
        <v>46052</v>
      </c>
      <c r="D630" t="s">
        <v>384</v>
      </c>
      <c r="E630">
        <v>1</v>
      </c>
      <c r="F630" t="str">
        <f>_xlfn.XLOOKUP(B630,Employee_Master!A:A,Employee_Master!E:E,"Not Found")</f>
        <v>Finance</v>
      </c>
      <c r="G630" t="s">
        <v>381</v>
      </c>
      <c r="H630">
        <f t="shared" si="18"/>
        <v>1.9166666666666667</v>
      </c>
      <c r="I630">
        <f t="shared" si="19"/>
        <v>76.923076923076934</v>
      </c>
    </row>
    <row r="631" spans="1:9">
      <c r="A631">
        <v>630</v>
      </c>
      <c r="B631">
        <v>296</v>
      </c>
      <c r="C631" s="1">
        <v>46237</v>
      </c>
      <c r="D631" t="s">
        <v>380</v>
      </c>
      <c r="E631">
        <v>1</v>
      </c>
      <c r="F631" t="str">
        <f>_xlfn.XLOOKUP(B631,Employee_Master!A:A,Employee_Master!E:E,"Not Found")</f>
        <v>Finance</v>
      </c>
      <c r="G631" t="s">
        <v>385</v>
      </c>
      <c r="H631">
        <f t="shared" si="18"/>
        <v>2</v>
      </c>
      <c r="I631">
        <f t="shared" si="19"/>
        <v>75</v>
      </c>
    </row>
    <row r="632" spans="1:9">
      <c r="A632">
        <v>631</v>
      </c>
      <c r="B632">
        <v>296</v>
      </c>
      <c r="C632" s="1">
        <v>46283</v>
      </c>
      <c r="D632" t="s">
        <v>383</v>
      </c>
      <c r="E632">
        <v>2</v>
      </c>
      <c r="F632" t="str">
        <f>_xlfn.XLOOKUP(B632,Employee_Master!A:A,Employee_Master!E:E,"Not Found")</f>
        <v>Finance</v>
      </c>
      <c r="G632" t="s">
        <v>381</v>
      </c>
      <c r="H632">
        <f t="shared" si="18"/>
        <v>2.1</v>
      </c>
      <c r="I632">
        <f t="shared" si="19"/>
        <v>72.727272727272734</v>
      </c>
    </row>
    <row r="633" spans="1:9">
      <c r="A633">
        <v>632</v>
      </c>
      <c r="B633">
        <v>297</v>
      </c>
      <c r="C633" s="1">
        <v>46041</v>
      </c>
      <c r="D633" t="s">
        <v>382</v>
      </c>
      <c r="E633">
        <v>3</v>
      </c>
      <c r="F633" t="str">
        <f>_xlfn.XLOOKUP(B633,Employee_Master!A:A,Employee_Master!E:E,"Not Found")</f>
        <v>IT</v>
      </c>
      <c r="G633" t="s">
        <v>381</v>
      </c>
      <c r="H633">
        <f t="shared" si="18"/>
        <v>2.1111111111111112</v>
      </c>
      <c r="I633">
        <f t="shared" si="19"/>
        <v>80</v>
      </c>
    </row>
    <row r="634" spans="1:9">
      <c r="A634">
        <v>633</v>
      </c>
      <c r="B634">
        <v>297</v>
      </c>
      <c r="C634" s="1">
        <v>45976</v>
      </c>
      <c r="D634" t="s">
        <v>380</v>
      </c>
      <c r="E634">
        <v>3</v>
      </c>
      <c r="F634" t="str">
        <f>_xlfn.XLOOKUP(B634,Employee_Master!A:A,Employee_Master!E:E,"Not Found")</f>
        <v>IT</v>
      </c>
      <c r="G634" t="s">
        <v>381</v>
      </c>
      <c r="H634">
        <f t="shared" si="18"/>
        <v>2</v>
      </c>
      <c r="I634">
        <f t="shared" si="19"/>
        <v>77.777777777777786</v>
      </c>
    </row>
    <row r="635" spans="1:9">
      <c r="A635">
        <v>634</v>
      </c>
      <c r="B635">
        <v>297</v>
      </c>
      <c r="C635" s="1">
        <v>46149</v>
      </c>
      <c r="D635" t="s">
        <v>383</v>
      </c>
      <c r="E635">
        <v>3</v>
      </c>
      <c r="F635" t="str">
        <f>_xlfn.XLOOKUP(B635,Employee_Master!A:A,Employee_Master!E:E,"Not Found")</f>
        <v>IT</v>
      </c>
      <c r="G635" t="s">
        <v>385</v>
      </c>
      <c r="H635">
        <f t="shared" si="18"/>
        <v>1.8571428571428572</v>
      </c>
      <c r="I635">
        <f t="shared" si="19"/>
        <v>75</v>
      </c>
    </row>
    <row r="636" spans="1:9">
      <c r="A636">
        <v>635</v>
      </c>
      <c r="B636">
        <v>298</v>
      </c>
      <c r="C636" s="1">
        <v>46287</v>
      </c>
      <c r="D636" t="s">
        <v>380</v>
      </c>
      <c r="E636">
        <v>1</v>
      </c>
      <c r="F636" t="str">
        <f>_xlfn.XLOOKUP(B636,Employee_Master!A:A,Employee_Master!E:E,"Not Found")</f>
        <v>IT</v>
      </c>
      <c r="G636" t="s">
        <v>381</v>
      </c>
      <c r="H636">
        <f t="shared" si="18"/>
        <v>1.6666666666666667</v>
      </c>
      <c r="I636">
        <f t="shared" si="19"/>
        <v>71.428571428571431</v>
      </c>
    </row>
    <row r="637" spans="1:9">
      <c r="A637">
        <v>636</v>
      </c>
      <c r="B637">
        <v>298</v>
      </c>
      <c r="C637" s="1">
        <v>46252</v>
      </c>
      <c r="D637" t="s">
        <v>384</v>
      </c>
      <c r="E637">
        <v>3</v>
      </c>
      <c r="F637" t="str">
        <f>_xlfn.XLOOKUP(B637,Employee_Master!A:A,Employee_Master!E:E,"Not Found")</f>
        <v>IT</v>
      </c>
      <c r="G637" t="s">
        <v>381</v>
      </c>
      <c r="H637">
        <f t="shared" si="18"/>
        <v>1.8</v>
      </c>
      <c r="I637">
        <f t="shared" si="19"/>
        <v>83.333333333333343</v>
      </c>
    </row>
    <row r="638" spans="1:9">
      <c r="A638">
        <v>637</v>
      </c>
      <c r="B638">
        <v>298</v>
      </c>
      <c r="C638" s="1">
        <v>46019</v>
      </c>
      <c r="D638" t="s">
        <v>380</v>
      </c>
      <c r="E638">
        <v>2</v>
      </c>
      <c r="F638" t="str">
        <f>_xlfn.XLOOKUP(B638,Employee_Master!A:A,Employee_Master!E:E,"Not Found")</f>
        <v>IT</v>
      </c>
      <c r="G638" t="s">
        <v>381</v>
      </c>
      <c r="H638">
        <f t="shared" si="18"/>
        <v>1.5</v>
      </c>
      <c r="I638">
        <f t="shared" si="19"/>
        <v>80</v>
      </c>
    </row>
    <row r="639" spans="1:9">
      <c r="A639">
        <v>638</v>
      </c>
      <c r="B639">
        <v>298</v>
      </c>
      <c r="C639" s="1">
        <v>46022</v>
      </c>
      <c r="D639" t="s">
        <v>380</v>
      </c>
      <c r="E639">
        <v>2</v>
      </c>
      <c r="F639" t="str">
        <f>_xlfn.XLOOKUP(B639,Employee_Master!A:A,Employee_Master!E:E,"Not Found")</f>
        <v>IT</v>
      </c>
      <c r="G639" t="s">
        <v>381</v>
      </c>
      <c r="H639">
        <f t="shared" si="18"/>
        <v>1.3333333333333333</v>
      </c>
      <c r="I639">
        <f t="shared" si="19"/>
        <v>75</v>
      </c>
    </row>
    <row r="640" spans="1:9">
      <c r="A640">
        <v>639</v>
      </c>
      <c r="B640">
        <v>299</v>
      </c>
      <c r="C640" s="1">
        <v>46082</v>
      </c>
      <c r="D640" t="s">
        <v>382</v>
      </c>
      <c r="E640">
        <v>1</v>
      </c>
      <c r="F640" t="str">
        <f>_xlfn.XLOOKUP(B640,Employee_Master!A:A,Employee_Master!E:E,"Not Found")</f>
        <v>Finance</v>
      </c>
      <c r="G640" t="s">
        <v>385</v>
      </c>
      <c r="H640">
        <f t="shared" si="18"/>
        <v>1</v>
      </c>
      <c r="I640">
        <f t="shared" si="19"/>
        <v>66.666666666666657</v>
      </c>
    </row>
    <row r="641" spans="1:9">
      <c r="A641">
        <v>640</v>
      </c>
      <c r="B641">
        <v>300</v>
      </c>
      <c r="C641" s="1">
        <v>46247</v>
      </c>
      <c r="D641" t="s">
        <v>380</v>
      </c>
      <c r="E641">
        <v>1</v>
      </c>
      <c r="F641" t="str">
        <f>_xlfn.XLOOKUP(B641,Employee_Master!A:A,Employee_Master!E:E,"Not Found")</f>
        <v>Marketing</v>
      </c>
      <c r="G641" t="s">
        <v>381</v>
      </c>
      <c r="H641">
        <f t="shared" si="18"/>
        <v>1</v>
      </c>
      <c r="I641">
        <f t="shared" si="19"/>
        <v>50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A123-153E-49E2-964E-5A901727D9B3}">
  <dimension ref="A1:F641"/>
  <sheetViews>
    <sheetView workbookViewId="0">
      <selection activeCell="C26" sqref="A1:F641"/>
    </sheetView>
  </sheetViews>
  <sheetFormatPr defaultRowHeight="14.4"/>
  <cols>
    <col min="1" max="1" width="12.109375" bestFit="1" customWidth="1"/>
    <col min="2" max="2" width="11" bestFit="1" customWidth="1"/>
    <col min="3" max="3" width="15.21875" bestFit="1" customWidth="1"/>
    <col min="4" max="4" width="2" bestFit="1" customWidth="1"/>
    <col min="5" max="5" width="15.77734375" bestFit="1" customWidth="1"/>
    <col min="6" max="6" width="8.77734375" bestFit="1" customWidth="1"/>
  </cols>
  <sheetData>
    <row r="1" spans="1:6">
      <c r="A1" s="24" t="s">
        <v>10</v>
      </c>
      <c r="B1" s="24" t="s">
        <v>377</v>
      </c>
      <c r="C1" s="24" t="s">
        <v>378</v>
      </c>
      <c r="D1" s="24" t="s">
        <v>23</v>
      </c>
      <c r="E1" s="24" t="s">
        <v>14</v>
      </c>
      <c r="F1" s="24" t="s">
        <v>379</v>
      </c>
    </row>
    <row r="2" spans="1:6">
      <c r="A2" s="11">
        <v>1</v>
      </c>
      <c r="B2" s="21">
        <v>46185</v>
      </c>
      <c r="C2" s="11" t="s">
        <v>380</v>
      </c>
      <c r="D2" s="11">
        <v>4</v>
      </c>
      <c r="E2" s="11" t="str">
        <f>_xlfn.XLOOKUP(A2,Employee_Master!A:A,Employee_Master!E:E,"Not Found")</f>
        <v>Marketing</v>
      </c>
      <c r="F2" s="15" t="s">
        <v>381</v>
      </c>
    </row>
    <row r="3" spans="1:6">
      <c r="A3" s="14">
        <v>2</v>
      </c>
      <c r="B3" s="22">
        <v>46066</v>
      </c>
      <c r="C3" s="12" t="s">
        <v>382</v>
      </c>
      <c r="D3" s="12">
        <v>3</v>
      </c>
      <c r="E3" s="11" t="str">
        <f>_xlfn.XLOOKUP(A3,Employee_Master!A:A,Employee_Master!E:E,"Not Found")</f>
        <v>IT</v>
      </c>
      <c r="F3" s="16" t="s">
        <v>381</v>
      </c>
    </row>
    <row r="4" spans="1:6">
      <c r="A4" s="13">
        <v>3</v>
      </c>
      <c r="B4" s="21">
        <v>46155</v>
      </c>
      <c r="C4" s="11" t="s">
        <v>383</v>
      </c>
      <c r="D4" s="11">
        <v>2</v>
      </c>
      <c r="E4" s="11" t="str">
        <f>_xlfn.XLOOKUP(A4,Employee_Master!A:A,Employee_Master!E:E,"Not Found")</f>
        <v>Customer Support</v>
      </c>
      <c r="F4" s="15" t="s">
        <v>381</v>
      </c>
    </row>
    <row r="5" spans="1:6">
      <c r="A5" s="14">
        <v>4</v>
      </c>
      <c r="B5" s="22">
        <v>46096</v>
      </c>
      <c r="C5" s="12" t="s">
        <v>384</v>
      </c>
      <c r="D5" s="12">
        <v>1</v>
      </c>
      <c r="E5" s="11" t="str">
        <f>_xlfn.XLOOKUP(A5,Employee_Master!A:A,Employee_Master!E:E,"Not Found")</f>
        <v>HR</v>
      </c>
      <c r="F5" s="16" t="s">
        <v>381</v>
      </c>
    </row>
    <row r="6" spans="1:6">
      <c r="A6" s="13">
        <v>5</v>
      </c>
      <c r="B6" s="21">
        <v>46089</v>
      </c>
      <c r="C6" s="11" t="s">
        <v>383</v>
      </c>
      <c r="D6" s="11">
        <v>2</v>
      </c>
      <c r="E6" s="11" t="str">
        <f>_xlfn.XLOOKUP(A6,Employee_Master!A:A,Employee_Master!E:E,"Not Found")</f>
        <v>Sales</v>
      </c>
      <c r="F6" s="15" t="s">
        <v>385</v>
      </c>
    </row>
    <row r="7" spans="1:6">
      <c r="A7" s="14">
        <v>6</v>
      </c>
      <c r="B7" s="22">
        <v>46247</v>
      </c>
      <c r="C7" s="12" t="s">
        <v>384</v>
      </c>
      <c r="D7" s="12">
        <v>2</v>
      </c>
      <c r="E7" s="11" t="str">
        <f>_xlfn.XLOOKUP(A7,Employee_Master!A:A,Employee_Master!E:E,"Not Found")</f>
        <v>Sales</v>
      </c>
      <c r="F7" s="16" t="s">
        <v>381</v>
      </c>
    </row>
    <row r="8" spans="1:6">
      <c r="A8" s="13">
        <v>7</v>
      </c>
      <c r="B8" s="21">
        <v>45977</v>
      </c>
      <c r="C8" s="11" t="s">
        <v>382</v>
      </c>
      <c r="D8" s="11">
        <v>3</v>
      </c>
      <c r="E8" s="11" t="str">
        <f>_xlfn.XLOOKUP(A8,Employee_Master!A:A,Employee_Master!E:E,"Not Found")</f>
        <v>Marketing</v>
      </c>
      <c r="F8" s="15" t="s">
        <v>381</v>
      </c>
    </row>
    <row r="9" spans="1:6">
      <c r="A9" s="14">
        <v>8</v>
      </c>
      <c r="B9" s="22">
        <v>46105</v>
      </c>
      <c r="C9" s="12" t="s">
        <v>383</v>
      </c>
      <c r="D9" s="12">
        <v>4</v>
      </c>
      <c r="E9" s="11" t="str">
        <f>_xlfn.XLOOKUP(A9,Employee_Master!A:A,Employee_Master!E:E,"Not Found")</f>
        <v>Finance</v>
      </c>
      <c r="F9" s="16" t="s">
        <v>381</v>
      </c>
    </row>
    <row r="10" spans="1:6">
      <c r="A10" s="13">
        <v>9</v>
      </c>
      <c r="B10" s="21">
        <v>45984</v>
      </c>
      <c r="C10" s="11" t="s">
        <v>383</v>
      </c>
      <c r="D10" s="11">
        <v>1</v>
      </c>
      <c r="E10" s="11" t="str">
        <f>_xlfn.XLOOKUP(A10,Employee_Master!A:A,Employee_Master!E:E,"Not Found")</f>
        <v>HR</v>
      </c>
      <c r="F10" s="15" t="s">
        <v>381</v>
      </c>
    </row>
    <row r="11" spans="1:6">
      <c r="A11" s="14">
        <v>10</v>
      </c>
      <c r="B11" s="22">
        <v>46046</v>
      </c>
      <c r="C11" s="12" t="s">
        <v>382</v>
      </c>
      <c r="D11" s="12">
        <v>1</v>
      </c>
      <c r="E11" s="11" t="str">
        <f>_xlfn.XLOOKUP(A11,Employee_Master!A:A,Employee_Master!E:E,"Not Found")</f>
        <v>Customer Support</v>
      </c>
      <c r="F11" s="16" t="s">
        <v>381</v>
      </c>
    </row>
    <row r="12" spans="1:6">
      <c r="A12" s="13">
        <v>11</v>
      </c>
      <c r="B12" s="21">
        <v>46211</v>
      </c>
      <c r="C12" s="11" t="s">
        <v>380</v>
      </c>
      <c r="D12" s="11">
        <v>3</v>
      </c>
      <c r="E12" s="11" t="str">
        <f>_xlfn.XLOOKUP(A12,Employee_Master!A:A,Employee_Master!E:E,"Not Found")</f>
        <v>HR</v>
      </c>
      <c r="F12" s="15" t="s">
        <v>381</v>
      </c>
    </row>
    <row r="13" spans="1:6">
      <c r="A13" s="14">
        <v>12</v>
      </c>
      <c r="B13" s="22">
        <v>46045</v>
      </c>
      <c r="C13" s="12" t="s">
        <v>380</v>
      </c>
      <c r="D13" s="12">
        <v>2</v>
      </c>
      <c r="E13" s="11" t="str">
        <f>_xlfn.XLOOKUP(A13,Employee_Master!A:A,Employee_Master!E:E,"Not Found")</f>
        <v>Marketing</v>
      </c>
      <c r="F13" s="16" t="s">
        <v>381</v>
      </c>
    </row>
    <row r="14" spans="1:6">
      <c r="A14" s="13">
        <v>13</v>
      </c>
      <c r="B14" s="21">
        <v>46156</v>
      </c>
      <c r="C14" s="11" t="s">
        <v>380</v>
      </c>
      <c r="D14" s="11">
        <v>2</v>
      </c>
      <c r="E14" s="11" t="str">
        <f>_xlfn.XLOOKUP(A14,Employee_Master!A:A,Employee_Master!E:E,"Not Found")</f>
        <v>HR</v>
      </c>
      <c r="F14" s="15" t="s">
        <v>381</v>
      </c>
    </row>
    <row r="15" spans="1:6">
      <c r="A15" s="14">
        <v>14</v>
      </c>
      <c r="B15" s="22">
        <v>46082</v>
      </c>
      <c r="C15" s="12" t="s">
        <v>380</v>
      </c>
      <c r="D15" s="12">
        <v>1</v>
      </c>
      <c r="E15" s="11" t="str">
        <f>_xlfn.XLOOKUP(A15,Employee_Master!A:A,Employee_Master!E:E,"Not Found")</f>
        <v>IT</v>
      </c>
      <c r="F15" s="16" t="s">
        <v>386</v>
      </c>
    </row>
    <row r="16" spans="1:6">
      <c r="A16" s="13">
        <v>15</v>
      </c>
      <c r="B16" s="21">
        <v>46155</v>
      </c>
      <c r="C16" s="11" t="s">
        <v>382</v>
      </c>
      <c r="D16" s="11">
        <v>2</v>
      </c>
      <c r="E16" s="11" t="str">
        <f>_xlfn.XLOOKUP(A16,Employee_Master!A:A,Employee_Master!E:E,"Not Found")</f>
        <v>Customer Support</v>
      </c>
      <c r="F16" s="15" t="s">
        <v>385</v>
      </c>
    </row>
    <row r="17" spans="1:6">
      <c r="A17" s="14">
        <v>16</v>
      </c>
      <c r="B17" s="22">
        <v>46026</v>
      </c>
      <c r="C17" s="12" t="s">
        <v>382</v>
      </c>
      <c r="D17" s="12">
        <v>4</v>
      </c>
      <c r="E17" s="11" t="str">
        <f>_xlfn.XLOOKUP(A17,Employee_Master!A:A,Employee_Master!E:E,"Not Found")</f>
        <v>Sales</v>
      </c>
      <c r="F17" s="16" t="s">
        <v>381</v>
      </c>
    </row>
    <row r="18" spans="1:6">
      <c r="A18" s="13">
        <v>17</v>
      </c>
      <c r="B18" s="21">
        <v>46292</v>
      </c>
      <c r="C18" s="11" t="s">
        <v>383</v>
      </c>
      <c r="D18" s="11">
        <v>3</v>
      </c>
      <c r="E18" s="11" t="str">
        <f>_xlfn.XLOOKUP(A18,Employee_Master!A:A,Employee_Master!E:E,"Not Found")</f>
        <v>IT</v>
      </c>
      <c r="F18" s="15" t="s">
        <v>385</v>
      </c>
    </row>
    <row r="19" spans="1:6">
      <c r="A19" s="14">
        <v>18</v>
      </c>
      <c r="B19" s="22">
        <v>46117</v>
      </c>
      <c r="C19" s="12" t="s">
        <v>380</v>
      </c>
      <c r="D19" s="12">
        <v>3</v>
      </c>
      <c r="E19" s="11" t="str">
        <f>_xlfn.XLOOKUP(A19,Employee_Master!A:A,Employee_Master!E:E,"Not Found")</f>
        <v>Sales</v>
      </c>
      <c r="F19" s="16" t="s">
        <v>386</v>
      </c>
    </row>
    <row r="20" spans="1:6">
      <c r="A20" s="13">
        <v>19</v>
      </c>
      <c r="B20" s="21">
        <v>46113</v>
      </c>
      <c r="C20" s="11" t="s">
        <v>384</v>
      </c>
      <c r="D20" s="11">
        <v>2</v>
      </c>
      <c r="E20" s="11" t="str">
        <f>_xlfn.XLOOKUP(A20,Employee_Master!A:A,Employee_Master!E:E,"Not Found")</f>
        <v>Finance</v>
      </c>
      <c r="F20" s="15" t="s">
        <v>381</v>
      </c>
    </row>
    <row r="21" spans="1:6">
      <c r="A21" s="14">
        <v>20</v>
      </c>
      <c r="B21" s="22">
        <v>46206</v>
      </c>
      <c r="C21" s="12" t="s">
        <v>380</v>
      </c>
      <c r="D21" s="12">
        <v>1</v>
      </c>
      <c r="E21" s="11" t="str">
        <f>_xlfn.XLOOKUP(A21,Employee_Master!A:A,Employee_Master!E:E,"Not Found")</f>
        <v>IT</v>
      </c>
      <c r="F21" s="16" t="s">
        <v>386</v>
      </c>
    </row>
    <row r="22" spans="1:6">
      <c r="A22" s="13">
        <v>21</v>
      </c>
      <c r="B22" s="21">
        <v>46205</v>
      </c>
      <c r="C22" s="11" t="s">
        <v>383</v>
      </c>
      <c r="D22" s="11">
        <v>1</v>
      </c>
      <c r="E22" s="11" t="str">
        <f>_xlfn.XLOOKUP(A22,Employee_Master!A:A,Employee_Master!E:E,"Not Found")</f>
        <v>IT</v>
      </c>
      <c r="F22" s="15" t="s">
        <v>386</v>
      </c>
    </row>
    <row r="23" spans="1:6">
      <c r="A23" s="14">
        <v>22</v>
      </c>
      <c r="B23" s="22">
        <v>46047</v>
      </c>
      <c r="C23" s="12" t="s">
        <v>383</v>
      </c>
      <c r="D23" s="12">
        <v>2</v>
      </c>
      <c r="E23" s="11" t="str">
        <f>_xlfn.XLOOKUP(A23,Employee_Master!A:A,Employee_Master!E:E,"Not Found")</f>
        <v>IT</v>
      </c>
      <c r="F23" s="16" t="s">
        <v>385</v>
      </c>
    </row>
    <row r="24" spans="1:6">
      <c r="A24" s="13">
        <v>23</v>
      </c>
      <c r="B24" s="21">
        <v>46068</v>
      </c>
      <c r="C24" s="11" t="s">
        <v>384</v>
      </c>
      <c r="D24" s="11">
        <v>4</v>
      </c>
      <c r="E24" s="11" t="str">
        <f>_xlfn.XLOOKUP(A24,Employee_Master!A:A,Employee_Master!E:E,"Not Found")</f>
        <v>IT</v>
      </c>
      <c r="F24" s="15" t="s">
        <v>386</v>
      </c>
    </row>
    <row r="25" spans="1:6">
      <c r="A25" s="14">
        <v>24</v>
      </c>
      <c r="B25" s="22">
        <v>46185</v>
      </c>
      <c r="C25" s="12" t="s">
        <v>382</v>
      </c>
      <c r="D25" s="12">
        <v>1</v>
      </c>
      <c r="E25" s="11" t="str">
        <f>_xlfn.XLOOKUP(A25,Employee_Master!A:A,Employee_Master!E:E,"Not Found")</f>
        <v>Operations</v>
      </c>
      <c r="F25" s="16" t="s">
        <v>381</v>
      </c>
    </row>
    <row r="26" spans="1:6">
      <c r="A26" s="13">
        <v>25</v>
      </c>
      <c r="B26" s="21">
        <v>45942</v>
      </c>
      <c r="C26" s="11" t="s">
        <v>382</v>
      </c>
      <c r="D26" s="11">
        <v>1</v>
      </c>
      <c r="E26" s="11" t="str">
        <f>_xlfn.XLOOKUP(A26,Employee_Master!A:A,Employee_Master!E:E,"Not Found")</f>
        <v>HR</v>
      </c>
      <c r="F26" s="15" t="s">
        <v>381</v>
      </c>
    </row>
    <row r="27" spans="1:6">
      <c r="A27" s="14">
        <v>26</v>
      </c>
      <c r="B27" s="22">
        <v>46175</v>
      </c>
      <c r="C27" s="12" t="s">
        <v>380</v>
      </c>
      <c r="D27" s="12">
        <v>1</v>
      </c>
      <c r="E27" s="11" t="str">
        <f>_xlfn.XLOOKUP(A27,Employee_Master!A:A,Employee_Master!E:E,"Not Found")</f>
        <v>HR</v>
      </c>
      <c r="F27" s="16" t="s">
        <v>381</v>
      </c>
    </row>
    <row r="28" spans="1:6">
      <c r="A28" s="13">
        <v>27</v>
      </c>
      <c r="B28" s="21">
        <v>46222</v>
      </c>
      <c r="C28" s="11" t="s">
        <v>383</v>
      </c>
      <c r="D28" s="11">
        <v>1</v>
      </c>
      <c r="E28" s="11" t="str">
        <f>_xlfn.XLOOKUP(A28,Employee_Master!A:A,Employee_Master!E:E,"Not Found")</f>
        <v>Sales</v>
      </c>
      <c r="F28" s="15" t="s">
        <v>386</v>
      </c>
    </row>
    <row r="29" spans="1:6">
      <c r="A29" s="14">
        <v>28</v>
      </c>
      <c r="B29" s="22">
        <v>46182</v>
      </c>
      <c r="C29" s="12" t="s">
        <v>382</v>
      </c>
      <c r="D29" s="12">
        <v>2</v>
      </c>
      <c r="E29" s="11" t="str">
        <f>_xlfn.XLOOKUP(A29,Employee_Master!A:A,Employee_Master!E:E,"Not Found")</f>
        <v>IT</v>
      </c>
      <c r="F29" s="16" t="s">
        <v>385</v>
      </c>
    </row>
    <row r="30" spans="1:6">
      <c r="A30" s="13">
        <v>29</v>
      </c>
      <c r="B30" s="21">
        <v>46269</v>
      </c>
      <c r="C30" s="11" t="s">
        <v>382</v>
      </c>
      <c r="D30" s="11">
        <v>3</v>
      </c>
      <c r="E30" s="11" t="str">
        <f>_xlfn.XLOOKUP(A30,Employee_Master!A:A,Employee_Master!E:E,"Not Found")</f>
        <v>Marketing</v>
      </c>
      <c r="F30" s="15" t="s">
        <v>386</v>
      </c>
    </row>
    <row r="31" spans="1:6">
      <c r="A31" s="14">
        <v>30</v>
      </c>
      <c r="B31" s="22">
        <v>46100</v>
      </c>
      <c r="C31" s="12" t="s">
        <v>380</v>
      </c>
      <c r="D31" s="12">
        <v>4</v>
      </c>
      <c r="E31" s="11" t="str">
        <f>_xlfn.XLOOKUP(A31,Employee_Master!A:A,Employee_Master!E:E,"Not Found")</f>
        <v>Sales</v>
      </c>
      <c r="F31" s="16" t="s">
        <v>381</v>
      </c>
    </row>
    <row r="32" spans="1:6">
      <c r="A32" s="13">
        <v>31</v>
      </c>
      <c r="B32" s="21">
        <v>46207</v>
      </c>
      <c r="C32" s="11" t="s">
        <v>383</v>
      </c>
      <c r="D32" s="11">
        <v>1</v>
      </c>
      <c r="E32" s="11" t="str">
        <f>_xlfn.XLOOKUP(A32,Employee_Master!A:A,Employee_Master!E:E,"Not Found")</f>
        <v>Customer Support</v>
      </c>
      <c r="F32" s="15" t="s">
        <v>386</v>
      </c>
    </row>
    <row r="33" spans="1:6">
      <c r="A33" s="14">
        <v>32</v>
      </c>
      <c r="B33" s="22">
        <v>46231</v>
      </c>
      <c r="C33" s="12" t="s">
        <v>384</v>
      </c>
      <c r="D33" s="12">
        <v>1</v>
      </c>
      <c r="E33" s="11" t="str">
        <f>_xlfn.XLOOKUP(A33,Employee_Master!A:A,Employee_Master!E:E,"Not Found")</f>
        <v>Sales</v>
      </c>
      <c r="F33" s="16" t="s">
        <v>386</v>
      </c>
    </row>
    <row r="34" spans="1:6">
      <c r="A34" s="13">
        <v>33</v>
      </c>
      <c r="B34" s="21">
        <v>45963</v>
      </c>
      <c r="C34" s="11" t="s">
        <v>382</v>
      </c>
      <c r="D34" s="11">
        <v>2</v>
      </c>
      <c r="E34" s="11" t="str">
        <f>_xlfn.XLOOKUP(A34,Employee_Master!A:A,Employee_Master!E:E,"Not Found")</f>
        <v>IT</v>
      </c>
      <c r="F34" s="15" t="s">
        <v>381</v>
      </c>
    </row>
    <row r="35" spans="1:6">
      <c r="A35" s="14">
        <v>34</v>
      </c>
      <c r="B35" s="22">
        <v>46238</v>
      </c>
      <c r="C35" s="12" t="s">
        <v>380</v>
      </c>
      <c r="D35" s="12">
        <v>2</v>
      </c>
      <c r="E35" s="11" t="str">
        <f>_xlfn.XLOOKUP(A35,Employee_Master!A:A,Employee_Master!E:E,"Not Found")</f>
        <v>IT</v>
      </c>
      <c r="F35" s="16" t="s">
        <v>381</v>
      </c>
    </row>
    <row r="36" spans="1:6">
      <c r="A36" s="13">
        <v>35</v>
      </c>
      <c r="B36" s="21">
        <v>45992</v>
      </c>
      <c r="C36" s="11" t="s">
        <v>383</v>
      </c>
      <c r="D36" s="11">
        <v>1</v>
      </c>
      <c r="E36" s="11" t="str">
        <f>_xlfn.XLOOKUP(A36,Employee_Master!A:A,Employee_Master!E:E,"Not Found")</f>
        <v>Operations</v>
      </c>
      <c r="F36" s="15" t="s">
        <v>381</v>
      </c>
    </row>
    <row r="37" spans="1:6">
      <c r="A37" s="14">
        <v>36</v>
      </c>
      <c r="B37" s="22">
        <v>46137</v>
      </c>
      <c r="C37" s="12" t="s">
        <v>382</v>
      </c>
      <c r="D37" s="12">
        <v>4</v>
      </c>
      <c r="E37" s="11" t="str">
        <f>_xlfn.XLOOKUP(A37,Employee_Master!A:A,Employee_Master!E:E,"Not Found")</f>
        <v>Marketing</v>
      </c>
      <c r="F37" s="16" t="s">
        <v>385</v>
      </c>
    </row>
    <row r="38" spans="1:6">
      <c r="A38" s="13">
        <v>37</v>
      </c>
      <c r="B38" s="21">
        <v>46287</v>
      </c>
      <c r="C38" s="11" t="s">
        <v>382</v>
      </c>
      <c r="D38" s="11">
        <v>2</v>
      </c>
      <c r="E38" s="11" t="str">
        <f>_xlfn.XLOOKUP(A38,Employee_Master!A:A,Employee_Master!E:E,"Not Found")</f>
        <v>Sales</v>
      </c>
      <c r="F38" s="15" t="s">
        <v>381</v>
      </c>
    </row>
    <row r="39" spans="1:6">
      <c r="A39" s="14">
        <v>38</v>
      </c>
      <c r="B39" s="22">
        <v>45980</v>
      </c>
      <c r="C39" s="12" t="s">
        <v>383</v>
      </c>
      <c r="D39" s="12">
        <v>3</v>
      </c>
      <c r="E39" s="11" t="str">
        <f>_xlfn.XLOOKUP(A39,Employee_Master!A:A,Employee_Master!E:E,"Not Found")</f>
        <v>Customer Support</v>
      </c>
      <c r="F39" s="16" t="s">
        <v>381</v>
      </c>
    </row>
    <row r="40" spans="1:6">
      <c r="A40" s="13">
        <v>39</v>
      </c>
      <c r="B40" s="21">
        <v>46060</v>
      </c>
      <c r="C40" s="11" t="s">
        <v>382</v>
      </c>
      <c r="D40" s="11">
        <v>1</v>
      </c>
      <c r="E40" s="11" t="str">
        <f>_xlfn.XLOOKUP(A40,Employee_Master!A:A,Employee_Master!E:E,"Not Found")</f>
        <v>Operations</v>
      </c>
      <c r="F40" s="15" t="s">
        <v>381</v>
      </c>
    </row>
    <row r="41" spans="1:6">
      <c r="A41" s="14">
        <v>40</v>
      </c>
      <c r="B41" s="22">
        <v>46064</v>
      </c>
      <c r="C41" s="12" t="s">
        <v>382</v>
      </c>
      <c r="D41" s="12">
        <v>2</v>
      </c>
      <c r="E41" s="11" t="str">
        <f>_xlfn.XLOOKUP(A41,Employee_Master!A:A,Employee_Master!E:E,"Not Found")</f>
        <v>Finance</v>
      </c>
      <c r="F41" s="16" t="s">
        <v>381</v>
      </c>
    </row>
    <row r="42" spans="1:6">
      <c r="A42" s="13">
        <v>41</v>
      </c>
      <c r="B42" s="21">
        <v>46110</v>
      </c>
      <c r="C42" s="11" t="s">
        <v>384</v>
      </c>
      <c r="D42" s="11">
        <v>3</v>
      </c>
      <c r="E42" s="11" t="str">
        <f>_xlfn.XLOOKUP(A42,Employee_Master!A:A,Employee_Master!E:E,"Not Found")</f>
        <v>Sales</v>
      </c>
      <c r="F42" s="15" t="s">
        <v>385</v>
      </c>
    </row>
    <row r="43" spans="1:6">
      <c r="A43" s="14">
        <v>42</v>
      </c>
      <c r="B43" s="22">
        <v>46062</v>
      </c>
      <c r="C43" s="12" t="s">
        <v>384</v>
      </c>
      <c r="D43" s="12">
        <v>1</v>
      </c>
      <c r="E43" s="11" t="str">
        <f>_xlfn.XLOOKUP(A43,Employee_Master!A:A,Employee_Master!E:E,"Not Found")</f>
        <v>Customer Support</v>
      </c>
      <c r="F43" s="16" t="s">
        <v>386</v>
      </c>
    </row>
    <row r="44" spans="1:6">
      <c r="A44" s="13">
        <v>43</v>
      </c>
      <c r="B44" s="21">
        <v>45961</v>
      </c>
      <c r="C44" s="11" t="s">
        <v>383</v>
      </c>
      <c r="D44" s="11">
        <v>1</v>
      </c>
      <c r="E44" s="11" t="str">
        <f>_xlfn.XLOOKUP(A44,Employee_Master!A:A,Employee_Master!E:E,"Not Found")</f>
        <v>Customer Support</v>
      </c>
      <c r="F44" s="15" t="s">
        <v>381</v>
      </c>
    </row>
    <row r="45" spans="1:6">
      <c r="A45" s="14">
        <v>44</v>
      </c>
      <c r="B45" s="22">
        <v>45931</v>
      </c>
      <c r="C45" s="12" t="s">
        <v>384</v>
      </c>
      <c r="D45" s="12">
        <v>1</v>
      </c>
      <c r="E45" s="11" t="str">
        <f>_xlfn.XLOOKUP(A45,Employee_Master!A:A,Employee_Master!E:E,"Not Found")</f>
        <v>Marketing</v>
      </c>
      <c r="F45" s="16" t="s">
        <v>381</v>
      </c>
    </row>
    <row r="46" spans="1:6">
      <c r="A46" s="13">
        <v>45</v>
      </c>
      <c r="B46" s="21">
        <v>46127</v>
      </c>
      <c r="C46" s="11" t="s">
        <v>383</v>
      </c>
      <c r="D46" s="11">
        <v>1</v>
      </c>
      <c r="E46" s="11" t="str">
        <f>_xlfn.XLOOKUP(A46,Employee_Master!A:A,Employee_Master!E:E,"Not Found")</f>
        <v>Customer Support</v>
      </c>
      <c r="F46" s="15" t="s">
        <v>386</v>
      </c>
    </row>
    <row r="47" spans="1:6">
      <c r="A47" s="14">
        <v>46</v>
      </c>
      <c r="B47" s="22">
        <v>46122</v>
      </c>
      <c r="C47" s="12" t="s">
        <v>384</v>
      </c>
      <c r="D47" s="12">
        <v>2</v>
      </c>
      <c r="E47" s="11" t="str">
        <f>_xlfn.XLOOKUP(A47,Employee_Master!A:A,Employee_Master!E:E,"Not Found")</f>
        <v>Sales</v>
      </c>
      <c r="F47" s="16" t="s">
        <v>381</v>
      </c>
    </row>
    <row r="48" spans="1:6">
      <c r="A48" s="13">
        <v>47</v>
      </c>
      <c r="B48" s="21">
        <v>46256</v>
      </c>
      <c r="C48" s="11" t="s">
        <v>382</v>
      </c>
      <c r="D48" s="11">
        <v>2</v>
      </c>
      <c r="E48" s="11" t="str">
        <f>_xlfn.XLOOKUP(A48,Employee_Master!A:A,Employee_Master!E:E,"Not Found")</f>
        <v>Operations</v>
      </c>
      <c r="F48" s="15" t="s">
        <v>386</v>
      </c>
    </row>
    <row r="49" spans="1:6">
      <c r="A49" s="14">
        <v>48</v>
      </c>
      <c r="B49" s="22">
        <v>46042</v>
      </c>
      <c r="C49" s="12" t="s">
        <v>383</v>
      </c>
      <c r="D49" s="12">
        <v>1</v>
      </c>
      <c r="E49" s="11" t="str">
        <f>_xlfn.XLOOKUP(A49,Employee_Master!A:A,Employee_Master!E:E,"Not Found")</f>
        <v>HR</v>
      </c>
      <c r="F49" s="16" t="s">
        <v>381</v>
      </c>
    </row>
    <row r="50" spans="1:6">
      <c r="A50" s="13">
        <v>49</v>
      </c>
      <c r="B50" s="21">
        <v>46238</v>
      </c>
      <c r="C50" s="11" t="s">
        <v>383</v>
      </c>
      <c r="D50" s="11">
        <v>2</v>
      </c>
      <c r="E50" s="11" t="str">
        <f>_xlfn.XLOOKUP(A50,Employee_Master!A:A,Employee_Master!E:E,"Not Found")</f>
        <v>Marketing</v>
      </c>
      <c r="F50" s="15" t="s">
        <v>385</v>
      </c>
    </row>
    <row r="51" spans="1:6">
      <c r="A51" s="14">
        <v>50</v>
      </c>
      <c r="B51" s="22">
        <v>46190</v>
      </c>
      <c r="C51" s="12" t="s">
        <v>380</v>
      </c>
      <c r="D51" s="12">
        <v>4</v>
      </c>
      <c r="E51" s="11" t="str">
        <f>_xlfn.XLOOKUP(A51,Employee_Master!A:A,Employee_Master!E:E,"Not Found")</f>
        <v>Sales</v>
      </c>
      <c r="F51" s="16" t="s">
        <v>381</v>
      </c>
    </row>
    <row r="52" spans="1:6">
      <c r="A52" s="13">
        <v>51</v>
      </c>
      <c r="B52" s="21">
        <v>45950</v>
      </c>
      <c r="C52" s="11" t="s">
        <v>384</v>
      </c>
      <c r="D52" s="11">
        <v>3</v>
      </c>
      <c r="E52" s="11" t="str">
        <f>_xlfn.XLOOKUP(A52,Employee_Master!A:A,Employee_Master!E:E,"Not Found")</f>
        <v>HR</v>
      </c>
      <c r="F52" s="15" t="s">
        <v>381</v>
      </c>
    </row>
    <row r="53" spans="1:6">
      <c r="A53" s="14">
        <v>52</v>
      </c>
      <c r="B53" s="22">
        <v>45986</v>
      </c>
      <c r="C53" s="12" t="s">
        <v>383</v>
      </c>
      <c r="D53" s="12">
        <v>2</v>
      </c>
      <c r="E53" s="11" t="str">
        <f>_xlfn.XLOOKUP(A53,Employee_Master!A:A,Employee_Master!E:E,"Not Found")</f>
        <v>Marketing</v>
      </c>
      <c r="F53" s="16" t="s">
        <v>386</v>
      </c>
    </row>
    <row r="54" spans="1:6">
      <c r="A54" s="13">
        <v>53</v>
      </c>
      <c r="B54" s="21">
        <v>46196</v>
      </c>
      <c r="C54" s="11" t="s">
        <v>380</v>
      </c>
      <c r="D54" s="11">
        <v>1</v>
      </c>
      <c r="E54" s="11" t="str">
        <f>_xlfn.XLOOKUP(A54,Employee_Master!A:A,Employee_Master!E:E,"Not Found")</f>
        <v>Customer Support</v>
      </c>
      <c r="F54" s="15" t="s">
        <v>385</v>
      </c>
    </row>
    <row r="55" spans="1:6">
      <c r="A55" s="14">
        <v>54</v>
      </c>
      <c r="B55" s="22">
        <v>46029</v>
      </c>
      <c r="C55" s="12" t="s">
        <v>380</v>
      </c>
      <c r="D55" s="12">
        <v>3</v>
      </c>
      <c r="E55" s="11" t="str">
        <f>_xlfn.XLOOKUP(A55,Employee_Master!A:A,Employee_Master!E:E,"Not Found")</f>
        <v>Operations</v>
      </c>
      <c r="F55" s="16" t="s">
        <v>385</v>
      </c>
    </row>
    <row r="56" spans="1:6">
      <c r="A56" s="13">
        <v>55</v>
      </c>
      <c r="B56" s="21">
        <v>46130</v>
      </c>
      <c r="C56" s="11" t="s">
        <v>382</v>
      </c>
      <c r="D56" s="11">
        <v>1</v>
      </c>
      <c r="E56" s="11" t="str">
        <f>_xlfn.XLOOKUP(A56,Employee_Master!A:A,Employee_Master!E:E,"Not Found")</f>
        <v>Sales</v>
      </c>
      <c r="F56" s="15" t="s">
        <v>386</v>
      </c>
    </row>
    <row r="57" spans="1:6">
      <c r="A57" s="14">
        <v>56</v>
      </c>
      <c r="B57" s="22">
        <v>45964</v>
      </c>
      <c r="C57" s="12" t="s">
        <v>383</v>
      </c>
      <c r="D57" s="12">
        <v>2</v>
      </c>
      <c r="E57" s="11" t="str">
        <f>_xlfn.XLOOKUP(A57,Employee_Master!A:A,Employee_Master!E:E,"Not Found")</f>
        <v>IT</v>
      </c>
      <c r="F57" s="16" t="s">
        <v>381</v>
      </c>
    </row>
    <row r="58" spans="1:6">
      <c r="A58" s="13">
        <v>57</v>
      </c>
      <c r="B58" s="21">
        <v>46003</v>
      </c>
      <c r="C58" s="11" t="s">
        <v>380</v>
      </c>
      <c r="D58" s="11">
        <v>4</v>
      </c>
      <c r="E58" s="11" t="str">
        <f>_xlfn.XLOOKUP(A58,Employee_Master!A:A,Employee_Master!E:E,"Not Found")</f>
        <v>Customer Support</v>
      </c>
      <c r="F58" s="15" t="s">
        <v>381</v>
      </c>
    </row>
    <row r="59" spans="1:6">
      <c r="A59" s="14">
        <v>58</v>
      </c>
      <c r="B59" s="22">
        <v>46137</v>
      </c>
      <c r="C59" s="12" t="s">
        <v>384</v>
      </c>
      <c r="D59" s="12">
        <v>3</v>
      </c>
      <c r="E59" s="11" t="str">
        <f>_xlfn.XLOOKUP(A59,Employee_Master!A:A,Employee_Master!E:E,"Not Found")</f>
        <v>HR</v>
      </c>
      <c r="F59" s="16" t="s">
        <v>381</v>
      </c>
    </row>
    <row r="60" spans="1:6">
      <c r="A60" s="13">
        <v>59</v>
      </c>
      <c r="B60" s="21">
        <v>46268</v>
      </c>
      <c r="C60" s="11" t="s">
        <v>384</v>
      </c>
      <c r="D60" s="11">
        <v>1</v>
      </c>
      <c r="E60" s="11" t="str">
        <f>_xlfn.XLOOKUP(A60,Employee_Master!A:A,Employee_Master!E:E,"Not Found")</f>
        <v>Sales</v>
      </c>
      <c r="F60" s="15" t="s">
        <v>381</v>
      </c>
    </row>
    <row r="61" spans="1:6">
      <c r="A61" s="14">
        <v>60</v>
      </c>
      <c r="B61" s="22">
        <v>46200</v>
      </c>
      <c r="C61" s="12" t="s">
        <v>382</v>
      </c>
      <c r="D61" s="12">
        <v>2</v>
      </c>
      <c r="E61" s="11" t="str">
        <f>_xlfn.XLOOKUP(A61,Employee_Master!A:A,Employee_Master!E:E,"Not Found")</f>
        <v>HR</v>
      </c>
      <c r="F61" s="16" t="s">
        <v>381</v>
      </c>
    </row>
    <row r="62" spans="1:6">
      <c r="A62" s="13">
        <v>61</v>
      </c>
      <c r="B62" s="21">
        <v>46095</v>
      </c>
      <c r="C62" s="11" t="s">
        <v>380</v>
      </c>
      <c r="D62" s="11">
        <v>4</v>
      </c>
      <c r="E62" s="11" t="str">
        <f>_xlfn.XLOOKUP(A62,Employee_Master!A:A,Employee_Master!E:E,"Not Found")</f>
        <v>Customer Support</v>
      </c>
      <c r="F62" s="15" t="s">
        <v>381</v>
      </c>
    </row>
    <row r="63" spans="1:6">
      <c r="A63" s="14">
        <v>62</v>
      </c>
      <c r="B63" s="22">
        <v>46251</v>
      </c>
      <c r="C63" s="12" t="s">
        <v>382</v>
      </c>
      <c r="D63" s="12">
        <v>4</v>
      </c>
      <c r="E63" s="11" t="str">
        <f>_xlfn.XLOOKUP(A63,Employee_Master!A:A,Employee_Master!E:E,"Not Found")</f>
        <v>IT</v>
      </c>
      <c r="F63" s="16" t="s">
        <v>385</v>
      </c>
    </row>
    <row r="64" spans="1:6">
      <c r="A64" s="13">
        <v>63</v>
      </c>
      <c r="B64" s="21">
        <v>46124</v>
      </c>
      <c r="C64" s="11" t="s">
        <v>384</v>
      </c>
      <c r="D64" s="11">
        <v>4</v>
      </c>
      <c r="E64" s="11" t="str">
        <f>_xlfn.XLOOKUP(A64,Employee_Master!A:A,Employee_Master!E:E,"Not Found")</f>
        <v>Operations</v>
      </c>
      <c r="F64" s="15" t="s">
        <v>381</v>
      </c>
    </row>
    <row r="65" spans="1:6">
      <c r="A65" s="14">
        <v>64</v>
      </c>
      <c r="B65" s="22">
        <v>45984</v>
      </c>
      <c r="C65" s="12" t="s">
        <v>383</v>
      </c>
      <c r="D65" s="12">
        <v>4</v>
      </c>
      <c r="E65" s="11" t="str">
        <f>_xlfn.XLOOKUP(A65,Employee_Master!A:A,Employee_Master!E:E,"Not Found")</f>
        <v>Marketing</v>
      </c>
      <c r="F65" s="16" t="s">
        <v>386</v>
      </c>
    </row>
    <row r="66" spans="1:6">
      <c r="A66" s="13">
        <v>65</v>
      </c>
      <c r="B66" s="21">
        <v>46130</v>
      </c>
      <c r="C66" s="11" t="s">
        <v>383</v>
      </c>
      <c r="D66" s="11">
        <v>4</v>
      </c>
      <c r="E66" s="11" t="str">
        <f>_xlfn.XLOOKUP(A66,Employee_Master!A:A,Employee_Master!E:E,"Not Found")</f>
        <v>Finance</v>
      </c>
      <c r="F66" s="15" t="s">
        <v>381</v>
      </c>
    </row>
    <row r="67" spans="1:6">
      <c r="A67" s="14">
        <v>66</v>
      </c>
      <c r="B67" s="22">
        <v>46281</v>
      </c>
      <c r="C67" s="12" t="s">
        <v>384</v>
      </c>
      <c r="D67" s="12">
        <v>1</v>
      </c>
      <c r="E67" s="11" t="str">
        <f>_xlfn.XLOOKUP(A67,Employee_Master!A:A,Employee_Master!E:E,"Not Found")</f>
        <v>Finance</v>
      </c>
      <c r="F67" s="16" t="s">
        <v>381</v>
      </c>
    </row>
    <row r="68" spans="1:6">
      <c r="A68" s="13">
        <v>67</v>
      </c>
      <c r="B68" s="21">
        <v>46231</v>
      </c>
      <c r="C68" s="11" t="s">
        <v>380</v>
      </c>
      <c r="D68" s="11">
        <v>3</v>
      </c>
      <c r="E68" s="11" t="str">
        <f>_xlfn.XLOOKUP(A68,Employee_Master!A:A,Employee_Master!E:E,"Not Found")</f>
        <v>Finance</v>
      </c>
      <c r="F68" s="15" t="s">
        <v>381</v>
      </c>
    </row>
    <row r="69" spans="1:6">
      <c r="A69" s="14">
        <v>68</v>
      </c>
      <c r="B69" s="22">
        <v>46204</v>
      </c>
      <c r="C69" s="12" t="s">
        <v>384</v>
      </c>
      <c r="D69" s="12">
        <v>1</v>
      </c>
      <c r="E69" s="11" t="str">
        <f>_xlfn.XLOOKUP(A69,Employee_Master!A:A,Employee_Master!E:E,"Not Found")</f>
        <v>HR</v>
      </c>
      <c r="F69" s="16" t="s">
        <v>381</v>
      </c>
    </row>
    <row r="70" spans="1:6">
      <c r="A70" s="13">
        <v>69</v>
      </c>
      <c r="B70" s="21">
        <v>46027</v>
      </c>
      <c r="C70" s="11" t="s">
        <v>383</v>
      </c>
      <c r="D70" s="11">
        <v>1</v>
      </c>
      <c r="E70" s="11" t="str">
        <f>_xlfn.XLOOKUP(A70,Employee_Master!A:A,Employee_Master!E:E,"Not Found")</f>
        <v>Customer Support</v>
      </c>
      <c r="F70" s="15" t="s">
        <v>385</v>
      </c>
    </row>
    <row r="71" spans="1:6">
      <c r="A71" s="14">
        <v>70</v>
      </c>
      <c r="B71" s="22">
        <v>46191</v>
      </c>
      <c r="C71" s="12" t="s">
        <v>380</v>
      </c>
      <c r="D71" s="12">
        <v>3</v>
      </c>
      <c r="E71" s="11" t="str">
        <f>_xlfn.XLOOKUP(A71,Employee_Master!A:A,Employee_Master!E:E,"Not Found")</f>
        <v>HR</v>
      </c>
      <c r="F71" s="16" t="s">
        <v>381</v>
      </c>
    </row>
    <row r="72" spans="1:6">
      <c r="A72" s="13">
        <v>71</v>
      </c>
      <c r="B72" s="21">
        <v>46040</v>
      </c>
      <c r="C72" s="11" t="s">
        <v>384</v>
      </c>
      <c r="D72" s="11">
        <v>4</v>
      </c>
      <c r="E72" s="11" t="str">
        <f>_xlfn.XLOOKUP(A72,Employee_Master!A:A,Employee_Master!E:E,"Not Found")</f>
        <v>HR</v>
      </c>
      <c r="F72" s="15" t="s">
        <v>381</v>
      </c>
    </row>
    <row r="73" spans="1:6">
      <c r="A73" s="14">
        <v>72</v>
      </c>
      <c r="B73" s="22">
        <v>46295</v>
      </c>
      <c r="C73" s="12" t="s">
        <v>383</v>
      </c>
      <c r="D73" s="12">
        <v>1</v>
      </c>
      <c r="E73" s="11" t="str">
        <f>_xlfn.XLOOKUP(A73,Employee_Master!A:A,Employee_Master!E:E,"Not Found")</f>
        <v>HR</v>
      </c>
      <c r="F73" s="16" t="s">
        <v>381</v>
      </c>
    </row>
    <row r="74" spans="1:6">
      <c r="A74" s="13">
        <v>73</v>
      </c>
      <c r="B74" s="21">
        <v>46036</v>
      </c>
      <c r="C74" s="11" t="s">
        <v>384</v>
      </c>
      <c r="D74" s="11">
        <v>1</v>
      </c>
      <c r="E74" s="11" t="str">
        <f>_xlfn.XLOOKUP(A74,Employee_Master!A:A,Employee_Master!E:E,"Not Found")</f>
        <v>IT</v>
      </c>
      <c r="F74" s="15" t="s">
        <v>385</v>
      </c>
    </row>
    <row r="75" spans="1:6">
      <c r="A75" s="14">
        <v>74</v>
      </c>
      <c r="B75" s="22">
        <v>46036</v>
      </c>
      <c r="C75" s="12" t="s">
        <v>384</v>
      </c>
      <c r="D75" s="12">
        <v>3</v>
      </c>
      <c r="E75" s="11" t="str">
        <f>_xlfn.XLOOKUP(A75,Employee_Master!A:A,Employee_Master!E:E,"Not Found")</f>
        <v>Marketing</v>
      </c>
      <c r="F75" s="16" t="s">
        <v>381</v>
      </c>
    </row>
    <row r="76" spans="1:6">
      <c r="A76" s="13">
        <v>75</v>
      </c>
      <c r="B76" s="21">
        <v>46054</v>
      </c>
      <c r="C76" s="11" t="s">
        <v>383</v>
      </c>
      <c r="D76" s="11">
        <v>2</v>
      </c>
      <c r="E76" s="11" t="str">
        <f>_xlfn.XLOOKUP(A76,Employee_Master!A:A,Employee_Master!E:E,"Not Found")</f>
        <v>Customer Support</v>
      </c>
      <c r="F76" s="15" t="s">
        <v>385</v>
      </c>
    </row>
    <row r="77" spans="1:6">
      <c r="A77" s="14">
        <v>76</v>
      </c>
      <c r="B77" s="22">
        <v>46121</v>
      </c>
      <c r="C77" s="12" t="s">
        <v>382</v>
      </c>
      <c r="D77" s="12">
        <v>1</v>
      </c>
      <c r="E77" s="11" t="str">
        <f>_xlfn.XLOOKUP(A77,Employee_Master!A:A,Employee_Master!E:E,"Not Found")</f>
        <v>Finance</v>
      </c>
      <c r="F77" s="16" t="s">
        <v>381</v>
      </c>
    </row>
    <row r="78" spans="1:6">
      <c r="A78" s="13">
        <v>77</v>
      </c>
      <c r="B78" s="21">
        <v>46237</v>
      </c>
      <c r="C78" s="11" t="s">
        <v>380</v>
      </c>
      <c r="D78" s="11">
        <v>3</v>
      </c>
      <c r="E78" s="11" t="str">
        <f>_xlfn.XLOOKUP(A78,Employee_Master!A:A,Employee_Master!E:E,"Not Found")</f>
        <v>Finance</v>
      </c>
      <c r="F78" s="15" t="s">
        <v>385</v>
      </c>
    </row>
    <row r="79" spans="1:6">
      <c r="A79" s="14">
        <v>78</v>
      </c>
      <c r="B79" s="22">
        <v>46294</v>
      </c>
      <c r="C79" s="12" t="s">
        <v>383</v>
      </c>
      <c r="D79" s="12">
        <v>2</v>
      </c>
      <c r="E79" s="11" t="str">
        <f>_xlfn.XLOOKUP(A79,Employee_Master!A:A,Employee_Master!E:E,"Not Found")</f>
        <v>Operations</v>
      </c>
      <c r="F79" s="16" t="s">
        <v>381</v>
      </c>
    </row>
    <row r="80" spans="1:6">
      <c r="A80" s="13">
        <v>79</v>
      </c>
      <c r="B80" s="21">
        <v>46140</v>
      </c>
      <c r="C80" s="11" t="s">
        <v>384</v>
      </c>
      <c r="D80" s="11">
        <v>4</v>
      </c>
      <c r="E80" s="11" t="str">
        <f>_xlfn.XLOOKUP(A80,Employee_Master!A:A,Employee_Master!E:E,"Not Found")</f>
        <v>Finance</v>
      </c>
      <c r="F80" s="15" t="s">
        <v>385</v>
      </c>
    </row>
    <row r="81" spans="1:6">
      <c r="A81" s="14">
        <v>80</v>
      </c>
      <c r="B81" s="22">
        <v>46124</v>
      </c>
      <c r="C81" s="12" t="s">
        <v>383</v>
      </c>
      <c r="D81" s="12">
        <v>2</v>
      </c>
      <c r="E81" s="11" t="str">
        <f>_xlfn.XLOOKUP(A81,Employee_Master!A:A,Employee_Master!E:E,"Not Found")</f>
        <v>IT</v>
      </c>
      <c r="F81" s="16" t="s">
        <v>385</v>
      </c>
    </row>
    <row r="82" spans="1:6">
      <c r="A82" s="13">
        <v>81</v>
      </c>
      <c r="B82" s="21">
        <v>46060</v>
      </c>
      <c r="C82" s="11" t="s">
        <v>384</v>
      </c>
      <c r="D82" s="11">
        <v>4</v>
      </c>
      <c r="E82" s="11" t="str">
        <f>_xlfn.XLOOKUP(A82,Employee_Master!A:A,Employee_Master!E:E,"Not Found")</f>
        <v>Sales</v>
      </c>
      <c r="F82" s="15" t="s">
        <v>381</v>
      </c>
    </row>
    <row r="83" spans="1:6">
      <c r="A83" s="14">
        <v>82</v>
      </c>
      <c r="B83" s="22">
        <v>45996</v>
      </c>
      <c r="C83" s="12" t="s">
        <v>380</v>
      </c>
      <c r="D83" s="12">
        <v>1</v>
      </c>
      <c r="E83" s="11" t="str">
        <f>_xlfn.XLOOKUP(A83,Employee_Master!A:A,Employee_Master!E:E,"Not Found")</f>
        <v>Sales</v>
      </c>
      <c r="F83" s="16" t="s">
        <v>381</v>
      </c>
    </row>
    <row r="84" spans="1:6">
      <c r="A84" s="13">
        <v>83</v>
      </c>
      <c r="B84" s="21">
        <v>45990</v>
      </c>
      <c r="C84" s="11" t="s">
        <v>380</v>
      </c>
      <c r="D84" s="11">
        <v>4</v>
      </c>
      <c r="E84" s="11" t="str">
        <f>_xlfn.XLOOKUP(A84,Employee_Master!A:A,Employee_Master!E:E,"Not Found")</f>
        <v>HR</v>
      </c>
      <c r="F84" s="15" t="s">
        <v>381</v>
      </c>
    </row>
    <row r="85" spans="1:6">
      <c r="A85" s="14">
        <v>84</v>
      </c>
      <c r="B85" s="22">
        <v>46024</v>
      </c>
      <c r="C85" s="12" t="s">
        <v>383</v>
      </c>
      <c r="D85" s="12">
        <v>2</v>
      </c>
      <c r="E85" s="11" t="str">
        <f>_xlfn.XLOOKUP(A85,Employee_Master!A:A,Employee_Master!E:E,"Not Found")</f>
        <v>Customer Support</v>
      </c>
      <c r="F85" s="16" t="s">
        <v>381</v>
      </c>
    </row>
    <row r="86" spans="1:6">
      <c r="A86" s="13">
        <v>85</v>
      </c>
      <c r="B86" s="21">
        <v>46076</v>
      </c>
      <c r="C86" s="11" t="s">
        <v>383</v>
      </c>
      <c r="D86" s="11">
        <v>3</v>
      </c>
      <c r="E86" s="11" t="str">
        <f>_xlfn.XLOOKUP(A86,Employee_Master!A:A,Employee_Master!E:E,"Not Found")</f>
        <v>Customer Support</v>
      </c>
      <c r="F86" s="15" t="s">
        <v>386</v>
      </c>
    </row>
    <row r="87" spans="1:6">
      <c r="A87" s="14">
        <v>86</v>
      </c>
      <c r="B87" s="22">
        <v>46064</v>
      </c>
      <c r="C87" s="12" t="s">
        <v>384</v>
      </c>
      <c r="D87" s="12">
        <v>1</v>
      </c>
      <c r="E87" s="11" t="str">
        <f>_xlfn.XLOOKUP(A87,Employee_Master!A:A,Employee_Master!E:E,"Not Found")</f>
        <v>Customer Support</v>
      </c>
      <c r="F87" s="16" t="s">
        <v>385</v>
      </c>
    </row>
    <row r="88" spans="1:6">
      <c r="A88" s="13">
        <v>87</v>
      </c>
      <c r="B88" s="21">
        <v>46034</v>
      </c>
      <c r="C88" s="11" t="s">
        <v>384</v>
      </c>
      <c r="D88" s="11">
        <v>4</v>
      </c>
      <c r="E88" s="11" t="str">
        <f>_xlfn.XLOOKUP(A88,Employee_Master!A:A,Employee_Master!E:E,"Not Found")</f>
        <v>Customer Support</v>
      </c>
      <c r="F88" s="15" t="s">
        <v>381</v>
      </c>
    </row>
    <row r="89" spans="1:6">
      <c r="A89" s="14">
        <v>88</v>
      </c>
      <c r="B89" s="22">
        <v>46196</v>
      </c>
      <c r="C89" s="12" t="s">
        <v>384</v>
      </c>
      <c r="D89" s="12">
        <v>4</v>
      </c>
      <c r="E89" s="11" t="str">
        <f>_xlfn.XLOOKUP(A89,Employee_Master!A:A,Employee_Master!E:E,"Not Found")</f>
        <v>Operations</v>
      </c>
      <c r="F89" s="16" t="s">
        <v>385</v>
      </c>
    </row>
    <row r="90" spans="1:6">
      <c r="A90" s="13">
        <v>89</v>
      </c>
      <c r="B90" s="21">
        <v>45950</v>
      </c>
      <c r="C90" s="11" t="s">
        <v>382</v>
      </c>
      <c r="D90" s="11">
        <v>2</v>
      </c>
      <c r="E90" s="11" t="str">
        <f>_xlfn.XLOOKUP(A90,Employee_Master!A:A,Employee_Master!E:E,"Not Found")</f>
        <v>IT</v>
      </c>
      <c r="F90" s="15" t="s">
        <v>381</v>
      </c>
    </row>
    <row r="91" spans="1:6">
      <c r="A91" s="14">
        <v>90</v>
      </c>
      <c r="B91" s="22">
        <v>46154</v>
      </c>
      <c r="C91" s="12" t="s">
        <v>383</v>
      </c>
      <c r="D91" s="12">
        <v>4</v>
      </c>
      <c r="E91" s="11" t="str">
        <f>_xlfn.XLOOKUP(A91,Employee_Master!A:A,Employee_Master!E:E,"Not Found")</f>
        <v>Finance</v>
      </c>
      <c r="F91" s="16" t="s">
        <v>381</v>
      </c>
    </row>
    <row r="92" spans="1:6">
      <c r="A92" s="13">
        <v>91</v>
      </c>
      <c r="B92" s="21">
        <v>46236</v>
      </c>
      <c r="C92" s="11" t="s">
        <v>384</v>
      </c>
      <c r="D92" s="11">
        <v>2</v>
      </c>
      <c r="E92" s="11" t="str">
        <f>_xlfn.XLOOKUP(A92,Employee_Master!A:A,Employee_Master!E:E,"Not Found")</f>
        <v>Marketing</v>
      </c>
      <c r="F92" s="15" t="s">
        <v>381</v>
      </c>
    </row>
    <row r="93" spans="1:6">
      <c r="A93" s="14">
        <v>92</v>
      </c>
      <c r="B93" s="22">
        <v>46093</v>
      </c>
      <c r="C93" s="12" t="s">
        <v>384</v>
      </c>
      <c r="D93" s="12">
        <v>1</v>
      </c>
      <c r="E93" s="11" t="str">
        <f>_xlfn.XLOOKUP(A93,Employee_Master!A:A,Employee_Master!E:E,"Not Found")</f>
        <v>Finance</v>
      </c>
      <c r="F93" s="16" t="s">
        <v>381</v>
      </c>
    </row>
    <row r="94" spans="1:6">
      <c r="A94" s="13">
        <v>93</v>
      </c>
      <c r="B94" s="21">
        <v>46105</v>
      </c>
      <c r="C94" s="11" t="s">
        <v>383</v>
      </c>
      <c r="D94" s="11">
        <v>2</v>
      </c>
      <c r="E94" s="11" t="str">
        <f>_xlfn.XLOOKUP(A94,Employee_Master!A:A,Employee_Master!E:E,"Not Found")</f>
        <v>Marketing</v>
      </c>
      <c r="F94" s="15" t="s">
        <v>381</v>
      </c>
    </row>
    <row r="95" spans="1:6">
      <c r="A95" s="14">
        <v>94</v>
      </c>
      <c r="B95" s="22">
        <v>46033</v>
      </c>
      <c r="C95" s="12" t="s">
        <v>384</v>
      </c>
      <c r="D95" s="12">
        <v>4</v>
      </c>
      <c r="E95" s="11" t="str">
        <f>_xlfn.XLOOKUP(A95,Employee_Master!A:A,Employee_Master!E:E,"Not Found")</f>
        <v>Sales</v>
      </c>
      <c r="F95" s="16" t="s">
        <v>385</v>
      </c>
    </row>
    <row r="96" spans="1:6">
      <c r="A96" s="13">
        <v>95</v>
      </c>
      <c r="B96" s="21">
        <v>46009</v>
      </c>
      <c r="C96" s="11" t="s">
        <v>383</v>
      </c>
      <c r="D96" s="11">
        <v>1</v>
      </c>
      <c r="E96" s="11" t="str">
        <f>_xlfn.XLOOKUP(A96,Employee_Master!A:A,Employee_Master!E:E,"Not Found")</f>
        <v>Customer Support</v>
      </c>
      <c r="F96" s="15" t="s">
        <v>381</v>
      </c>
    </row>
    <row r="97" spans="1:6">
      <c r="A97" s="14">
        <v>96</v>
      </c>
      <c r="B97" s="22">
        <v>46025</v>
      </c>
      <c r="C97" s="12" t="s">
        <v>380</v>
      </c>
      <c r="D97" s="12">
        <v>3</v>
      </c>
      <c r="E97" s="11" t="str">
        <f>_xlfn.XLOOKUP(A97,Employee_Master!A:A,Employee_Master!E:E,"Not Found")</f>
        <v>Sales</v>
      </c>
      <c r="F97" s="16" t="s">
        <v>385</v>
      </c>
    </row>
    <row r="98" spans="1:6">
      <c r="A98" s="13">
        <v>97</v>
      </c>
      <c r="B98" s="21">
        <v>45966</v>
      </c>
      <c r="C98" s="11" t="s">
        <v>380</v>
      </c>
      <c r="D98" s="11">
        <v>3</v>
      </c>
      <c r="E98" s="11" t="str">
        <f>_xlfn.XLOOKUP(A98,Employee_Master!A:A,Employee_Master!E:E,"Not Found")</f>
        <v>IT</v>
      </c>
      <c r="F98" s="15" t="s">
        <v>386</v>
      </c>
    </row>
    <row r="99" spans="1:6">
      <c r="A99" s="14">
        <v>98</v>
      </c>
      <c r="B99" s="22">
        <v>46013</v>
      </c>
      <c r="C99" s="12" t="s">
        <v>380</v>
      </c>
      <c r="D99" s="12">
        <v>3</v>
      </c>
      <c r="E99" s="11" t="str">
        <f>_xlfn.XLOOKUP(A99,Employee_Master!A:A,Employee_Master!E:E,"Not Found")</f>
        <v>Operations</v>
      </c>
      <c r="F99" s="16" t="s">
        <v>381</v>
      </c>
    </row>
    <row r="100" spans="1:6">
      <c r="A100" s="13">
        <v>99</v>
      </c>
      <c r="B100" s="21">
        <v>45988</v>
      </c>
      <c r="C100" s="11" t="s">
        <v>384</v>
      </c>
      <c r="D100" s="11">
        <v>4</v>
      </c>
      <c r="E100" s="11" t="str">
        <f>_xlfn.XLOOKUP(A100,Employee_Master!A:A,Employee_Master!E:E,"Not Found")</f>
        <v>Finance</v>
      </c>
      <c r="F100" s="15" t="s">
        <v>386</v>
      </c>
    </row>
    <row r="101" spans="1:6">
      <c r="A101" s="14">
        <v>100</v>
      </c>
      <c r="B101" s="22">
        <v>45939</v>
      </c>
      <c r="C101" s="12" t="s">
        <v>380</v>
      </c>
      <c r="D101" s="12">
        <v>3</v>
      </c>
      <c r="E101" s="11" t="str">
        <f>_xlfn.XLOOKUP(A101,Employee_Master!A:A,Employee_Master!E:E,"Not Found")</f>
        <v>Operations</v>
      </c>
      <c r="F101" s="16" t="s">
        <v>381</v>
      </c>
    </row>
    <row r="102" spans="1:6">
      <c r="A102" s="13">
        <v>101</v>
      </c>
      <c r="B102" s="21">
        <v>45950</v>
      </c>
      <c r="C102" s="11" t="s">
        <v>380</v>
      </c>
      <c r="D102" s="11">
        <v>1</v>
      </c>
      <c r="E102" s="11" t="str">
        <f>_xlfn.XLOOKUP(A102,Employee_Master!A:A,Employee_Master!E:E,"Not Found")</f>
        <v>Finance</v>
      </c>
      <c r="F102" s="15" t="s">
        <v>381</v>
      </c>
    </row>
    <row r="103" spans="1:6">
      <c r="A103" s="14">
        <v>102</v>
      </c>
      <c r="B103" s="22">
        <v>45934</v>
      </c>
      <c r="C103" s="12" t="s">
        <v>382</v>
      </c>
      <c r="D103" s="12">
        <v>1</v>
      </c>
      <c r="E103" s="11" t="str">
        <f>_xlfn.XLOOKUP(A103,Employee_Master!A:A,Employee_Master!E:E,"Not Found")</f>
        <v>Marketing</v>
      </c>
      <c r="F103" s="16" t="s">
        <v>386</v>
      </c>
    </row>
    <row r="104" spans="1:6">
      <c r="A104" s="13">
        <v>103</v>
      </c>
      <c r="B104" s="21">
        <v>45960</v>
      </c>
      <c r="C104" s="11" t="s">
        <v>382</v>
      </c>
      <c r="D104" s="11">
        <v>1</v>
      </c>
      <c r="E104" s="11" t="str">
        <f>_xlfn.XLOOKUP(A104,Employee_Master!A:A,Employee_Master!E:E,"Not Found")</f>
        <v>Operations</v>
      </c>
      <c r="F104" s="15" t="s">
        <v>381</v>
      </c>
    </row>
    <row r="105" spans="1:6">
      <c r="A105" s="14">
        <v>104</v>
      </c>
      <c r="B105" s="22">
        <v>46210</v>
      </c>
      <c r="C105" s="12" t="s">
        <v>384</v>
      </c>
      <c r="D105" s="12">
        <v>1</v>
      </c>
      <c r="E105" s="11" t="str">
        <f>_xlfn.XLOOKUP(A105,Employee_Master!A:A,Employee_Master!E:E,"Not Found")</f>
        <v>IT</v>
      </c>
      <c r="F105" s="16" t="s">
        <v>385</v>
      </c>
    </row>
    <row r="106" spans="1:6">
      <c r="A106" s="13">
        <v>105</v>
      </c>
      <c r="B106" s="21">
        <v>46223</v>
      </c>
      <c r="C106" s="11" t="s">
        <v>382</v>
      </c>
      <c r="D106" s="11">
        <v>3</v>
      </c>
      <c r="E106" s="11" t="str">
        <f>_xlfn.XLOOKUP(A106,Employee_Master!A:A,Employee_Master!E:E,"Not Found")</f>
        <v>Sales</v>
      </c>
      <c r="F106" s="15" t="s">
        <v>386</v>
      </c>
    </row>
    <row r="107" spans="1:6">
      <c r="A107" s="14">
        <v>106</v>
      </c>
      <c r="B107" s="22">
        <v>46129</v>
      </c>
      <c r="C107" s="12" t="s">
        <v>382</v>
      </c>
      <c r="D107" s="12">
        <v>2</v>
      </c>
      <c r="E107" s="11" t="str">
        <f>_xlfn.XLOOKUP(A107,Employee_Master!A:A,Employee_Master!E:E,"Not Found")</f>
        <v>IT</v>
      </c>
      <c r="F107" s="16" t="s">
        <v>385</v>
      </c>
    </row>
    <row r="108" spans="1:6">
      <c r="A108" s="13">
        <v>107</v>
      </c>
      <c r="B108" s="21">
        <v>46244</v>
      </c>
      <c r="C108" s="11" t="s">
        <v>383</v>
      </c>
      <c r="D108" s="11">
        <v>3</v>
      </c>
      <c r="E108" s="11" t="str">
        <f>_xlfn.XLOOKUP(A108,Employee_Master!A:A,Employee_Master!E:E,"Not Found")</f>
        <v>Customer Support</v>
      </c>
      <c r="F108" s="15" t="s">
        <v>385</v>
      </c>
    </row>
    <row r="109" spans="1:6">
      <c r="A109" s="14">
        <v>108</v>
      </c>
      <c r="B109" s="22">
        <v>46009</v>
      </c>
      <c r="C109" s="12" t="s">
        <v>382</v>
      </c>
      <c r="D109" s="12">
        <v>3</v>
      </c>
      <c r="E109" s="11" t="str">
        <f>_xlfn.XLOOKUP(A109,Employee_Master!A:A,Employee_Master!E:E,"Not Found")</f>
        <v>HR</v>
      </c>
      <c r="F109" s="16" t="s">
        <v>381</v>
      </c>
    </row>
    <row r="110" spans="1:6">
      <c r="A110" s="13">
        <v>109</v>
      </c>
      <c r="B110" s="21">
        <v>46004</v>
      </c>
      <c r="C110" s="11" t="s">
        <v>383</v>
      </c>
      <c r="D110" s="11">
        <v>2</v>
      </c>
      <c r="E110" s="11" t="str">
        <f>_xlfn.XLOOKUP(A110,Employee_Master!A:A,Employee_Master!E:E,"Not Found")</f>
        <v>Sales</v>
      </c>
      <c r="F110" s="15" t="s">
        <v>385</v>
      </c>
    </row>
    <row r="111" spans="1:6">
      <c r="A111" s="14">
        <v>110</v>
      </c>
      <c r="B111" s="22">
        <v>46062</v>
      </c>
      <c r="C111" s="12" t="s">
        <v>380</v>
      </c>
      <c r="D111" s="12">
        <v>3</v>
      </c>
      <c r="E111" s="11" t="str">
        <f>_xlfn.XLOOKUP(A111,Employee_Master!A:A,Employee_Master!E:E,"Not Found")</f>
        <v>Sales</v>
      </c>
      <c r="F111" s="16" t="s">
        <v>381</v>
      </c>
    </row>
    <row r="112" spans="1:6">
      <c r="A112" s="13">
        <v>111</v>
      </c>
      <c r="B112" s="21">
        <v>46084</v>
      </c>
      <c r="C112" s="11" t="s">
        <v>380</v>
      </c>
      <c r="D112" s="11">
        <v>1</v>
      </c>
      <c r="E112" s="11" t="str">
        <f>_xlfn.XLOOKUP(A112,Employee_Master!A:A,Employee_Master!E:E,"Not Found")</f>
        <v>IT</v>
      </c>
      <c r="F112" s="15" t="s">
        <v>385</v>
      </c>
    </row>
    <row r="113" spans="1:6">
      <c r="A113" s="14">
        <v>112</v>
      </c>
      <c r="B113" s="22">
        <v>46141</v>
      </c>
      <c r="C113" s="12" t="s">
        <v>380</v>
      </c>
      <c r="D113" s="12">
        <v>4</v>
      </c>
      <c r="E113" s="11" t="str">
        <f>_xlfn.XLOOKUP(A113,Employee_Master!A:A,Employee_Master!E:E,"Not Found")</f>
        <v>Finance</v>
      </c>
      <c r="F113" s="16" t="s">
        <v>381</v>
      </c>
    </row>
    <row r="114" spans="1:6">
      <c r="A114" s="13">
        <v>113</v>
      </c>
      <c r="B114" s="21">
        <v>46251</v>
      </c>
      <c r="C114" s="11" t="s">
        <v>383</v>
      </c>
      <c r="D114" s="11">
        <v>2</v>
      </c>
      <c r="E114" s="11" t="str">
        <f>_xlfn.XLOOKUP(A114,Employee_Master!A:A,Employee_Master!E:E,"Not Found")</f>
        <v>Marketing</v>
      </c>
      <c r="F114" s="15" t="s">
        <v>385</v>
      </c>
    </row>
    <row r="115" spans="1:6">
      <c r="A115" s="14">
        <v>114</v>
      </c>
      <c r="B115" s="22">
        <v>46144</v>
      </c>
      <c r="C115" s="12" t="s">
        <v>382</v>
      </c>
      <c r="D115" s="12">
        <v>4</v>
      </c>
      <c r="E115" s="11" t="str">
        <f>_xlfn.XLOOKUP(A115,Employee_Master!A:A,Employee_Master!E:E,"Not Found")</f>
        <v>IT</v>
      </c>
      <c r="F115" s="16" t="s">
        <v>385</v>
      </c>
    </row>
    <row r="116" spans="1:6">
      <c r="A116" s="13">
        <v>115</v>
      </c>
      <c r="B116" s="21">
        <v>46129</v>
      </c>
      <c r="C116" s="11" t="s">
        <v>382</v>
      </c>
      <c r="D116" s="11">
        <v>3</v>
      </c>
      <c r="E116" s="11" t="str">
        <f>_xlfn.XLOOKUP(A116,Employee_Master!A:A,Employee_Master!E:E,"Not Found")</f>
        <v>Customer Support</v>
      </c>
      <c r="F116" s="15" t="s">
        <v>381</v>
      </c>
    </row>
    <row r="117" spans="1:6">
      <c r="A117" s="14">
        <v>116</v>
      </c>
      <c r="B117" s="22">
        <v>46097</v>
      </c>
      <c r="C117" s="12" t="s">
        <v>382</v>
      </c>
      <c r="D117" s="12">
        <v>2</v>
      </c>
      <c r="E117" s="11" t="str">
        <f>_xlfn.XLOOKUP(A117,Employee_Master!A:A,Employee_Master!E:E,"Not Found")</f>
        <v>Marketing</v>
      </c>
      <c r="F117" s="16" t="s">
        <v>386</v>
      </c>
    </row>
    <row r="118" spans="1:6">
      <c r="A118" s="13">
        <v>117</v>
      </c>
      <c r="B118" s="21">
        <v>46056</v>
      </c>
      <c r="C118" s="11" t="s">
        <v>380</v>
      </c>
      <c r="D118" s="11">
        <v>2</v>
      </c>
      <c r="E118" s="11" t="str">
        <f>_xlfn.XLOOKUP(A118,Employee_Master!A:A,Employee_Master!E:E,"Not Found")</f>
        <v>Customer Support</v>
      </c>
      <c r="F118" s="15" t="s">
        <v>386</v>
      </c>
    </row>
    <row r="119" spans="1:6">
      <c r="A119" s="14">
        <v>118</v>
      </c>
      <c r="B119" s="22">
        <v>46268</v>
      </c>
      <c r="C119" s="12" t="s">
        <v>383</v>
      </c>
      <c r="D119" s="12">
        <v>4</v>
      </c>
      <c r="E119" s="11" t="str">
        <f>_xlfn.XLOOKUP(A119,Employee_Master!A:A,Employee_Master!E:E,"Not Found")</f>
        <v>Operations</v>
      </c>
      <c r="F119" s="16" t="s">
        <v>386</v>
      </c>
    </row>
    <row r="120" spans="1:6">
      <c r="A120" s="13">
        <v>119</v>
      </c>
      <c r="B120" s="21">
        <v>46122</v>
      </c>
      <c r="C120" s="11" t="s">
        <v>383</v>
      </c>
      <c r="D120" s="11">
        <v>2</v>
      </c>
      <c r="E120" s="11" t="str">
        <f>_xlfn.XLOOKUP(A120,Employee_Master!A:A,Employee_Master!E:E,"Not Found")</f>
        <v>IT</v>
      </c>
      <c r="F120" s="15" t="s">
        <v>385</v>
      </c>
    </row>
    <row r="121" spans="1:6">
      <c r="A121" s="14">
        <v>120</v>
      </c>
      <c r="B121" s="22">
        <v>46003</v>
      </c>
      <c r="C121" s="12" t="s">
        <v>382</v>
      </c>
      <c r="D121" s="12">
        <v>1</v>
      </c>
      <c r="E121" s="11" t="str">
        <f>_xlfn.XLOOKUP(A121,Employee_Master!A:A,Employee_Master!E:E,"Not Found")</f>
        <v>IT</v>
      </c>
      <c r="F121" s="16" t="s">
        <v>386</v>
      </c>
    </row>
    <row r="122" spans="1:6">
      <c r="A122" s="13">
        <v>121</v>
      </c>
      <c r="B122" s="21">
        <v>46264</v>
      </c>
      <c r="C122" s="11" t="s">
        <v>382</v>
      </c>
      <c r="D122" s="11">
        <v>3</v>
      </c>
      <c r="E122" s="11" t="str">
        <f>_xlfn.XLOOKUP(A122,Employee_Master!A:A,Employee_Master!E:E,"Not Found")</f>
        <v>Marketing</v>
      </c>
      <c r="F122" s="15" t="s">
        <v>386</v>
      </c>
    </row>
    <row r="123" spans="1:6">
      <c r="A123" s="14">
        <v>122</v>
      </c>
      <c r="B123" s="22">
        <v>45957</v>
      </c>
      <c r="C123" s="12" t="s">
        <v>380</v>
      </c>
      <c r="D123" s="12">
        <v>2</v>
      </c>
      <c r="E123" s="11" t="str">
        <f>_xlfn.XLOOKUP(A123,Employee_Master!A:A,Employee_Master!E:E,"Not Found")</f>
        <v>Marketing</v>
      </c>
      <c r="F123" s="16" t="s">
        <v>381</v>
      </c>
    </row>
    <row r="124" spans="1:6">
      <c r="A124" s="13">
        <v>123</v>
      </c>
      <c r="B124" s="21">
        <v>46213</v>
      </c>
      <c r="C124" s="11" t="s">
        <v>380</v>
      </c>
      <c r="D124" s="11">
        <v>4</v>
      </c>
      <c r="E124" s="11" t="str">
        <f>_xlfn.XLOOKUP(A124,Employee_Master!A:A,Employee_Master!E:E,"Not Found")</f>
        <v>Sales</v>
      </c>
      <c r="F124" s="15" t="s">
        <v>386</v>
      </c>
    </row>
    <row r="125" spans="1:6">
      <c r="A125" s="14">
        <v>124</v>
      </c>
      <c r="B125" s="22">
        <v>46152</v>
      </c>
      <c r="C125" s="12" t="s">
        <v>380</v>
      </c>
      <c r="D125" s="12">
        <v>4</v>
      </c>
      <c r="E125" s="11" t="str">
        <f>_xlfn.XLOOKUP(A125,Employee_Master!A:A,Employee_Master!E:E,"Not Found")</f>
        <v>Finance</v>
      </c>
      <c r="F125" s="16" t="s">
        <v>381</v>
      </c>
    </row>
    <row r="126" spans="1:6">
      <c r="A126" s="13">
        <v>125</v>
      </c>
      <c r="B126" s="21">
        <v>46128</v>
      </c>
      <c r="C126" s="11" t="s">
        <v>380</v>
      </c>
      <c r="D126" s="11">
        <v>3</v>
      </c>
      <c r="E126" s="11" t="str">
        <f>_xlfn.XLOOKUP(A126,Employee_Master!A:A,Employee_Master!E:E,"Not Found")</f>
        <v>Finance</v>
      </c>
      <c r="F126" s="15" t="s">
        <v>386</v>
      </c>
    </row>
    <row r="127" spans="1:6">
      <c r="A127" s="14">
        <v>126</v>
      </c>
      <c r="B127" s="22">
        <v>46259</v>
      </c>
      <c r="C127" s="12" t="s">
        <v>382</v>
      </c>
      <c r="D127" s="12">
        <v>2</v>
      </c>
      <c r="E127" s="11" t="str">
        <f>_xlfn.XLOOKUP(A127,Employee_Master!A:A,Employee_Master!E:E,"Not Found")</f>
        <v>Finance</v>
      </c>
      <c r="F127" s="16" t="s">
        <v>381</v>
      </c>
    </row>
    <row r="128" spans="1:6">
      <c r="A128" s="13">
        <v>127</v>
      </c>
      <c r="B128" s="21">
        <v>46093</v>
      </c>
      <c r="C128" s="11" t="s">
        <v>382</v>
      </c>
      <c r="D128" s="11">
        <v>2</v>
      </c>
      <c r="E128" s="11" t="str">
        <f>_xlfn.XLOOKUP(A128,Employee_Master!A:A,Employee_Master!E:E,"Not Found")</f>
        <v>Marketing</v>
      </c>
      <c r="F128" s="15" t="s">
        <v>381</v>
      </c>
    </row>
    <row r="129" spans="1:6">
      <c r="A129" s="14">
        <v>128</v>
      </c>
      <c r="B129" s="22">
        <v>46180</v>
      </c>
      <c r="C129" s="12" t="s">
        <v>383</v>
      </c>
      <c r="D129" s="12">
        <v>1</v>
      </c>
      <c r="E129" s="11" t="str">
        <f>_xlfn.XLOOKUP(A129,Employee_Master!A:A,Employee_Master!E:E,"Not Found")</f>
        <v>Customer Support</v>
      </c>
      <c r="F129" s="16" t="s">
        <v>381</v>
      </c>
    </row>
    <row r="130" spans="1:6">
      <c r="A130" s="13">
        <v>129</v>
      </c>
      <c r="B130" s="21">
        <v>45964</v>
      </c>
      <c r="C130" s="11" t="s">
        <v>384</v>
      </c>
      <c r="D130" s="11">
        <v>1</v>
      </c>
      <c r="E130" s="11" t="str">
        <f>_xlfn.XLOOKUP(A130,Employee_Master!A:A,Employee_Master!E:E,"Not Found")</f>
        <v>Sales</v>
      </c>
      <c r="F130" s="15" t="s">
        <v>381</v>
      </c>
    </row>
    <row r="131" spans="1:6">
      <c r="A131" s="14">
        <v>130</v>
      </c>
      <c r="B131" s="22">
        <v>45977</v>
      </c>
      <c r="C131" s="12" t="s">
        <v>383</v>
      </c>
      <c r="D131" s="12">
        <v>3</v>
      </c>
      <c r="E131" s="11" t="str">
        <f>_xlfn.XLOOKUP(A131,Employee_Master!A:A,Employee_Master!E:E,"Not Found")</f>
        <v>Marketing</v>
      </c>
      <c r="F131" s="16" t="s">
        <v>381</v>
      </c>
    </row>
    <row r="132" spans="1:6">
      <c r="A132" s="13">
        <v>131</v>
      </c>
      <c r="B132" s="21">
        <v>46008</v>
      </c>
      <c r="C132" s="11" t="s">
        <v>380</v>
      </c>
      <c r="D132" s="11">
        <v>3</v>
      </c>
      <c r="E132" s="11" t="str">
        <f>_xlfn.XLOOKUP(A132,Employee_Master!A:A,Employee_Master!E:E,"Not Found")</f>
        <v>Operations</v>
      </c>
      <c r="F132" s="15" t="s">
        <v>381</v>
      </c>
    </row>
    <row r="133" spans="1:6">
      <c r="A133" s="14">
        <v>132</v>
      </c>
      <c r="B133" s="22">
        <v>46250</v>
      </c>
      <c r="C133" s="12" t="s">
        <v>383</v>
      </c>
      <c r="D133" s="12">
        <v>4</v>
      </c>
      <c r="E133" s="11" t="str">
        <f>_xlfn.XLOOKUP(A133,Employee_Master!A:A,Employee_Master!E:E,"Not Found")</f>
        <v>Operations</v>
      </c>
      <c r="F133" s="16" t="s">
        <v>385</v>
      </c>
    </row>
    <row r="134" spans="1:6">
      <c r="A134" s="13">
        <v>133</v>
      </c>
      <c r="B134" s="21">
        <v>46104</v>
      </c>
      <c r="C134" s="11" t="s">
        <v>380</v>
      </c>
      <c r="D134" s="11">
        <v>3</v>
      </c>
      <c r="E134" s="11" t="str">
        <f>_xlfn.XLOOKUP(A134,Employee_Master!A:A,Employee_Master!E:E,"Not Found")</f>
        <v>Operations</v>
      </c>
      <c r="F134" s="15" t="s">
        <v>381</v>
      </c>
    </row>
    <row r="135" spans="1:6">
      <c r="A135" s="14">
        <v>134</v>
      </c>
      <c r="B135" s="22">
        <v>46012</v>
      </c>
      <c r="C135" s="12" t="s">
        <v>380</v>
      </c>
      <c r="D135" s="12">
        <v>2</v>
      </c>
      <c r="E135" s="11" t="str">
        <f>_xlfn.XLOOKUP(A135,Employee_Master!A:A,Employee_Master!E:E,"Not Found")</f>
        <v>HR</v>
      </c>
      <c r="F135" s="16" t="s">
        <v>385</v>
      </c>
    </row>
    <row r="136" spans="1:6">
      <c r="A136" s="13">
        <v>135</v>
      </c>
      <c r="B136" s="21">
        <v>45991</v>
      </c>
      <c r="C136" s="11" t="s">
        <v>382</v>
      </c>
      <c r="D136" s="11">
        <v>2</v>
      </c>
      <c r="E136" s="11" t="str">
        <f>_xlfn.XLOOKUP(A136,Employee_Master!A:A,Employee_Master!E:E,"Not Found")</f>
        <v>IT</v>
      </c>
      <c r="F136" s="15" t="s">
        <v>386</v>
      </c>
    </row>
    <row r="137" spans="1:6">
      <c r="A137" s="14">
        <v>136</v>
      </c>
      <c r="B137" s="22">
        <v>46213</v>
      </c>
      <c r="C137" s="12" t="s">
        <v>382</v>
      </c>
      <c r="D137" s="12">
        <v>3</v>
      </c>
      <c r="E137" s="11" t="str">
        <f>_xlfn.XLOOKUP(A137,Employee_Master!A:A,Employee_Master!E:E,"Not Found")</f>
        <v>HR</v>
      </c>
      <c r="F137" s="16" t="s">
        <v>381</v>
      </c>
    </row>
    <row r="138" spans="1:6">
      <c r="A138" s="13">
        <v>137</v>
      </c>
      <c r="B138" s="21">
        <v>45989</v>
      </c>
      <c r="C138" s="11" t="s">
        <v>380</v>
      </c>
      <c r="D138" s="11">
        <v>4</v>
      </c>
      <c r="E138" s="11" t="str">
        <f>_xlfn.XLOOKUP(A138,Employee_Master!A:A,Employee_Master!E:E,"Not Found")</f>
        <v>Customer Support</v>
      </c>
      <c r="F138" s="15" t="s">
        <v>381</v>
      </c>
    </row>
    <row r="139" spans="1:6">
      <c r="A139" s="14">
        <v>138</v>
      </c>
      <c r="B139" s="22">
        <v>46126</v>
      </c>
      <c r="C139" s="12" t="s">
        <v>382</v>
      </c>
      <c r="D139" s="12">
        <v>4</v>
      </c>
      <c r="E139" s="11" t="str">
        <f>_xlfn.XLOOKUP(A139,Employee_Master!A:A,Employee_Master!E:E,"Not Found")</f>
        <v>HR</v>
      </c>
      <c r="F139" s="16" t="s">
        <v>385</v>
      </c>
    </row>
    <row r="140" spans="1:6">
      <c r="A140" s="13">
        <v>139</v>
      </c>
      <c r="B140" s="21">
        <v>45941</v>
      </c>
      <c r="C140" s="11" t="s">
        <v>383</v>
      </c>
      <c r="D140" s="11">
        <v>4</v>
      </c>
      <c r="E140" s="11" t="str">
        <f>_xlfn.XLOOKUP(A140,Employee_Master!A:A,Employee_Master!E:E,"Not Found")</f>
        <v>Operations</v>
      </c>
      <c r="F140" s="15" t="s">
        <v>386</v>
      </c>
    </row>
    <row r="141" spans="1:6">
      <c r="A141" s="14">
        <v>140</v>
      </c>
      <c r="B141" s="22">
        <v>46024</v>
      </c>
      <c r="C141" s="12" t="s">
        <v>382</v>
      </c>
      <c r="D141" s="12">
        <v>1</v>
      </c>
      <c r="E141" s="11" t="str">
        <f>_xlfn.XLOOKUP(A141,Employee_Master!A:A,Employee_Master!E:E,"Not Found")</f>
        <v>Finance</v>
      </c>
      <c r="F141" s="16" t="s">
        <v>385</v>
      </c>
    </row>
    <row r="142" spans="1:6">
      <c r="A142" s="13">
        <v>141</v>
      </c>
      <c r="B142" s="21">
        <v>46274</v>
      </c>
      <c r="C142" s="11" t="s">
        <v>383</v>
      </c>
      <c r="D142" s="11">
        <v>3</v>
      </c>
      <c r="E142" s="11" t="str">
        <f>_xlfn.XLOOKUP(A142,Employee_Master!A:A,Employee_Master!E:E,"Not Found")</f>
        <v>Operations</v>
      </c>
      <c r="F142" s="15" t="s">
        <v>381</v>
      </c>
    </row>
    <row r="143" spans="1:6">
      <c r="A143" s="14">
        <v>142</v>
      </c>
      <c r="B143" s="22">
        <v>46120</v>
      </c>
      <c r="C143" s="12" t="s">
        <v>384</v>
      </c>
      <c r="D143" s="12">
        <v>2</v>
      </c>
      <c r="E143" s="11" t="str">
        <f>_xlfn.XLOOKUP(A143,Employee_Master!A:A,Employee_Master!E:E,"Not Found")</f>
        <v>Operations</v>
      </c>
      <c r="F143" s="16" t="s">
        <v>381</v>
      </c>
    </row>
    <row r="144" spans="1:6">
      <c r="A144" s="13">
        <v>143</v>
      </c>
      <c r="B144" s="21">
        <v>46250</v>
      </c>
      <c r="C144" s="11" t="s">
        <v>383</v>
      </c>
      <c r="D144" s="11">
        <v>4</v>
      </c>
      <c r="E144" s="11" t="str">
        <f>_xlfn.XLOOKUP(A144,Employee_Master!A:A,Employee_Master!E:E,"Not Found")</f>
        <v>Marketing</v>
      </c>
      <c r="F144" s="15" t="s">
        <v>381</v>
      </c>
    </row>
    <row r="145" spans="1:6">
      <c r="A145" s="14">
        <v>144</v>
      </c>
      <c r="B145" s="22">
        <v>46255</v>
      </c>
      <c r="C145" s="12" t="s">
        <v>383</v>
      </c>
      <c r="D145" s="12">
        <v>3</v>
      </c>
      <c r="E145" s="11" t="str">
        <f>_xlfn.XLOOKUP(A145,Employee_Master!A:A,Employee_Master!E:E,"Not Found")</f>
        <v>Operations</v>
      </c>
      <c r="F145" s="16" t="s">
        <v>381</v>
      </c>
    </row>
    <row r="146" spans="1:6">
      <c r="A146" s="13">
        <v>145</v>
      </c>
      <c r="B146" s="21">
        <v>46239</v>
      </c>
      <c r="C146" s="11" t="s">
        <v>382</v>
      </c>
      <c r="D146" s="11">
        <v>1</v>
      </c>
      <c r="E146" s="11" t="str">
        <f>_xlfn.XLOOKUP(A146,Employee_Master!A:A,Employee_Master!E:E,"Not Found")</f>
        <v>Marketing</v>
      </c>
      <c r="F146" s="15" t="s">
        <v>386</v>
      </c>
    </row>
    <row r="147" spans="1:6">
      <c r="A147" s="14">
        <v>146</v>
      </c>
      <c r="B147" s="22">
        <v>46233</v>
      </c>
      <c r="C147" s="12" t="s">
        <v>382</v>
      </c>
      <c r="D147" s="12">
        <v>2</v>
      </c>
      <c r="E147" s="11" t="str">
        <f>_xlfn.XLOOKUP(A147,Employee_Master!A:A,Employee_Master!E:E,"Not Found")</f>
        <v>Sales</v>
      </c>
      <c r="F147" s="16" t="s">
        <v>381</v>
      </c>
    </row>
    <row r="148" spans="1:6">
      <c r="A148" s="13">
        <v>147</v>
      </c>
      <c r="B148" s="21">
        <v>46029</v>
      </c>
      <c r="C148" s="11" t="s">
        <v>383</v>
      </c>
      <c r="D148" s="11">
        <v>1</v>
      </c>
      <c r="E148" s="11" t="str">
        <f>_xlfn.XLOOKUP(A148,Employee_Master!A:A,Employee_Master!E:E,"Not Found")</f>
        <v>HR</v>
      </c>
      <c r="F148" s="15" t="s">
        <v>385</v>
      </c>
    </row>
    <row r="149" spans="1:6">
      <c r="A149" s="14">
        <v>148</v>
      </c>
      <c r="B149" s="22">
        <v>46094</v>
      </c>
      <c r="C149" s="12" t="s">
        <v>380</v>
      </c>
      <c r="D149" s="12">
        <v>1</v>
      </c>
      <c r="E149" s="11" t="str">
        <f>_xlfn.XLOOKUP(A149,Employee_Master!A:A,Employee_Master!E:E,"Not Found")</f>
        <v>Sales</v>
      </c>
      <c r="F149" s="16" t="s">
        <v>381</v>
      </c>
    </row>
    <row r="150" spans="1:6">
      <c r="A150" s="13">
        <v>149</v>
      </c>
      <c r="B150" s="21">
        <v>46065</v>
      </c>
      <c r="C150" s="11" t="s">
        <v>382</v>
      </c>
      <c r="D150" s="11">
        <v>4</v>
      </c>
      <c r="E150" s="11" t="str">
        <f>_xlfn.XLOOKUP(A150,Employee_Master!A:A,Employee_Master!E:E,"Not Found")</f>
        <v>Sales</v>
      </c>
      <c r="F150" s="15" t="s">
        <v>381</v>
      </c>
    </row>
    <row r="151" spans="1:6">
      <c r="A151" s="14">
        <v>150</v>
      </c>
      <c r="B151" s="22">
        <v>45951</v>
      </c>
      <c r="C151" s="12" t="s">
        <v>383</v>
      </c>
      <c r="D151" s="12">
        <v>4</v>
      </c>
      <c r="E151" s="11" t="str">
        <f>_xlfn.XLOOKUP(A151,Employee_Master!A:A,Employee_Master!E:E,"Not Found")</f>
        <v>Operations</v>
      </c>
      <c r="F151" s="16" t="s">
        <v>381</v>
      </c>
    </row>
    <row r="152" spans="1:6">
      <c r="A152" s="13">
        <v>151</v>
      </c>
      <c r="B152" s="21">
        <v>46213</v>
      </c>
      <c r="C152" s="11" t="s">
        <v>384</v>
      </c>
      <c r="D152" s="11">
        <v>2</v>
      </c>
      <c r="E152" s="11" t="str">
        <f>_xlfn.XLOOKUP(A152,Employee_Master!A:A,Employee_Master!E:E,"Not Found")</f>
        <v>IT</v>
      </c>
      <c r="F152" s="15" t="s">
        <v>386</v>
      </c>
    </row>
    <row r="153" spans="1:6">
      <c r="A153" s="14">
        <v>152</v>
      </c>
      <c r="B153" s="22">
        <v>45936</v>
      </c>
      <c r="C153" s="12" t="s">
        <v>384</v>
      </c>
      <c r="D153" s="12">
        <v>3</v>
      </c>
      <c r="E153" s="11" t="str">
        <f>_xlfn.XLOOKUP(A153,Employee_Master!A:A,Employee_Master!E:E,"Not Found")</f>
        <v>Finance</v>
      </c>
      <c r="F153" s="16" t="s">
        <v>385</v>
      </c>
    </row>
    <row r="154" spans="1:6">
      <c r="A154" s="13">
        <v>153</v>
      </c>
      <c r="B154" s="21">
        <v>46171</v>
      </c>
      <c r="C154" s="11" t="s">
        <v>382</v>
      </c>
      <c r="D154" s="11">
        <v>4</v>
      </c>
      <c r="E154" s="11" t="str">
        <f>_xlfn.XLOOKUP(A154,Employee_Master!A:A,Employee_Master!E:E,"Not Found")</f>
        <v>Marketing</v>
      </c>
      <c r="F154" s="15" t="s">
        <v>381</v>
      </c>
    </row>
    <row r="155" spans="1:6">
      <c r="A155" s="14">
        <v>154</v>
      </c>
      <c r="B155" s="22">
        <v>46287</v>
      </c>
      <c r="C155" s="12" t="s">
        <v>382</v>
      </c>
      <c r="D155" s="12">
        <v>3</v>
      </c>
      <c r="E155" s="11" t="str">
        <f>_xlfn.XLOOKUP(A155,Employee_Master!A:A,Employee_Master!E:E,"Not Found")</f>
        <v>HR</v>
      </c>
      <c r="F155" s="16" t="s">
        <v>381</v>
      </c>
    </row>
    <row r="156" spans="1:6">
      <c r="A156" s="13">
        <v>155</v>
      </c>
      <c r="B156" s="21">
        <v>46193</v>
      </c>
      <c r="C156" s="11" t="s">
        <v>382</v>
      </c>
      <c r="D156" s="11">
        <v>4</v>
      </c>
      <c r="E156" s="11" t="str">
        <f>_xlfn.XLOOKUP(A156,Employee_Master!A:A,Employee_Master!E:E,"Not Found")</f>
        <v>Operations</v>
      </c>
      <c r="F156" s="15" t="s">
        <v>381</v>
      </c>
    </row>
    <row r="157" spans="1:6">
      <c r="A157" s="14">
        <v>156</v>
      </c>
      <c r="B157" s="22">
        <v>46108</v>
      </c>
      <c r="C157" s="12" t="s">
        <v>383</v>
      </c>
      <c r="D157" s="12">
        <v>2</v>
      </c>
      <c r="E157" s="11" t="str">
        <f>_xlfn.XLOOKUP(A157,Employee_Master!A:A,Employee_Master!E:E,"Not Found")</f>
        <v>HR</v>
      </c>
      <c r="F157" s="16" t="s">
        <v>385</v>
      </c>
    </row>
    <row r="158" spans="1:6">
      <c r="A158" s="13">
        <v>157</v>
      </c>
      <c r="B158" s="21">
        <v>46067</v>
      </c>
      <c r="C158" s="11" t="s">
        <v>384</v>
      </c>
      <c r="D158" s="11">
        <v>4</v>
      </c>
      <c r="E158" s="11" t="str">
        <f>_xlfn.XLOOKUP(A158,Employee_Master!A:A,Employee_Master!E:E,"Not Found")</f>
        <v>HR</v>
      </c>
      <c r="F158" s="15" t="s">
        <v>381</v>
      </c>
    </row>
    <row r="159" spans="1:6">
      <c r="A159" s="14">
        <v>158</v>
      </c>
      <c r="B159" s="22">
        <v>46272</v>
      </c>
      <c r="C159" s="12" t="s">
        <v>383</v>
      </c>
      <c r="D159" s="12">
        <v>1</v>
      </c>
      <c r="E159" s="11" t="str">
        <f>_xlfn.XLOOKUP(A159,Employee_Master!A:A,Employee_Master!E:E,"Not Found")</f>
        <v>IT</v>
      </c>
      <c r="F159" s="16" t="s">
        <v>381</v>
      </c>
    </row>
    <row r="160" spans="1:6">
      <c r="A160" s="13">
        <v>159</v>
      </c>
      <c r="B160" s="21">
        <v>45985</v>
      </c>
      <c r="C160" s="11" t="s">
        <v>380</v>
      </c>
      <c r="D160" s="11">
        <v>1</v>
      </c>
      <c r="E160" s="11" t="str">
        <f>_xlfn.XLOOKUP(A160,Employee_Master!A:A,Employee_Master!E:E,"Not Found")</f>
        <v>IT</v>
      </c>
      <c r="F160" s="15" t="s">
        <v>381</v>
      </c>
    </row>
    <row r="161" spans="1:6">
      <c r="A161" s="14">
        <v>160</v>
      </c>
      <c r="B161" s="22">
        <v>45964</v>
      </c>
      <c r="C161" s="12" t="s">
        <v>380</v>
      </c>
      <c r="D161" s="12">
        <v>2</v>
      </c>
      <c r="E161" s="11" t="str">
        <f>_xlfn.XLOOKUP(A161,Employee_Master!A:A,Employee_Master!E:E,"Not Found")</f>
        <v>Finance</v>
      </c>
      <c r="F161" s="16" t="s">
        <v>381</v>
      </c>
    </row>
    <row r="162" spans="1:6">
      <c r="A162" s="13">
        <v>161</v>
      </c>
      <c r="B162" s="21">
        <v>45969</v>
      </c>
      <c r="C162" s="11" t="s">
        <v>384</v>
      </c>
      <c r="D162" s="11">
        <v>1</v>
      </c>
      <c r="E162" s="11" t="str">
        <f>_xlfn.XLOOKUP(A162,Employee_Master!A:A,Employee_Master!E:E,"Not Found")</f>
        <v>Customer Support</v>
      </c>
      <c r="F162" s="15" t="s">
        <v>381</v>
      </c>
    </row>
    <row r="163" spans="1:6">
      <c r="A163" s="14">
        <v>162</v>
      </c>
      <c r="B163" s="22">
        <v>45967</v>
      </c>
      <c r="C163" s="12" t="s">
        <v>380</v>
      </c>
      <c r="D163" s="12">
        <v>4</v>
      </c>
      <c r="E163" s="11" t="str">
        <f>_xlfn.XLOOKUP(A163,Employee_Master!A:A,Employee_Master!E:E,"Not Found")</f>
        <v>Operations</v>
      </c>
      <c r="F163" s="16" t="s">
        <v>381</v>
      </c>
    </row>
    <row r="164" spans="1:6">
      <c r="A164" s="13">
        <v>163</v>
      </c>
      <c r="B164" s="21">
        <v>46271</v>
      </c>
      <c r="C164" s="11" t="s">
        <v>384</v>
      </c>
      <c r="D164" s="11">
        <v>1</v>
      </c>
      <c r="E164" s="11" t="str">
        <f>_xlfn.XLOOKUP(A164,Employee_Master!A:A,Employee_Master!E:E,"Not Found")</f>
        <v>Operations</v>
      </c>
      <c r="F164" s="15" t="s">
        <v>381</v>
      </c>
    </row>
    <row r="165" spans="1:6">
      <c r="A165" s="14">
        <v>164</v>
      </c>
      <c r="B165" s="22">
        <v>46291</v>
      </c>
      <c r="C165" s="12" t="s">
        <v>380</v>
      </c>
      <c r="D165" s="12">
        <v>2</v>
      </c>
      <c r="E165" s="11" t="str">
        <f>_xlfn.XLOOKUP(A165,Employee_Master!A:A,Employee_Master!E:E,"Not Found")</f>
        <v>Operations</v>
      </c>
      <c r="F165" s="16" t="s">
        <v>381</v>
      </c>
    </row>
    <row r="166" spans="1:6">
      <c r="A166" s="13">
        <v>165</v>
      </c>
      <c r="B166" s="21">
        <v>46026</v>
      </c>
      <c r="C166" s="11" t="s">
        <v>384</v>
      </c>
      <c r="D166" s="11">
        <v>1</v>
      </c>
      <c r="E166" s="11" t="str">
        <f>_xlfn.XLOOKUP(A166,Employee_Master!A:A,Employee_Master!E:E,"Not Found")</f>
        <v>Marketing</v>
      </c>
      <c r="F166" s="15" t="s">
        <v>381</v>
      </c>
    </row>
    <row r="167" spans="1:6">
      <c r="A167" s="14">
        <v>166</v>
      </c>
      <c r="B167" s="22">
        <v>46282</v>
      </c>
      <c r="C167" s="12" t="s">
        <v>380</v>
      </c>
      <c r="D167" s="12">
        <v>2</v>
      </c>
      <c r="E167" s="11" t="str">
        <f>_xlfn.XLOOKUP(A167,Employee_Master!A:A,Employee_Master!E:E,"Not Found")</f>
        <v>HR</v>
      </c>
      <c r="F167" s="16" t="s">
        <v>381</v>
      </c>
    </row>
    <row r="168" spans="1:6">
      <c r="A168" s="13">
        <v>167</v>
      </c>
      <c r="B168" s="21">
        <v>45971</v>
      </c>
      <c r="C168" s="11" t="s">
        <v>382</v>
      </c>
      <c r="D168" s="11">
        <v>3</v>
      </c>
      <c r="E168" s="11" t="str">
        <f>_xlfn.XLOOKUP(A168,Employee_Master!A:A,Employee_Master!E:E,"Not Found")</f>
        <v>IT</v>
      </c>
      <c r="F168" s="15" t="s">
        <v>386</v>
      </c>
    </row>
    <row r="169" spans="1:6">
      <c r="A169" s="14">
        <v>168</v>
      </c>
      <c r="B169" s="22">
        <v>46029</v>
      </c>
      <c r="C169" s="12" t="s">
        <v>382</v>
      </c>
      <c r="D169" s="12">
        <v>2</v>
      </c>
      <c r="E169" s="11" t="str">
        <f>_xlfn.XLOOKUP(A169,Employee_Master!A:A,Employee_Master!E:E,"Not Found")</f>
        <v>IT</v>
      </c>
      <c r="F169" s="16" t="s">
        <v>385</v>
      </c>
    </row>
    <row r="170" spans="1:6">
      <c r="A170" s="13">
        <v>169</v>
      </c>
      <c r="B170" s="21">
        <v>46292</v>
      </c>
      <c r="C170" s="11" t="s">
        <v>380</v>
      </c>
      <c r="D170" s="11">
        <v>4</v>
      </c>
      <c r="E170" s="11" t="str">
        <f>_xlfn.XLOOKUP(A170,Employee_Master!A:A,Employee_Master!E:E,"Not Found")</f>
        <v>Marketing</v>
      </c>
      <c r="F170" s="15" t="s">
        <v>381</v>
      </c>
    </row>
    <row r="171" spans="1:6">
      <c r="A171" s="14">
        <v>170</v>
      </c>
      <c r="B171" s="22">
        <v>46277</v>
      </c>
      <c r="C171" s="12" t="s">
        <v>384</v>
      </c>
      <c r="D171" s="12">
        <v>4</v>
      </c>
      <c r="E171" s="11" t="str">
        <f>_xlfn.XLOOKUP(A171,Employee_Master!A:A,Employee_Master!E:E,"Not Found")</f>
        <v>HR</v>
      </c>
      <c r="F171" s="16" t="s">
        <v>381</v>
      </c>
    </row>
    <row r="172" spans="1:6">
      <c r="A172" s="13">
        <v>171</v>
      </c>
      <c r="B172" s="21">
        <v>46190</v>
      </c>
      <c r="C172" s="11" t="s">
        <v>384</v>
      </c>
      <c r="D172" s="11">
        <v>1</v>
      </c>
      <c r="E172" s="11" t="str">
        <f>_xlfn.XLOOKUP(A172,Employee_Master!A:A,Employee_Master!E:E,"Not Found")</f>
        <v>Customer Support</v>
      </c>
      <c r="F172" s="15" t="s">
        <v>381</v>
      </c>
    </row>
    <row r="173" spans="1:6">
      <c r="A173" s="14">
        <v>172</v>
      </c>
      <c r="B173" s="22">
        <v>46032</v>
      </c>
      <c r="C173" s="12" t="s">
        <v>383</v>
      </c>
      <c r="D173" s="12">
        <v>2</v>
      </c>
      <c r="E173" s="11" t="str">
        <f>_xlfn.XLOOKUP(A173,Employee_Master!A:A,Employee_Master!E:E,"Not Found")</f>
        <v>Finance</v>
      </c>
      <c r="F173" s="16" t="s">
        <v>386</v>
      </c>
    </row>
    <row r="174" spans="1:6">
      <c r="A174" s="13">
        <v>173</v>
      </c>
      <c r="B174" s="21">
        <v>46027</v>
      </c>
      <c r="C174" s="11" t="s">
        <v>384</v>
      </c>
      <c r="D174" s="11">
        <v>1</v>
      </c>
      <c r="E174" s="11" t="str">
        <f>_xlfn.XLOOKUP(A174,Employee_Master!A:A,Employee_Master!E:E,"Not Found")</f>
        <v>Marketing</v>
      </c>
      <c r="F174" s="15" t="s">
        <v>381</v>
      </c>
    </row>
    <row r="175" spans="1:6">
      <c r="A175" s="14">
        <v>174</v>
      </c>
      <c r="B175" s="22">
        <v>46026</v>
      </c>
      <c r="C175" s="12" t="s">
        <v>383</v>
      </c>
      <c r="D175" s="12">
        <v>2</v>
      </c>
      <c r="E175" s="11" t="str">
        <f>_xlfn.XLOOKUP(A175,Employee_Master!A:A,Employee_Master!E:E,"Not Found")</f>
        <v>Marketing</v>
      </c>
      <c r="F175" s="16" t="s">
        <v>381</v>
      </c>
    </row>
    <row r="176" spans="1:6">
      <c r="A176" s="13">
        <v>175</v>
      </c>
      <c r="B176" s="21">
        <v>46133</v>
      </c>
      <c r="C176" s="11" t="s">
        <v>383</v>
      </c>
      <c r="D176" s="11">
        <v>4</v>
      </c>
      <c r="E176" s="11" t="str">
        <f>_xlfn.XLOOKUP(A176,Employee_Master!A:A,Employee_Master!E:E,"Not Found")</f>
        <v>HR</v>
      </c>
      <c r="F176" s="15" t="s">
        <v>386</v>
      </c>
    </row>
    <row r="177" spans="1:6">
      <c r="A177" s="14">
        <v>176</v>
      </c>
      <c r="B177" s="22">
        <v>46258</v>
      </c>
      <c r="C177" s="12" t="s">
        <v>383</v>
      </c>
      <c r="D177" s="12">
        <v>2</v>
      </c>
      <c r="E177" s="11" t="str">
        <f>_xlfn.XLOOKUP(A177,Employee_Master!A:A,Employee_Master!E:E,"Not Found")</f>
        <v>Marketing</v>
      </c>
      <c r="F177" s="16" t="s">
        <v>385</v>
      </c>
    </row>
    <row r="178" spans="1:6">
      <c r="A178" s="13">
        <v>177</v>
      </c>
      <c r="B178" s="21">
        <v>46107</v>
      </c>
      <c r="C178" s="11" t="s">
        <v>380</v>
      </c>
      <c r="D178" s="11">
        <v>1</v>
      </c>
      <c r="E178" s="11" t="str">
        <f>_xlfn.XLOOKUP(A178,Employee_Master!A:A,Employee_Master!E:E,"Not Found")</f>
        <v>Marketing</v>
      </c>
      <c r="F178" s="15" t="s">
        <v>381</v>
      </c>
    </row>
    <row r="179" spans="1:6">
      <c r="A179" s="14">
        <v>178</v>
      </c>
      <c r="B179" s="22">
        <v>46075</v>
      </c>
      <c r="C179" s="12" t="s">
        <v>380</v>
      </c>
      <c r="D179" s="12">
        <v>1</v>
      </c>
      <c r="E179" s="11" t="str">
        <f>_xlfn.XLOOKUP(A179,Employee_Master!A:A,Employee_Master!E:E,"Not Found")</f>
        <v>IT</v>
      </c>
      <c r="F179" s="16" t="s">
        <v>381</v>
      </c>
    </row>
    <row r="180" spans="1:6">
      <c r="A180" s="13">
        <v>179</v>
      </c>
      <c r="B180" s="21">
        <v>46107</v>
      </c>
      <c r="C180" s="11" t="s">
        <v>384</v>
      </c>
      <c r="D180" s="11">
        <v>4</v>
      </c>
      <c r="E180" s="11" t="str">
        <f>_xlfn.XLOOKUP(A180,Employee_Master!A:A,Employee_Master!E:E,"Not Found")</f>
        <v>Marketing</v>
      </c>
      <c r="F180" s="15" t="s">
        <v>381</v>
      </c>
    </row>
    <row r="181" spans="1:6">
      <c r="A181" s="14">
        <v>180</v>
      </c>
      <c r="B181" s="22">
        <v>46276</v>
      </c>
      <c r="C181" s="12" t="s">
        <v>382</v>
      </c>
      <c r="D181" s="12">
        <v>1</v>
      </c>
      <c r="E181" s="11" t="str">
        <f>_xlfn.XLOOKUP(A181,Employee_Master!A:A,Employee_Master!E:E,"Not Found")</f>
        <v>Finance</v>
      </c>
      <c r="F181" s="16" t="s">
        <v>381</v>
      </c>
    </row>
    <row r="182" spans="1:6">
      <c r="A182" s="13">
        <v>181</v>
      </c>
      <c r="B182" s="21">
        <v>46094</v>
      </c>
      <c r="C182" s="11" t="s">
        <v>383</v>
      </c>
      <c r="D182" s="11">
        <v>1</v>
      </c>
      <c r="E182" s="11" t="str">
        <f>_xlfn.XLOOKUP(A182,Employee_Master!A:A,Employee_Master!E:E,"Not Found")</f>
        <v>IT</v>
      </c>
      <c r="F182" s="15" t="s">
        <v>386</v>
      </c>
    </row>
    <row r="183" spans="1:6">
      <c r="A183" s="14">
        <v>182</v>
      </c>
      <c r="B183" s="22">
        <v>46094</v>
      </c>
      <c r="C183" s="12" t="s">
        <v>382</v>
      </c>
      <c r="D183" s="12">
        <v>3</v>
      </c>
      <c r="E183" s="11" t="str">
        <f>_xlfn.XLOOKUP(A183,Employee_Master!A:A,Employee_Master!E:E,"Not Found")</f>
        <v>Marketing</v>
      </c>
      <c r="F183" s="16" t="s">
        <v>385</v>
      </c>
    </row>
    <row r="184" spans="1:6">
      <c r="A184" s="13">
        <v>183</v>
      </c>
      <c r="B184" s="21">
        <v>46120</v>
      </c>
      <c r="C184" s="11" t="s">
        <v>382</v>
      </c>
      <c r="D184" s="11">
        <v>3</v>
      </c>
      <c r="E184" s="11" t="str">
        <f>_xlfn.XLOOKUP(A184,Employee_Master!A:A,Employee_Master!E:E,"Not Found")</f>
        <v>HR</v>
      </c>
      <c r="F184" s="15" t="s">
        <v>385</v>
      </c>
    </row>
    <row r="185" spans="1:6">
      <c r="A185" s="14">
        <v>184</v>
      </c>
      <c r="B185" s="22">
        <v>46210</v>
      </c>
      <c r="C185" s="12" t="s">
        <v>380</v>
      </c>
      <c r="D185" s="12">
        <v>2</v>
      </c>
      <c r="E185" s="11" t="str">
        <f>_xlfn.XLOOKUP(A185,Employee_Master!A:A,Employee_Master!E:E,"Not Found")</f>
        <v>Customer Support</v>
      </c>
      <c r="F185" s="16" t="s">
        <v>386</v>
      </c>
    </row>
    <row r="186" spans="1:6">
      <c r="A186" s="13">
        <v>185</v>
      </c>
      <c r="B186" s="21">
        <v>46018</v>
      </c>
      <c r="C186" s="11" t="s">
        <v>384</v>
      </c>
      <c r="D186" s="11">
        <v>3</v>
      </c>
      <c r="E186" s="11" t="str">
        <f>_xlfn.XLOOKUP(A186,Employee_Master!A:A,Employee_Master!E:E,"Not Found")</f>
        <v>Finance</v>
      </c>
      <c r="F186" s="15" t="s">
        <v>385</v>
      </c>
    </row>
    <row r="187" spans="1:6">
      <c r="A187" s="14">
        <v>186</v>
      </c>
      <c r="B187" s="22">
        <v>46167</v>
      </c>
      <c r="C187" s="12" t="s">
        <v>383</v>
      </c>
      <c r="D187" s="12">
        <v>4</v>
      </c>
      <c r="E187" s="11" t="str">
        <f>_xlfn.XLOOKUP(A187,Employee_Master!A:A,Employee_Master!E:E,"Not Found")</f>
        <v>Operations</v>
      </c>
      <c r="F187" s="16" t="s">
        <v>385</v>
      </c>
    </row>
    <row r="188" spans="1:6">
      <c r="A188" s="13">
        <v>187</v>
      </c>
      <c r="B188" s="21">
        <v>46168</v>
      </c>
      <c r="C188" s="11" t="s">
        <v>382</v>
      </c>
      <c r="D188" s="11">
        <v>2</v>
      </c>
      <c r="E188" s="11" t="str">
        <f>_xlfn.XLOOKUP(A188,Employee_Master!A:A,Employee_Master!E:E,"Not Found")</f>
        <v>Operations</v>
      </c>
      <c r="F188" s="15" t="s">
        <v>381</v>
      </c>
    </row>
    <row r="189" spans="1:6">
      <c r="A189" s="14">
        <v>188</v>
      </c>
      <c r="B189" s="22">
        <v>46128</v>
      </c>
      <c r="C189" s="12" t="s">
        <v>382</v>
      </c>
      <c r="D189" s="12">
        <v>1</v>
      </c>
      <c r="E189" s="11" t="str">
        <f>_xlfn.XLOOKUP(A189,Employee_Master!A:A,Employee_Master!E:E,"Not Found")</f>
        <v>HR</v>
      </c>
      <c r="F189" s="16" t="s">
        <v>381</v>
      </c>
    </row>
    <row r="190" spans="1:6">
      <c r="A190" s="13">
        <v>189</v>
      </c>
      <c r="B190" s="21">
        <v>46126</v>
      </c>
      <c r="C190" s="11" t="s">
        <v>380</v>
      </c>
      <c r="D190" s="11">
        <v>4</v>
      </c>
      <c r="E190" s="11" t="str">
        <f>_xlfn.XLOOKUP(A190,Employee_Master!A:A,Employee_Master!E:E,"Not Found")</f>
        <v>Finance</v>
      </c>
      <c r="F190" s="15" t="s">
        <v>381</v>
      </c>
    </row>
    <row r="191" spans="1:6">
      <c r="A191" s="14">
        <v>190</v>
      </c>
      <c r="B191" s="22">
        <v>45938</v>
      </c>
      <c r="C191" s="12" t="s">
        <v>382</v>
      </c>
      <c r="D191" s="12">
        <v>2</v>
      </c>
      <c r="E191" s="11" t="str">
        <f>_xlfn.XLOOKUP(A191,Employee_Master!A:A,Employee_Master!E:E,"Not Found")</f>
        <v>HR</v>
      </c>
      <c r="F191" s="16" t="s">
        <v>381</v>
      </c>
    </row>
    <row r="192" spans="1:6">
      <c r="A192" s="13">
        <v>191</v>
      </c>
      <c r="B192" s="21">
        <v>46025</v>
      </c>
      <c r="C192" s="11" t="s">
        <v>380</v>
      </c>
      <c r="D192" s="11">
        <v>1</v>
      </c>
      <c r="E192" s="11" t="str">
        <f>_xlfn.XLOOKUP(A192,Employee_Master!A:A,Employee_Master!E:E,"Not Found")</f>
        <v>IT</v>
      </c>
      <c r="F192" s="15" t="s">
        <v>381</v>
      </c>
    </row>
    <row r="193" spans="1:6">
      <c r="A193" s="14">
        <v>192</v>
      </c>
      <c r="B193" s="22">
        <v>46131</v>
      </c>
      <c r="C193" s="12" t="s">
        <v>382</v>
      </c>
      <c r="D193" s="12">
        <v>2</v>
      </c>
      <c r="E193" s="11" t="str">
        <f>_xlfn.XLOOKUP(A193,Employee_Master!A:A,Employee_Master!E:E,"Not Found")</f>
        <v>Finance</v>
      </c>
      <c r="F193" s="16" t="s">
        <v>381</v>
      </c>
    </row>
    <row r="194" spans="1:6">
      <c r="A194" s="13">
        <v>193</v>
      </c>
      <c r="B194" s="21">
        <v>46103</v>
      </c>
      <c r="C194" s="11" t="s">
        <v>380</v>
      </c>
      <c r="D194" s="11">
        <v>1</v>
      </c>
      <c r="E194" s="11" t="str">
        <f>_xlfn.XLOOKUP(A194,Employee_Master!A:A,Employee_Master!E:E,"Not Found")</f>
        <v>Sales</v>
      </c>
      <c r="F194" s="15" t="s">
        <v>385</v>
      </c>
    </row>
    <row r="195" spans="1:6">
      <c r="A195" s="14">
        <v>194</v>
      </c>
      <c r="B195" s="22">
        <v>46131</v>
      </c>
      <c r="C195" s="12" t="s">
        <v>380</v>
      </c>
      <c r="D195" s="12">
        <v>3</v>
      </c>
      <c r="E195" s="11" t="str">
        <f>_xlfn.XLOOKUP(A195,Employee_Master!A:A,Employee_Master!E:E,"Not Found")</f>
        <v>Sales</v>
      </c>
      <c r="F195" s="16" t="s">
        <v>386</v>
      </c>
    </row>
    <row r="196" spans="1:6">
      <c r="A196" s="13">
        <v>195</v>
      </c>
      <c r="B196" s="21">
        <v>46047</v>
      </c>
      <c r="C196" s="11" t="s">
        <v>380</v>
      </c>
      <c r="D196" s="11">
        <v>4</v>
      </c>
      <c r="E196" s="11" t="str">
        <f>_xlfn.XLOOKUP(A196,Employee_Master!A:A,Employee_Master!E:E,"Not Found")</f>
        <v>Finance</v>
      </c>
      <c r="F196" s="15" t="s">
        <v>386</v>
      </c>
    </row>
    <row r="197" spans="1:6">
      <c r="A197" s="14">
        <v>196</v>
      </c>
      <c r="B197" s="22">
        <v>46186</v>
      </c>
      <c r="C197" s="12" t="s">
        <v>382</v>
      </c>
      <c r="D197" s="12">
        <v>4</v>
      </c>
      <c r="E197" s="11" t="str">
        <f>_xlfn.XLOOKUP(A197,Employee_Master!A:A,Employee_Master!E:E,"Not Found")</f>
        <v>Customer Support</v>
      </c>
      <c r="F197" s="16" t="s">
        <v>381</v>
      </c>
    </row>
    <row r="198" spans="1:6">
      <c r="A198" s="13">
        <v>197</v>
      </c>
      <c r="B198" s="21">
        <v>46271</v>
      </c>
      <c r="C198" s="11" t="s">
        <v>384</v>
      </c>
      <c r="D198" s="11">
        <v>3</v>
      </c>
      <c r="E198" s="11" t="str">
        <f>_xlfn.XLOOKUP(A198,Employee_Master!A:A,Employee_Master!E:E,"Not Found")</f>
        <v>IT</v>
      </c>
      <c r="F198" s="15" t="s">
        <v>381</v>
      </c>
    </row>
    <row r="199" spans="1:6">
      <c r="A199" s="14">
        <v>198</v>
      </c>
      <c r="B199" s="22">
        <v>45965</v>
      </c>
      <c r="C199" s="12" t="s">
        <v>383</v>
      </c>
      <c r="D199" s="12">
        <v>4</v>
      </c>
      <c r="E199" s="11" t="str">
        <f>_xlfn.XLOOKUP(A199,Employee_Master!A:A,Employee_Master!E:E,"Not Found")</f>
        <v>IT</v>
      </c>
      <c r="F199" s="16" t="s">
        <v>386</v>
      </c>
    </row>
    <row r="200" spans="1:6">
      <c r="A200" s="13">
        <v>199</v>
      </c>
      <c r="B200" s="21">
        <v>46079</v>
      </c>
      <c r="C200" s="11" t="s">
        <v>380</v>
      </c>
      <c r="D200" s="11">
        <v>2</v>
      </c>
      <c r="E200" s="11" t="str">
        <f>_xlfn.XLOOKUP(A200,Employee_Master!A:A,Employee_Master!E:E,"Not Found")</f>
        <v>Finance</v>
      </c>
      <c r="F200" s="15" t="s">
        <v>386</v>
      </c>
    </row>
    <row r="201" spans="1:6">
      <c r="A201" s="14">
        <v>200</v>
      </c>
      <c r="B201" s="22">
        <v>46041</v>
      </c>
      <c r="C201" s="12" t="s">
        <v>382</v>
      </c>
      <c r="D201" s="12">
        <v>4</v>
      </c>
      <c r="E201" s="11" t="str">
        <f>_xlfn.XLOOKUP(A201,Employee_Master!A:A,Employee_Master!E:E,"Not Found")</f>
        <v>Operations</v>
      </c>
      <c r="F201" s="16" t="s">
        <v>381</v>
      </c>
    </row>
    <row r="202" spans="1:6">
      <c r="A202" s="13">
        <v>201</v>
      </c>
      <c r="B202" s="21">
        <v>46088</v>
      </c>
      <c r="C202" s="11" t="s">
        <v>380</v>
      </c>
      <c r="D202" s="11">
        <v>3</v>
      </c>
      <c r="E202" s="11" t="str">
        <f>_xlfn.XLOOKUP(A202,Employee_Master!A:A,Employee_Master!E:E,"Not Found")</f>
        <v>Sales</v>
      </c>
      <c r="F202" s="15" t="s">
        <v>381</v>
      </c>
    </row>
    <row r="203" spans="1:6">
      <c r="A203" s="14">
        <v>202</v>
      </c>
      <c r="B203" s="22">
        <v>46281</v>
      </c>
      <c r="C203" s="12" t="s">
        <v>382</v>
      </c>
      <c r="D203" s="12">
        <v>1</v>
      </c>
      <c r="E203" s="11" t="str">
        <f>_xlfn.XLOOKUP(A203,Employee_Master!A:A,Employee_Master!E:E,"Not Found")</f>
        <v>Operations</v>
      </c>
      <c r="F203" s="16" t="s">
        <v>386</v>
      </c>
    </row>
    <row r="204" spans="1:6">
      <c r="A204" s="13">
        <v>203</v>
      </c>
      <c r="B204" s="21">
        <v>46202</v>
      </c>
      <c r="C204" s="11" t="s">
        <v>383</v>
      </c>
      <c r="D204" s="11">
        <v>3</v>
      </c>
      <c r="E204" s="11" t="str">
        <f>_xlfn.XLOOKUP(A204,Employee_Master!A:A,Employee_Master!E:E,"Not Found")</f>
        <v>Customer Support</v>
      </c>
      <c r="F204" s="15" t="s">
        <v>381</v>
      </c>
    </row>
    <row r="205" spans="1:6">
      <c r="A205" s="14">
        <v>204</v>
      </c>
      <c r="B205" s="22">
        <v>46120</v>
      </c>
      <c r="C205" s="12" t="s">
        <v>382</v>
      </c>
      <c r="D205" s="12">
        <v>1</v>
      </c>
      <c r="E205" s="11" t="str">
        <f>_xlfn.XLOOKUP(A205,Employee_Master!A:A,Employee_Master!E:E,"Not Found")</f>
        <v>IT</v>
      </c>
      <c r="F205" s="16" t="s">
        <v>381</v>
      </c>
    </row>
    <row r="206" spans="1:6">
      <c r="A206" s="13">
        <v>205</v>
      </c>
      <c r="B206" s="21">
        <v>46120</v>
      </c>
      <c r="C206" s="11" t="s">
        <v>382</v>
      </c>
      <c r="D206" s="11">
        <v>2</v>
      </c>
      <c r="E206" s="11" t="str">
        <f>_xlfn.XLOOKUP(A206,Employee_Master!A:A,Employee_Master!E:E,"Not Found")</f>
        <v>IT</v>
      </c>
      <c r="F206" s="15" t="s">
        <v>381</v>
      </c>
    </row>
    <row r="207" spans="1:6">
      <c r="A207" s="14">
        <v>206</v>
      </c>
      <c r="B207" s="22">
        <v>46098</v>
      </c>
      <c r="C207" s="12" t="s">
        <v>380</v>
      </c>
      <c r="D207" s="12">
        <v>3</v>
      </c>
      <c r="E207" s="11" t="str">
        <f>_xlfn.XLOOKUP(A207,Employee_Master!A:A,Employee_Master!E:E,"Not Found")</f>
        <v>IT</v>
      </c>
      <c r="F207" s="16" t="s">
        <v>385</v>
      </c>
    </row>
    <row r="208" spans="1:6">
      <c r="A208" s="13">
        <v>207</v>
      </c>
      <c r="B208" s="21">
        <v>46074</v>
      </c>
      <c r="C208" s="11" t="s">
        <v>383</v>
      </c>
      <c r="D208" s="11">
        <v>3</v>
      </c>
      <c r="E208" s="11" t="str">
        <f>_xlfn.XLOOKUP(A208,Employee_Master!A:A,Employee_Master!E:E,"Not Found")</f>
        <v>Finance</v>
      </c>
      <c r="F208" s="15" t="s">
        <v>381</v>
      </c>
    </row>
    <row r="209" spans="1:6">
      <c r="A209" s="14">
        <v>208</v>
      </c>
      <c r="B209" s="22">
        <v>46095</v>
      </c>
      <c r="C209" s="12" t="s">
        <v>380</v>
      </c>
      <c r="D209" s="12">
        <v>2</v>
      </c>
      <c r="E209" s="11" t="str">
        <f>_xlfn.XLOOKUP(A209,Employee_Master!A:A,Employee_Master!E:E,"Not Found")</f>
        <v>Marketing</v>
      </c>
      <c r="F209" s="16" t="s">
        <v>381</v>
      </c>
    </row>
    <row r="210" spans="1:6">
      <c r="A210" s="13">
        <v>209</v>
      </c>
      <c r="B210" s="21">
        <v>46219</v>
      </c>
      <c r="C210" s="11" t="s">
        <v>382</v>
      </c>
      <c r="D210" s="11">
        <v>1</v>
      </c>
      <c r="E210" s="11" t="str">
        <f>_xlfn.XLOOKUP(A210,Employee_Master!A:A,Employee_Master!E:E,"Not Found")</f>
        <v>Sales</v>
      </c>
      <c r="F210" s="15" t="s">
        <v>381</v>
      </c>
    </row>
    <row r="211" spans="1:6">
      <c r="A211" s="14">
        <v>210</v>
      </c>
      <c r="B211" s="22">
        <v>46192</v>
      </c>
      <c r="C211" s="12" t="s">
        <v>384</v>
      </c>
      <c r="D211" s="12">
        <v>4</v>
      </c>
      <c r="E211" s="11" t="str">
        <f>_xlfn.XLOOKUP(A211,Employee_Master!A:A,Employee_Master!E:E,"Not Found")</f>
        <v>Operations</v>
      </c>
      <c r="F211" s="16" t="s">
        <v>381</v>
      </c>
    </row>
    <row r="212" spans="1:6">
      <c r="A212" s="13">
        <v>211</v>
      </c>
      <c r="B212" s="21">
        <v>46250</v>
      </c>
      <c r="C212" s="11" t="s">
        <v>383</v>
      </c>
      <c r="D212" s="11">
        <v>1</v>
      </c>
      <c r="E212" s="11" t="str">
        <f>_xlfn.XLOOKUP(A212,Employee_Master!A:A,Employee_Master!E:E,"Not Found")</f>
        <v>HR</v>
      </c>
      <c r="F212" s="15" t="s">
        <v>386</v>
      </c>
    </row>
    <row r="213" spans="1:6">
      <c r="A213" s="14">
        <v>212</v>
      </c>
      <c r="B213" s="22">
        <v>46167</v>
      </c>
      <c r="C213" s="12" t="s">
        <v>383</v>
      </c>
      <c r="D213" s="12">
        <v>1</v>
      </c>
      <c r="E213" s="11" t="str">
        <f>_xlfn.XLOOKUP(A213,Employee_Master!A:A,Employee_Master!E:E,"Not Found")</f>
        <v>Customer Support</v>
      </c>
      <c r="F213" s="16" t="s">
        <v>385</v>
      </c>
    </row>
    <row r="214" spans="1:6">
      <c r="A214" s="13">
        <v>213</v>
      </c>
      <c r="B214" s="21">
        <v>46130</v>
      </c>
      <c r="C214" s="11" t="s">
        <v>380</v>
      </c>
      <c r="D214" s="11">
        <v>3</v>
      </c>
      <c r="E214" s="11" t="str">
        <f>_xlfn.XLOOKUP(A214,Employee_Master!A:A,Employee_Master!E:E,"Not Found")</f>
        <v>Sales</v>
      </c>
      <c r="F214" s="15" t="s">
        <v>381</v>
      </c>
    </row>
    <row r="215" spans="1:6">
      <c r="A215" s="14">
        <v>214</v>
      </c>
      <c r="B215" s="22">
        <v>46117</v>
      </c>
      <c r="C215" s="12" t="s">
        <v>384</v>
      </c>
      <c r="D215" s="12">
        <v>4</v>
      </c>
      <c r="E215" s="11" t="str">
        <f>_xlfn.XLOOKUP(A215,Employee_Master!A:A,Employee_Master!E:E,"Not Found")</f>
        <v>Sales</v>
      </c>
      <c r="F215" s="16" t="s">
        <v>381</v>
      </c>
    </row>
    <row r="216" spans="1:6">
      <c r="A216" s="13">
        <v>215</v>
      </c>
      <c r="B216" s="21">
        <v>46255</v>
      </c>
      <c r="C216" s="11" t="s">
        <v>384</v>
      </c>
      <c r="D216" s="11">
        <v>3</v>
      </c>
      <c r="E216" s="11" t="str">
        <f>_xlfn.XLOOKUP(A216,Employee_Master!A:A,Employee_Master!E:E,"Not Found")</f>
        <v>Customer Support</v>
      </c>
      <c r="F216" s="15" t="s">
        <v>381</v>
      </c>
    </row>
    <row r="217" spans="1:6">
      <c r="A217" s="14">
        <v>216</v>
      </c>
      <c r="B217" s="22">
        <v>46178</v>
      </c>
      <c r="C217" s="12" t="s">
        <v>380</v>
      </c>
      <c r="D217" s="12">
        <v>3</v>
      </c>
      <c r="E217" s="11" t="str">
        <f>_xlfn.XLOOKUP(A217,Employee_Master!A:A,Employee_Master!E:E,"Not Found")</f>
        <v>Sales</v>
      </c>
      <c r="F217" s="16" t="s">
        <v>381</v>
      </c>
    </row>
    <row r="218" spans="1:6">
      <c r="A218" s="13">
        <v>217</v>
      </c>
      <c r="B218" s="21">
        <v>46179</v>
      </c>
      <c r="C218" s="11" t="s">
        <v>383</v>
      </c>
      <c r="D218" s="11">
        <v>2</v>
      </c>
      <c r="E218" s="11" t="str">
        <f>_xlfn.XLOOKUP(A218,Employee_Master!A:A,Employee_Master!E:E,"Not Found")</f>
        <v>HR</v>
      </c>
      <c r="F218" s="15" t="s">
        <v>381</v>
      </c>
    </row>
    <row r="219" spans="1:6">
      <c r="A219" s="14">
        <v>218</v>
      </c>
      <c r="B219" s="22">
        <v>46236</v>
      </c>
      <c r="C219" s="12" t="s">
        <v>384</v>
      </c>
      <c r="D219" s="12">
        <v>3</v>
      </c>
      <c r="E219" s="11" t="str">
        <f>_xlfn.XLOOKUP(A219,Employee_Master!A:A,Employee_Master!E:E,"Not Found")</f>
        <v>Finance</v>
      </c>
      <c r="F219" s="16" t="s">
        <v>381</v>
      </c>
    </row>
    <row r="220" spans="1:6">
      <c r="A220" s="13">
        <v>219</v>
      </c>
      <c r="B220" s="21">
        <v>46030</v>
      </c>
      <c r="C220" s="11" t="s">
        <v>383</v>
      </c>
      <c r="D220" s="11">
        <v>2</v>
      </c>
      <c r="E220" s="11" t="str">
        <f>_xlfn.XLOOKUP(A220,Employee_Master!A:A,Employee_Master!E:E,"Not Found")</f>
        <v>IT</v>
      </c>
      <c r="F220" s="15" t="s">
        <v>385</v>
      </c>
    </row>
    <row r="221" spans="1:6">
      <c r="A221" s="14">
        <v>220</v>
      </c>
      <c r="B221" s="22">
        <v>46289</v>
      </c>
      <c r="C221" s="12" t="s">
        <v>384</v>
      </c>
      <c r="D221" s="12">
        <v>3</v>
      </c>
      <c r="E221" s="11" t="str">
        <f>_xlfn.XLOOKUP(A221,Employee_Master!A:A,Employee_Master!E:E,"Not Found")</f>
        <v>Sales</v>
      </c>
      <c r="F221" s="16" t="s">
        <v>381</v>
      </c>
    </row>
    <row r="222" spans="1:6">
      <c r="A222" s="13">
        <v>221</v>
      </c>
      <c r="B222" s="21">
        <v>46035</v>
      </c>
      <c r="C222" s="11" t="s">
        <v>380</v>
      </c>
      <c r="D222" s="11">
        <v>3</v>
      </c>
      <c r="E222" s="11" t="str">
        <f>_xlfn.XLOOKUP(A222,Employee_Master!A:A,Employee_Master!E:E,"Not Found")</f>
        <v>Finance</v>
      </c>
      <c r="F222" s="15" t="s">
        <v>381</v>
      </c>
    </row>
    <row r="223" spans="1:6">
      <c r="A223" s="14">
        <v>222</v>
      </c>
      <c r="B223" s="22">
        <v>45945</v>
      </c>
      <c r="C223" s="12" t="s">
        <v>382</v>
      </c>
      <c r="D223" s="12">
        <v>1</v>
      </c>
      <c r="E223" s="11" t="str">
        <f>_xlfn.XLOOKUP(A223,Employee_Master!A:A,Employee_Master!E:E,"Not Found")</f>
        <v>HR</v>
      </c>
      <c r="F223" s="16" t="s">
        <v>381</v>
      </c>
    </row>
    <row r="224" spans="1:6">
      <c r="A224" s="13">
        <v>223</v>
      </c>
      <c r="B224" s="21">
        <v>46006</v>
      </c>
      <c r="C224" s="11" t="s">
        <v>382</v>
      </c>
      <c r="D224" s="11">
        <v>4</v>
      </c>
      <c r="E224" s="11" t="str">
        <f>_xlfn.XLOOKUP(A224,Employee_Master!A:A,Employee_Master!E:E,"Not Found")</f>
        <v>Finance</v>
      </c>
      <c r="F224" s="15" t="s">
        <v>386</v>
      </c>
    </row>
    <row r="225" spans="1:6">
      <c r="A225" s="14">
        <v>224</v>
      </c>
      <c r="B225" s="22">
        <v>46011</v>
      </c>
      <c r="C225" s="12" t="s">
        <v>382</v>
      </c>
      <c r="D225" s="12">
        <v>3</v>
      </c>
      <c r="E225" s="11" t="str">
        <f>_xlfn.XLOOKUP(A225,Employee_Master!A:A,Employee_Master!E:E,"Not Found")</f>
        <v>HR</v>
      </c>
      <c r="F225" s="16" t="s">
        <v>381</v>
      </c>
    </row>
    <row r="226" spans="1:6">
      <c r="A226" s="13">
        <v>225</v>
      </c>
      <c r="B226" s="21">
        <v>46071</v>
      </c>
      <c r="C226" s="11" t="s">
        <v>382</v>
      </c>
      <c r="D226" s="11">
        <v>3</v>
      </c>
      <c r="E226" s="11" t="str">
        <f>_xlfn.XLOOKUP(A226,Employee_Master!A:A,Employee_Master!E:E,"Not Found")</f>
        <v>Finance</v>
      </c>
      <c r="F226" s="15" t="s">
        <v>381</v>
      </c>
    </row>
    <row r="227" spans="1:6">
      <c r="A227" s="14">
        <v>226</v>
      </c>
      <c r="B227" s="22">
        <v>46163</v>
      </c>
      <c r="C227" s="12" t="s">
        <v>383</v>
      </c>
      <c r="D227" s="12">
        <v>2</v>
      </c>
      <c r="E227" s="11" t="str">
        <f>_xlfn.XLOOKUP(A227,Employee_Master!A:A,Employee_Master!E:E,"Not Found")</f>
        <v>HR</v>
      </c>
      <c r="F227" s="16" t="s">
        <v>386</v>
      </c>
    </row>
    <row r="228" spans="1:6">
      <c r="A228" s="13">
        <v>227</v>
      </c>
      <c r="B228" s="21">
        <v>45996</v>
      </c>
      <c r="C228" s="11" t="s">
        <v>383</v>
      </c>
      <c r="D228" s="11">
        <v>1</v>
      </c>
      <c r="E228" s="11" t="str">
        <f>_xlfn.XLOOKUP(A228,Employee_Master!A:A,Employee_Master!E:E,"Not Found")</f>
        <v>Marketing</v>
      </c>
      <c r="F228" s="15" t="s">
        <v>381</v>
      </c>
    </row>
    <row r="229" spans="1:6">
      <c r="A229" s="14">
        <v>228</v>
      </c>
      <c r="B229" s="22">
        <v>45957</v>
      </c>
      <c r="C229" s="12" t="s">
        <v>383</v>
      </c>
      <c r="D229" s="12">
        <v>4</v>
      </c>
      <c r="E229" s="11" t="str">
        <f>_xlfn.XLOOKUP(A229,Employee_Master!A:A,Employee_Master!E:E,"Not Found")</f>
        <v>Sales</v>
      </c>
      <c r="F229" s="16" t="s">
        <v>381</v>
      </c>
    </row>
    <row r="230" spans="1:6">
      <c r="A230" s="13">
        <v>229</v>
      </c>
      <c r="B230" s="21">
        <v>46003</v>
      </c>
      <c r="C230" s="11" t="s">
        <v>383</v>
      </c>
      <c r="D230" s="11">
        <v>4</v>
      </c>
      <c r="E230" s="11" t="str">
        <f>_xlfn.XLOOKUP(A230,Employee_Master!A:A,Employee_Master!E:E,"Not Found")</f>
        <v>Operations</v>
      </c>
      <c r="F230" s="15" t="s">
        <v>386</v>
      </c>
    </row>
    <row r="231" spans="1:6">
      <c r="A231" s="14">
        <v>230</v>
      </c>
      <c r="B231" s="22">
        <v>46261</v>
      </c>
      <c r="C231" s="12" t="s">
        <v>383</v>
      </c>
      <c r="D231" s="12">
        <v>4</v>
      </c>
      <c r="E231" s="11" t="str">
        <f>_xlfn.XLOOKUP(A231,Employee_Master!A:A,Employee_Master!E:E,"Not Found")</f>
        <v>Sales</v>
      </c>
      <c r="F231" s="16" t="s">
        <v>381</v>
      </c>
    </row>
    <row r="232" spans="1:6">
      <c r="A232" s="13">
        <v>231</v>
      </c>
      <c r="B232" s="21">
        <v>46098</v>
      </c>
      <c r="C232" s="11" t="s">
        <v>384</v>
      </c>
      <c r="D232" s="11">
        <v>3</v>
      </c>
      <c r="E232" s="11" t="str">
        <f>_xlfn.XLOOKUP(A232,Employee_Master!A:A,Employee_Master!E:E,"Not Found")</f>
        <v>HR</v>
      </c>
      <c r="F232" s="15" t="s">
        <v>381</v>
      </c>
    </row>
    <row r="233" spans="1:6">
      <c r="A233" s="14">
        <v>232</v>
      </c>
      <c r="B233" s="22">
        <v>46220</v>
      </c>
      <c r="C233" s="12" t="s">
        <v>384</v>
      </c>
      <c r="D233" s="12">
        <v>1</v>
      </c>
      <c r="E233" s="11" t="str">
        <f>_xlfn.XLOOKUP(A233,Employee_Master!A:A,Employee_Master!E:E,"Not Found")</f>
        <v>HR</v>
      </c>
      <c r="F233" s="16" t="s">
        <v>381</v>
      </c>
    </row>
    <row r="234" spans="1:6">
      <c r="A234" s="13">
        <v>233</v>
      </c>
      <c r="B234" s="21">
        <v>45963</v>
      </c>
      <c r="C234" s="11" t="s">
        <v>384</v>
      </c>
      <c r="D234" s="11">
        <v>2</v>
      </c>
      <c r="E234" s="11" t="str">
        <f>_xlfn.XLOOKUP(A234,Employee_Master!A:A,Employee_Master!E:E,"Not Found")</f>
        <v>Operations</v>
      </c>
      <c r="F234" s="15" t="s">
        <v>381</v>
      </c>
    </row>
    <row r="235" spans="1:6">
      <c r="A235" s="14">
        <v>234</v>
      </c>
      <c r="B235" s="22">
        <v>45983</v>
      </c>
      <c r="C235" s="12" t="s">
        <v>380</v>
      </c>
      <c r="D235" s="12">
        <v>2</v>
      </c>
      <c r="E235" s="11" t="str">
        <f>_xlfn.XLOOKUP(A235,Employee_Master!A:A,Employee_Master!E:E,"Not Found")</f>
        <v>HR</v>
      </c>
      <c r="F235" s="16" t="s">
        <v>381</v>
      </c>
    </row>
    <row r="236" spans="1:6">
      <c r="A236" s="13">
        <v>235</v>
      </c>
      <c r="B236" s="21">
        <v>46115</v>
      </c>
      <c r="C236" s="11" t="s">
        <v>383</v>
      </c>
      <c r="D236" s="11">
        <v>3</v>
      </c>
      <c r="E236" s="11" t="str">
        <f>_xlfn.XLOOKUP(A236,Employee_Master!A:A,Employee_Master!E:E,"Not Found")</f>
        <v>Customer Support</v>
      </c>
      <c r="F236" s="15" t="s">
        <v>381</v>
      </c>
    </row>
    <row r="237" spans="1:6">
      <c r="A237" s="14">
        <v>236</v>
      </c>
      <c r="B237" s="22">
        <v>46106</v>
      </c>
      <c r="C237" s="12" t="s">
        <v>384</v>
      </c>
      <c r="D237" s="12">
        <v>4</v>
      </c>
      <c r="E237" s="11" t="str">
        <f>_xlfn.XLOOKUP(A237,Employee_Master!A:A,Employee_Master!E:E,"Not Found")</f>
        <v>IT</v>
      </c>
      <c r="F237" s="16" t="s">
        <v>385</v>
      </c>
    </row>
    <row r="238" spans="1:6">
      <c r="A238" s="13">
        <v>237</v>
      </c>
      <c r="B238" s="21">
        <v>46210</v>
      </c>
      <c r="C238" s="11" t="s">
        <v>384</v>
      </c>
      <c r="D238" s="11">
        <v>4</v>
      </c>
      <c r="E238" s="11" t="str">
        <f>_xlfn.XLOOKUP(A238,Employee_Master!A:A,Employee_Master!E:E,"Not Found")</f>
        <v>Sales</v>
      </c>
      <c r="F238" s="15" t="s">
        <v>385</v>
      </c>
    </row>
    <row r="239" spans="1:6">
      <c r="A239" s="14">
        <v>238</v>
      </c>
      <c r="B239" s="22">
        <v>46286</v>
      </c>
      <c r="C239" s="12" t="s">
        <v>380</v>
      </c>
      <c r="D239" s="12">
        <v>1</v>
      </c>
      <c r="E239" s="11" t="str">
        <f>_xlfn.XLOOKUP(A239,Employee_Master!A:A,Employee_Master!E:E,"Not Found")</f>
        <v>Marketing</v>
      </c>
      <c r="F239" s="16" t="s">
        <v>381</v>
      </c>
    </row>
    <row r="240" spans="1:6">
      <c r="A240" s="13">
        <v>239</v>
      </c>
      <c r="B240" s="21">
        <v>46012</v>
      </c>
      <c r="C240" s="11" t="s">
        <v>384</v>
      </c>
      <c r="D240" s="11">
        <v>3</v>
      </c>
      <c r="E240" s="11" t="str">
        <f>_xlfn.XLOOKUP(A240,Employee_Master!A:A,Employee_Master!E:E,"Not Found")</f>
        <v>IT</v>
      </c>
      <c r="F240" s="15" t="s">
        <v>381</v>
      </c>
    </row>
    <row r="241" spans="1:6">
      <c r="A241" s="14">
        <v>240</v>
      </c>
      <c r="B241" s="22">
        <v>46053</v>
      </c>
      <c r="C241" s="12" t="s">
        <v>384</v>
      </c>
      <c r="D241" s="12">
        <v>1</v>
      </c>
      <c r="E241" s="11" t="str">
        <f>_xlfn.XLOOKUP(A241,Employee_Master!A:A,Employee_Master!E:E,"Not Found")</f>
        <v>Finance</v>
      </c>
      <c r="F241" s="16" t="s">
        <v>381</v>
      </c>
    </row>
    <row r="242" spans="1:6">
      <c r="A242" s="13">
        <v>241</v>
      </c>
      <c r="B242" s="21">
        <v>46260</v>
      </c>
      <c r="C242" s="11" t="s">
        <v>380</v>
      </c>
      <c r="D242" s="11">
        <v>4</v>
      </c>
      <c r="E242" s="11" t="str">
        <f>_xlfn.XLOOKUP(A242,Employee_Master!A:A,Employee_Master!E:E,"Not Found")</f>
        <v>Finance</v>
      </c>
      <c r="F242" s="15" t="s">
        <v>381</v>
      </c>
    </row>
    <row r="243" spans="1:6">
      <c r="A243" s="14">
        <v>242</v>
      </c>
      <c r="B243" s="22">
        <v>46050</v>
      </c>
      <c r="C243" s="12" t="s">
        <v>380</v>
      </c>
      <c r="D243" s="12">
        <v>2</v>
      </c>
      <c r="E243" s="11" t="str">
        <f>_xlfn.XLOOKUP(A243,Employee_Master!A:A,Employee_Master!E:E,"Not Found")</f>
        <v>HR</v>
      </c>
      <c r="F243" s="16" t="s">
        <v>386</v>
      </c>
    </row>
    <row r="244" spans="1:6">
      <c r="A244" s="13">
        <v>243</v>
      </c>
      <c r="B244" s="21">
        <v>46096</v>
      </c>
      <c r="C244" s="11" t="s">
        <v>382</v>
      </c>
      <c r="D244" s="11">
        <v>4</v>
      </c>
      <c r="E244" s="11" t="str">
        <f>_xlfn.XLOOKUP(A244,Employee_Master!A:A,Employee_Master!E:E,"Not Found")</f>
        <v>Operations</v>
      </c>
      <c r="F244" s="15" t="s">
        <v>381</v>
      </c>
    </row>
    <row r="245" spans="1:6">
      <c r="A245" s="14">
        <v>244</v>
      </c>
      <c r="B245" s="22">
        <v>46192</v>
      </c>
      <c r="C245" s="12" t="s">
        <v>383</v>
      </c>
      <c r="D245" s="12">
        <v>4</v>
      </c>
      <c r="E245" s="11" t="str">
        <f>_xlfn.XLOOKUP(A245,Employee_Master!A:A,Employee_Master!E:E,"Not Found")</f>
        <v>IT</v>
      </c>
      <c r="F245" s="16" t="s">
        <v>381</v>
      </c>
    </row>
    <row r="246" spans="1:6">
      <c r="A246" s="13">
        <v>245</v>
      </c>
      <c r="B246" s="21">
        <v>46212</v>
      </c>
      <c r="C246" s="11" t="s">
        <v>384</v>
      </c>
      <c r="D246" s="11">
        <v>1</v>
      </c>
      <c r="E246" s="11" t="str">
        <f>_xlfn.XLOOKUP(A246,Employee_Master!A:A,Employee_Master!E:E,"Not Found")</f>
        <v>Customer Support</v>
      </c>
      <c r="F246" s="15" t="s">
        <v>381</v>
      </c>
    </row>
    <row r="247" spans="1:6">
      <c r="A247" s="14">
        <v>246</v>
      </c>
      <c r="B247" s="22">
        <v>46232</v>
      </c>
      <c r="C247" s="12" t="s">
        <v>384</v>
      </c>
      <c r="D247" s="12">
        <v>2</v>
      </c>
      <c r="E247" s="11" t="str">
        <f>_xlfn.XLOOKUP(A247,Employee_Master!A:A,Employee_Master!E:E,"Not Found")</f>
        <v>Finance</v>
      </c>
      <c r="F247" s="16" t="s">
        <v>381</v>
      </c>
    </row>
    <row r="248" spans="1:6">
      <c r="A248" s="13">
        <v>247</v>
      </c>
      <c r="B248" s="21">
        <v>46229</v>
      </c>
      <c r="C248" s="11" t="s">
        <v>382</v>
      </c>
      <c r="D248" s="11">
        <v>1</v>
      </c>
      <c r="E248" s="11" t="str">
        <f>_xlfn.XLOOKUP(A248,Employee_Master!A:A,Employee_Master!E:E,"Not Found")</f>
        <v>Sales</v>
      </c>
      <c r="F248" s="15" t="s">
        <v>381</v>
      </c>
    </row>
    <row r="249" spans="1:6">
      <c r="A249" s="14">
        <v>248</v>
      </c>
      <c r="B249" s="22">
        <v>46119</v>
      </c>
      <c r="C249" s="12" t="s">
        <v>380</v>
      </c>
      <c r="D249" s="12">
        <v>4</v>
      </c>
      <c r="E249" s="11" t="str">
        <f>_xlfn.XLOOKUP(A249,Employee_Master!A:A,Employee_Master!E:E,"Not Found")</f>
        <v>IT</v>
      </c>
      <c r="F249" s="16" t="s">
        <v>381</v>
      </c>
    </row>
    <row r="250" spans="1:6">
      <c r="A250" s="13">
        <v>249</v>
      </c>
      <c r="B250" s="21">
        <v>46008</v>
      </c>
      <c r="C250" s="11" t="s">
        <v>384</v>
      </c>
      <c r="D250" s="11">
        <v>3</v>
      </c>
      <c r="E250" s="11" t="str">
        <f>_xlfn.XLOOKUP(A250,Employee_Master!A:A,Employee_Master!E:E,"Not Found")</f>
        <v>Sales</v>
      </c>
      <c r="F250" s="15" t="s">
        <v>381</v>
      </c>
    </row>
    <row r="251" spans="1:6">
      <c r="A251" s="14">
        <v>250</v>
      </c>
      <c r="B251" s="22">
        <v>46215</v>
      </c>
      <c r="C251" s="12" t="s">
        <v>383</v>
      </c>
      <c r="D251" s="12">
        <v>4</v>
      </c>
      <c r="E251" s="11" t="str">
        <f>_xlfn.XLOOKUP(A251,Employee_Master!A:A,Employee_Master!E:E,"Not Found")</f>
        <v>Customer Support</v>
      </c>
      <c r="F251" s="16" t="s">
        <v>381</v>
      </c>
    </row>
    <row r="252" spans="1:6">
      <c r="A252" s="13">
        <v>251</v>
      </c>
      <c r="B252" s="21">
        <v>46034</v>
      </c>
      <c r="C252" s="11" t="s">
        <v>383</v>
      </c>
      <c r="D252" s="11">
        <v>3</v>
      </c>
      <c r="E252" s="11" t="str">
        <f>_xlfn.XLOOKUP(A252,Employee_Master!A:A,Employee_Master!E:E,"Not Found")</f>
        <v>IT</v>
      </c>
      <c r="F252" s="15" t="s">
        <v>381</v>
      </c>
    </row>
    <row r="253" spans="1:6">
      <c r="A253" s="14">
        <v>252</v>
      </c>
      <c r="B253" s="22">
        <v>46064</v>
      </c>
      <c r="C253" s="12" t="s">
        <v>382</v>
      </c>
      <c r="D253" s="12">
        <v>1</v>
      </c>
      <c r="E253" s="11" t="str">
        <f>_xlfn.XLOOKUP(A253,Employee_Master!A:A,Employee_Master!E:E,"Not Found")</f>
        <v>Customer Support</v>
      </c>
      <c r="F253" s="16" t="s">
        <v>381</v>
      </c>
    </row>
    <row r="254" spans="1:6">
      <c r="A254" s="13">
        <v>253</v>
      </c>
      <c r="B254" s="21">
        <v>46162</v>
      </c>
      <c r="C254" s="11" t="s">
        <v>384</v>
      </c>
      <c r="D254" s="11">
        <v>4</v>
      </c>
      <c r="E254" s="11" t="str">
        <f>_xlfn.XLOOKUP(A254,Employee_Master!A:A,Employee_Master!E:E,"Not Found")</f>
        <v>HR</v>
      </c>
      <c r="F254" s="15" t="s">
        <v>386</v>
      </c>
    </row>
    <row r="255" spans="1:6">
      <c r="A255" s="14">
        <v>254</v>
      </c>
      <c r="B255" s="22">
        <v>46138</v>
      </c>
      <c r="C255" s="12" t="s">
        <v>380</v>
      </c>
      <c r="D255" s="12">
        <v>2</v>
      </c>
      <c r="E255" s="11" t="str">
        <f>_xlfn.XLOOKUP(A255,Employee_Master!A:A,Employee_Master!E:E,"Not Found")</f>
        <v>Finance</v>
      </c>
      <c r="F255" s="16" t="s">
        <v>381</v>
      </c>
    </row>
    <row r="256" spans="1:6">
      <c r="A256" s="13">
        <v>255</v>
      </c>
      <c r="B256" s="21">
        <v>45952</v>
      </c>
      <c r="C256" s="11" t="s">
        <v>382</v>
      </c>
      <c r="D256" s="11">
        <v>1</v>
      </c>
      <c r="E256" s="11" t="str">
        <f>_xlfn.XLOOKUP(A256,Employee_Master!A:A,Employee_Master!E:E,"Not Found")</f>
        <v>Customer Support</v>
      </c>
      <c r="F256" s="15" t="s">
        <v>381</v>
      </c>
    </row>
    <row r="257" spans="1:6">
      <c r="A257" s="14">
        <v>256</v>
      </c>
      <c r="B257" s="22">
        <v>46033</v>
      </c>
      <c r="C257" s="12" t="s">
        <v>383</v>
      </c>
      <c r="D257" s="12">
        <v>2</v>
      </c>
      <c r="E257" s="11" t="str">
        <f>_xlfn.XLOOKUP(A257,Employee_Master!A:A,Employee_Master!E:E,"Not Found")</f>
        <v>Sales</v>
      </c>
      <c r="F257" s="16" t="s">
        <v>386</v>
      </c>
    </row>
    <row r="258" spans="1:6">
      <c r="A258" s="13">
        <v>257</v>
      </c>
      <c r="B258" s="21">
        <v>46086</v>
      </c>
      <c r="C258" s="11" t="s">
        <v>383</v>
      </c>
      <c r="D258" s="11">
        <v>4</v>
      </c>
      <c r="E258" s="11" t="str">
        <f>_xlfn.XLOOKUP(A258,Employee_Master!A:A,Employee_Master!E:E,"Not Found")</f>
        <v>Finance</v>
      </c>
      <c r="F258" s="15" t="s">
        <v>381</v>
      </c>
    </row>
    <row r="259" spans="1:6">
      <c r="A259" s="14">
        <v>258</v>
      </c>
      <c r="B259" s="22">
        <v>46221</v>
      </c>
      <c r="C259" s="12" t="s">
        <v>383</v>
      </c>
      <c r="D259" s="12">
        <v>2</v>
      </c>
      <c r="E259" s="11" t="str">
        <f>_xlfn.XLOOKUP(A259,Employee_Master!A:A,Employee_Master!E:E,"Not Found")</f>
        <v>IT</v>
      </c>
      <c r="F259" s="16" t="s">
        <v>386</v>
      </c>
    </row>
    <row r="260" spans="1:6">
      <c r="A260" s="13">
        <v>259</v>
      </c>
      <c r="B260" s="21">
        <v>45937</v>
      </c>
      <c r="C260" s="11" t="s">
        <v>380</v>
      </c>
      <c r="D260" s="11">
        <v>2</v>
      </c>
      <c r="E260" s="11" t="str">
        <f>_xlfn.XLOOKUP(A260,Employee_Master!A:A,Employee_Master!E:E,"Not Found")</f>
        <v>Customer Support</v>
      </c>
      <c r="F260" s="15" t="s">
        <v>381</v>
      </c>
    </row>
    <row r="261" spans="1:6">
      <c r="A261" s="14">
        <v>260</v>
      </c>
      <c r="B261" s="22">
        <v>46036</v>
      </c>
      <c r="C261" s="12" t="s">
        <v>382</v>
      </c>
      <c r="D261" s="12">
        <v>4</v>
      </c>
      <c r="E261" s="11" t="str">
        <f>_xlfn.XLOOKUP(A261,Employee_Master!A:A,Employee_Master!E:E,"Not Found")</f>
        <v>Finance</v>
      </c>
      <c r="F261" s="16" t="s">
        <v>381</v>
      </c>
    </row>
    <row r="262" spans="1:6">
      <c r="A262" s="13">
        <v>261</v>
      </c>
      <c r="B262" s="21">
        <v>46131</v>
      </c>
      <c r="C262" s="11" t="s">
        <v>380</v>
      </c>
      <c r="D262" s="11">
        <v>4</v>
      </c>
      <c r="E262" s="11" t="str">
        <f>_xlfn.XLOOKUP(A262,Employee_Master!A:A,Employee_Master!E:E,"Not Found")</f>
        <v>IT</v>
      </c>
      <c r="F262" s="15" t="s">
        <v>385</v>
      </c>
    </row>
    <row r="263" spans="1:6">
      <c r="A263" s="14">
        <v>262</v>
      </c>
      <c r="B263" s="22">
        <v>46218</v>
      </c>
      <c r="C263" s="12" t="s">
        <v>383</v>
      </c>
      <c r="D263" s="12">
        <v>2</v>
      </c>
      <c r="E263" s="11" t="str">
        <f>_xlfn.XLOOKUP(A263,Employee_Master!A:A,Employee_Master!E:E,"Not Found")</f>
        <v>HR</v>
      </c>
      <c r="F263" s="16" t="s">
        <v>381</v>
      </c>
    </row>
    <row r="264" spans="1:6">
      <c r="A264" s="13">
        <v>263</v>
      </c>
      <c r="B264" s="21">
        <v>46246</v>
      </c>
      <c r="C264" s="11" t="s">
        <v>384</v>
      </c>
      <c r="D264" s="11">
        <v>1</v>
      </c>
      <c r="E264" s="11" t="str">
        <f>_xlfn.XLOOKUP(A264,Employee_Master!A:A,Employee_Master!E:E,"Not Found")</f>
        <v>IT</v>
      </c>
      <c r="F264" s="15" t="s">
        <v>381</v>
      </c>
    </row>
    <row r="265" spans="1:6">
      <c r="A265" s="14">
        <v>264</v>
      </c>
      <c r="B265" s="22">
        <v>45956</v>
      </c>
      <c r="C265" s="12" t="s">
        <v>384</v>
      </c>
      <c r="D265" s="12">
        <v>3</v>
      </c>
      <c r="E265" s="11" t="str">
        <f>_xlfn.XLOOKUP(A265,Employee_Master!A:A,Employee_Master!E:E,"Not Found")</f>
        <v>Sales</v>
      </c>
      <c r="F265" s="16" t="s">
        <v>381</v>
      </c>
    </row>
    <row r="266" spans="1:6">
      <c r="A266" s="13">
        <v>265</v>
      </c>
      <c r="B266" s="21">
        <v>46086</v>
      </c>
      <c r="C266" s="11" t="s">
        <v>382</v>
      </c>
      <c r="D266" s="11">
        <v>4</v>
      </c>
      <c r="E266" s="11" t="str">
        <f>_xlfn.XLOOKUP(A266,Employee_Master!A:A,Employee_Master!E:E,"Not Found")</f>
        <v>Sales</v>
      </c>
      <c r="F266" s="15" t="s">
        <v>386</v>
      </c>
    </row>
    <row r="267" spans="1:6">
      <c r="A267" s="14">
        <v>266</v>
      </c>
      <c r="B267" s="22">
        <v>46012</v>
      </c>
      <c r="C267" s="12" t="s">
        <v>384</v>
      </c>
      <c r="D267" s="12">
        <v>1</v>
      </c>
      <c r="E267" s="11" t="str">
        <f>_xlfn.XLOOKUP(A267,Employee_Master!A:A,Employee_Master!E:E,"Not Found")</f>
        <v>IT</v>
      </c>
      <c r="F267" s="16" t="s">
        <v>381</v>
      </c>
    </row>
    <row r="268" spans="1:6">
      <c r="A268" s="13">
        <v>267</v>
      </c>
      <c r="B268" s="21">
        <v>46041</v>
      </c>
      <c r="C268" s="11" t="s">
        <v>380</v>
      </c>
      <c r="D268" s="11">
        <v>4</v>
      </c>
      <c r="E268" s="11" t="str">
        <f>_xlfn.XLOOKUP(A268,Employee_Master!A:A,Employee_Master!E:E,"Not Found")</f>
        <v>Sales</v>
      </c>
      <c r="F268" s="15" t="s">
        <v>381</v>
      </c>
    </row>
    <row r="269" spans="1:6">
      <c r="A269" s="14">
        <v>268</v>
      </c>
      <c r="B269" s="22">
        <v>46144</v>
      </c>
      <c r="C269" s="12" t="s">
        <v>384</v>
      </c>
      <c r="D269" s="12">
        <v>3</v>
      </c>
      <c r="E269" s="11" t="str">
        <f>_xlfn.XLOOKUP(A269,Employee_Master!A:A,Employee_Master!E:E,"Not Found")</f>
        <v>Finance</v>
      </c>
      <c r="F269" s="16" t="s">
        <v>381</v>
      </c>
    </row>
    <row r="270" spans="1:6">
      <c r="A270" s="13">
        <v>269</v>
      </c>
      <c r="B270" s="21">
        <v>45992</v>
      </c>
      <c r="C270" s="11" t="s">
        <v>383</v>
      </c>
      <c r="D270" s="11">
        <v>2</v>
      </c>
      <c r="E270" s="11" t="str">
        <f>_xlfn.XLOOKUP(A270,Employee_Master!A:A,Employee_Master!E:E,"Not Found")</f>
        <v>Customer Support</v>
      </c>
      <c r="F270" s="15" t="s">
        <v>381</v>
      </c>
    </row>
    <row r="271" spans="1:6">
      <c r="A271" s="14">
        <v>270</v>
      </c>
      <c r="B271" s="22">
        <v>46035</v>
      </c>
      <c r="C271" s="12" t="s">
        <v>384</v>
      </c>
      <c r="D271" s="12">
        <v>1</v>
      </c>
      <c r="E271" s="11" t="str">
        <f>_xlfn.XLOOKUP(A271,Employee_Master!A:A,Employee_Master!E:E,"Not Found")</f>
        <v>Customer Support</v>
      </c>
      <c r="F271" s="16" t="s">
        <v>385</v>
      </c>
    </row>
    <row r="272" spans="1:6">
      <c r="A272" s="13">
        <v>271</v>
      </c>
      <c r="B272" s="21">
        <v>46020</v>
      </c>
      <c r="C272" s="11" t="s">
        <v>384</v>
      </c>
      <c r="D272" s="11">
        <v>1</v>
      </c>
      <c r="E272" s="11" t="str">
        <f>_xlfn.XLOOKUP(A272,Employee_Master!A:A,Employee_Master!E:E,"Not Found")</f>
        <v>Operations</v>
      </c>
      <c r="F272" s="15" t="s">
        <v>381</v>
      </c>
    </row>
    <row r="273" spans="1:6">
      <c r="A273" s="14">
        <v>272</v>
      </c>
      <c r="B273" s="22">
        <v>46051</v>
      </c>
      <c r="C273" s="12" t="s">
        <v>382</v>
      </c>
      <c r="D273" s="12">
        <v>3</v>
      </c>
      <c r="E273" s="11" t="str">
        <f>_xlfn.XLOOKUP(A273,Employee_Master!A:A,Employee_Master!E:E,"Not Found")</f>
        <v>HR</v>
      </c>
      <c r="F273" s="16" t="s">
        <v>381</v>
      </c>
    </row>
    <row r="274" spans="1:6">
      <c r="A274" s="13">
        <v>273</v>
      </c>
      <c r="B274" s="21">
        <v>46176</v>
      </c>
      <c r="C274" s="11" t="s">
        <v>384</v>
      </c>
      <c r="D274" s="11">
        <v>2</v>
      </c>
      <c r="E274" s="11" t="str">
        <f>_xlfn.XLOOKUP(A274,Employee_Master!A:A,Employee_Master!E:E,"Not Found")</f>
        <v>Marketing</v>
      </c>
      <c r="F274" s="15" t="s">
        <v>381</v>
      </c>
    </row>
    <row r="275" spans="1:6">
      <c r="A275" s="14">
        <v>274</v>
      </c>
      <c r="B275" s="22">
        <v>45964</v>
      </c>
      <c r="C275" s="12" t="s">
        <v>382</v>
      </c>
      <c r="D275" s="12">
        <v>4</v>
      </c>
      <c r="E275" s="11" t="str">
        <f>_xlfn.XLOOKUP(A275,Employee_Master!A:A,Employee_Master!E:E,"Not Found")</f>
        <v>Sales</v>
      </c>
      <c r="F275" s="16" t="s">
        <v>381</v>
      </c>
    </row>
    <row r="276" spans="1:6">
      <c r="A276" s="13">
        <v>275</v>
      </c>
      <c r="B276" s="21">
        <v>45950</v>
      </c>
      <c r="C276" s="11" t="s">
        <v>382</v>
      </c>
      <c r="D276" s="11">
        <v>4</v>
      </c>
      <c r="E276" s="11" t="str">
        <f>_xlfn.XLOOKUP(A276,Employee_Master!A:A,Employee_Master!E:E,"Not Found")</f>
        <v>Marketing</v>
      </c>
      <c r="F276" s="15" t="s">
        <v>385</v>
      </c>
    </row>
    <row r="277" spans="1:6">
      <c r="A277" s="14">
        <v>276</v>
      </c>
      <c r="B277" s="22">
        <v>46142</v>
      </c>
      <c r="C277" s="12" t="s">
        <v>380</v>
      </c>
      <c r="D277" s="12">
        <v>1</v>
      </c>
      <c r="E277" s="11" t="str">
        <f>_xlfn.XLOOKUP(A277,Employee_Master!A:A,Employee_Master!E:E,"Not Found")</f>
        <v>HR</v>
      </c>
      <c r="F277" s="16" t="s">
        <v>386</v>
      </c>
    </row>
    <row r="278" spans="1:6">
      <c r="A278" s="13">
        <v>277</v>
      </c>
      <c r="B278" s="21">
        <v>46294</v>
      </c>
      <c r="C278" s="11" t="s">
        <v>383</v>
      </c>
      <c r="D278" s="11">
        <v>4</v>
      </c>
      <c r="E278" s="11" t="str">
        <f>_xlfn.XLOOKUP(A278,Employee_Master!A:A,Employee_Master!E:E,"Not Found")</f>
        <v>Marketing</v>
      </c>
      <c r="F278" s="15" t="s">
        <v>381</v>
      </c>
    </row>
    <row r="279" spans="1:6">
      <c r="A279" s="14">
        <v>278</v>
      </c>
      <c r="B279" s="22">
        <v>46067</v>
      </c>
      <c r="C279" s="12" t="s">
        <v>384</v>
      </c>
      <c r="D279" s="12">
        <v>3</v>
      </c>
      <c r="E279" s="11" t="str">
        <f>_xlfn.XLOOKUP(A279,Employee_Master!A:A,Employee_Master!E:E,"Not Found")</f>
        <v>Finance</v>
      </c>
      <c r="F279" s="16" t="s">
        <v>381</v>
      </c>
    </row>
    <row r="280" spans="1:6">
      <c r="A280" s="13">
        <v>279</v>
      </c>
      <c r="B280" s="21">
        <v>46284</v>
      </c>
      <c r="C280" s="11" t="s">
        <v>382</v>
      </c>
      <c r="D280" s="11">
        <v>1</v>
      </c>
      <c r="E280" s="11" t="str">
        <f>_xlfn.XLOOKUP(A280,Employee_Master!A:A,Employee_Master!E:E,"Not Found")</f>
        <v>Sales</v>
      </c>
      <c r="F280" s="15" t="s">
        <v>381</v>
      </c>
    </row>
    <row r="281" spans="1:6">
      <c r="A281" s="14">
        <v>280</v>
      </c>
      <c r="B281" s="22">
        <v>46153</v>
      </c>
      <c r="C281" s="12" t="s">
        <v>382</v>
      </c>
      <c r="D281" s="12">
        <v>2</v>
      </c>
      <c r="E281" s="11" t="str">
        <f>_xlfn.XLOOKUP(A281,Employee_Master!A:A,Employee_Master!E:E,"Not Found")</f>
        <v>IT</v>
      </c>
      <c r="F281" s="16" t="s">
        <v>381</v>
      </c>
    </row>
    <row r="282" spans="1:6">
      <c r="A282" s="13">
        <v>281</v>
      </c>
      <c r="B282" s="21">
        <v>46077</v>
      </c>
      <c r="C282" s="11" t="s">
        <v>383</v>
      </c>
      <c r="D282" s="11">
        <v>1</v>
      </c>
      <c r="E282" s="11" t="str">
        <f>_xlfn.XLOOKUP(A282,Employee_Master!A:A,Employee_Master!E:E,"Not Found")</f>
        <v>Sales</v>
      </c>
      <c r="F282" s="15" t="s">
        <v>386</v>
      </c>
    </row>
    <row r="283" spans="1:6">
      <c r="A283" s="14">
        <v>282</v>
      </c>
      <c r="B283" s="22">
        <v>46119</v>
      </c>
      <c r="C283" s="12" t="s">
        <v>382</v>
      </c>
      <c r="D283" s="12">
        <v>4</v>
      </c>
      <c r="E283" s="11" t="str">
        <f>_xlfn.XLOOKUP(A283,Employee_Master!A:A,Employee_Master!E:E,"Not Found")</f>
        <v>IT</v>
      </c>
      <c r="F283" s="16" t="s">
        <v>386</v>
      </c>
    </row>
    <row r="284" spans="1:6">
      <c r="A284" s="13">
        <v>283</v>
      </c>
      <c r="B284" s="21">
        <v>46014</v>
      </c>
      <c r="C284" s="11" t="s">
        <v>383</v>
      </c>
      <c r="D284" s="11">
        <v>3</v>
      </c>
      <c r="E284" s="11" t="str">
        <f>_xlfn.XLOOKUP(A284,Employee_Master!A:A,Employee_Master!E:E,"Not Found")</f>
        <v>IT</v>
      </c>
      <c r="F284" s="15" t="s">
        <v>386</v>
      </c>
    </row>
    <row r="285" spans="1:6">
      <c r="A285" s="14">
        <v>284</v>
      </c>
      <c r="B285" s="22">
        <v>46005</v>
      </c>
      <c r="C285" s="12" t="s">
        <v>383</v>
      </c>
      <c r="D285" s="12">
        <v>3</v>
      </c>
      <c r="E285" s="11" t="str">
        <f>_xlfn.XLOOKUP(A285,Employee_Master!A:A,Employee_Master!E:E,"Not Found")</f>
        <v>Sales</v>
      </c>
      <c r="F285" s="16" t="s">
        <v>385</v>
      </c>
    </row>
    <row r="286" spans="1:6">
      <c r="A286" s="13">
        <v>285</v>
      </c>
      <c r="B286" s="21">
        <v>46020</v>
      </c>
      <c r="C286" s="11" t="s">
        <v>382</v>
      </c>
      <c r="D286" s="11">
        <v>3</v>
      </c>
      <c r="E286" s="11" t="str">
        <f>_xlfn.XLOOKUP(A286,Employee_Master!A:A,Employee_Master!E:E,"Not Found")</f>
        <v>IT</v>
      </c>
      <c r="F286" s="15" t="s">
        <v>385</v>
      </c>
    </row>
    <row r="287" spans="1:6">
      <c r="A287" s="14">
        <v>286</v>
      </c>
      <c r="B287" s="22">
        <v>46108</v>
      </c>
      <c r="C287" s="12" t="s">
        <v>383</v>
      </c>
      <c r="D287" s="12">
        <v>2</v>
      </c>
      <c r="E287" s="11" t="str">
        <f>_xlfn.XLOOKUP(A287,Employee_Master!A:A,Employee_Master!E:E,"Not Found")</f>
        <v>IT</v>
      </c>
      <c r="F287" s="16" t="s">
        <v>385</v>
      </c>
    </row>
    <row r="288" spans="1:6">
      <c r="A288" s="13">
        <v>287</v>
      </c>
      <c r="B288" s="21">
        <v>46276</v>
      </c>
      <c r="C288" s="11" t="s">
        <v>382</v>
      </c>
      <c r="D288" s="11">
        <v>3</v>
      </c>
      <c r="E288" s="11" t="str">
        <f>_xlfn.XLOOKUP(A288,Employee_Master!A:A,Employee_Master!E:E,"Not Found")</f>
        <v>Sales</v>
      </c>
      <c r="F288" s="15" t="s">
        <v>385</v>
      </c>
    </row>
    <row r="289" spans="1:6">
      <c r="A289" s="14">
        <v>288</v>
      </c>
      <c r="B289" s="22">
        <v>46060</v>
      </c>
      <c r="C289" s="12" t="s">
        <v>380</v>
      </c>
      <c r="D289" s="12">
        <v>3</v>
      </c>
      <c r="E289" s="11" t="str">
        <f>_xlfn.XLOOKUP(A289,Employee_Master!A:A,Employee_Master!E:E,"Not Found")</f>
        <v>IT</v>
      </c>
      <c r="F289" s="16" t="s">
        <v>381</v>
      </c>
    </row>
    <row r="290" spans="1:6">
      <c r="A290" s="13">
        <v>289</v>
      </c>
      <c r="B290" s="21">
        <v>46261</v>
      </c>
      <c r="C290" s="11" t="s">
        <v>382</v>
      </c>
      <c r="D290" s="11">
        <v>4</v>
      </c>
      <c r="E290" s="11" t="str">
        <f>_xlfn.XLOOKUP(A290,Employee_Master!A:A,Employee_Master!E:E,"Not Found")</f>
        <v>Customer Support</v>
      </c>
      <c r="F290" s="15" t="s">
        <v>386</v>
      </c>
    </row>
    <row r="291" spans="1:6">
      <c r="A291" s="14">
        <v>290</v>
      </c>
      <c r="B291" s="22">
        <v>46279</v>
      </c>
      <c r="C291" s="12" t="s">
        <v>380</v>
      </c>
      <c r="D291" s="12">
        <v>1</v>
      </c>
      <c r="E291" s="11" t="str">
        <f>_xlfn.XLOOKUP(A291,Employee_Master!A:A,Employee_Master!E:E,"Not Found")</f>
        <v>Customer Support</v>
      </c>
      <c r="F291" s="16" t="s">
        <v>381</v>
      </c>
    </row>
    <row r="292" spans="1:6">
      <c r="A292" s="13">
        <v>291</v>
      </c>
      <c r="B292" s="21">
        <v>46190</v>
      </c>
      <c r="C292" s="11" t="s">
        <v>380</v>
      </c>
      <c r="D292" s="11">
        <v>3</v>
      </c>
      <c r="E292" s="11" t="str">
        <f>_xlfn.XLOOKUP(A292,Employee_Master!A:A,Employee_Master!E:E,"Not Found")</f>
        <v>Sales</v>
      </c>
      <c r="F292" s="15" t="s">
        <v>386</v>
      </c>
    </row>
    <row r="293" spans="1:6">
      <c r="A293" s="14">
        <v>292</v>
      </c>
      <c r="B293" s="22">
        <v>46224</v>
      </c>
      <c r="C293" s="12" t="s">
        <v>380</v>
      </c>
      <c r="D293" s="12">
        <v>2</v>
      </c>
      <c r="E293" s="11" t="str">
        <f>_xlfn.XLOOKUP(A293,Employee_Master!A:A,Employee_Master!E:E,"Not Found")</f>
        <v>HR</v>
      </c>
      <c r="F293" s="16" t="s">
        <v>385</v>
      </c>
    </row>
    <row r="294" spans="1:6">
      <c r="A294" s="13">
        <v>293</v>
      </c>
      <c r="B294" s="21">
        <v>45988</v>
      </c>
      <c r="C294" s="11" t="s">
        <v>384</v>
      </c>
      <c r="D294" s="11">
        <v>1</v>
      </c>
      <c r="E294" s="11" t="str">
        <f>_xlfn.XLOOKUP(A294,Employee_Master!A:A,Employee_Master!E:E,"Not Found")</f>
        <v>Marketing</v>
      </c>
      <c r="F294" s="15" t="s">
        <v>386</v>
      </c>
    </row>
    <row r="295" spans="1:6">
      <c r="A295" s="14">
        <v>294</v>
      </c>
      <c r="B295" s="22">
        <v>45933</v>
      </c>
      <c r="C295" s="12" t="s">
        <v>383</v>
      </c>
      <c r="D295" s="12">
        <v>2</v>
      </c>
      <c r="E295" s="11" t="str">
        <f>_xlfn.XLOOKUP(A295,Employee_Master!A:A,Employee_Master!E:E,"Not Found")</f>
        <v>HR</v>
      </c>
      <c r="F295" s="16" t="s">
        <v>381</v>
      </c>
    </row>
    <row r="296" spans="1:6">
      <c r="A296" s="13">
        <v>295</v>
      </c>
      <c r="B296" s="21">
        <v>46281</v>
      </c>
      <c r="C296" s="11" t="s">
        <v>383</v>
      </c>
      <c r="D296" s="11">
        <v>4</v>
      </c>
      <c r="E296" s="11" t="str">
        <f>_xlfn.XLOOKUP(A296,Employee_Master!A:A,Employee_Master!E:E,"Not Found")</f>
        <v>Finance</v>
      </c>
      <c r="F296" s="15" t="s">
        <v>381</v>
      </c>
    </row>
    <row r="297" spans="1:6">
      <c r="A297" s="14">
        <v>296</v>
      </c>
      <c r="B297" s="22">
        <v>46122</v>
      </c>
      <c r="C297" s="12" t="s">
        <v>382</v>
      </c>
      <c r="D297" s="12">
        <v>4</v>
      </c>
      <c r="E297" s="11" t="str">
        <f>_xlfn.XLOOKUP(A297,Employee_Master!A:A,Employee_Master!E:E,"Not Found")</f>
        <v>Finance</v>
      </c>
      <c r="F297" s="16" t="s">
        <v>381</v>
      </c>
    </row>
    <row r="298" spans="1:6">
      <c r="A298" s="13">
        <v>297</v>
      </c>
      <c r="B298" s="21">
        <v>46226</v>
      </c>
      <c r="C298" s="11" t="s">
        <v>383</v>
      </c>
      <c r="D298" s="11">
        <v>4</v>
      </c>
      <c r="E298" s="11" t="str">
        <f>_xlfn.XLOOKUP(A298,Employee_Master!A:A,Employee_Master!E:E,"Not Found")</f>
        <v>IT</v>
      </c>
      <c r="F298" s="15" t="s">
        <v>381</v>
      </c>
    </row>
    <row r="299" spans="1:6">
      <c r="A299" s="14">
        <v>298</v>
      </c>
      <c r="B299" s="22">
        <v>46258</v>
      </c>
      <c r="C299" s="12" t="s">
        <v>382</v>
      </c>
      <c r="D299" s="12">
        <v>2</v>
      </c>
      <c r="E299" s="11" t="str">
        <f>_xlfn.XLOOKUP(A299,Employee_Master!A:A,Employee_Master!E:E,"Not Found")</f>
        <v>IT</v>
      </c>
      <c r="F299" s="16" t="s">
        <v>381</v>
      </c>
    </row>
    <row r="300" spans="1:6">
      <c r="A300" s="13">
        <v>299</v>
      </c>
      <c r="B300" s="21">
        <v>45986</v>
      </c>
      <c r="C300" s="11" t="s">
        <v>382</v>
      </c>
      <c r="D300" s="11">
        <v>2</v>
      </c>
      <c r="E300" s="11" t="str">
        <f>_xlfn.XLOOKUP(A300,Employee_Master!A:A,Employee_Master!E:E,"Not Found")</f>
        <v>Finance</v>
      </c>
      <c r="F300" s="15" t="s">
        <v>381</v>
      </c>
    </row>
    <row r="301" spans="1:6">
      <c r="A301" s="14">
        <v>300</v>
      </c>
      <c r="B301" s="22">
        <v>46286</v>
      </c>
      <c r="C301" s="12" t="s">
        <v>383</v>
      </c>
      <c r="D301" s="12">
        <v>2</v>
      </c>
      <c r="E301" s="11" t="str">
        <f>_xlfn.XLOOKUP(A301,Employee_Master!A:A,Employee_Master!E:E,"Not Found")</f>
        <v>Marketing</v>
      </c>
      <c r="F301" s="16" t="s">
        <v>385</v>
      </c>
    </row>
    <row r="302" spans="1:6">
      <c r="A302" s="13">
        <v>301</v>
      </c>
      <c r="B302" s="21">
        <v>46086</v>
      </c>
      <c r="C302" s="11" t="s">
        <v>380</v>
      </c>
      <c r="D302" s="11">
        <v>1</v>
      </c>
      <c r="E302" s="11" t="str">
        <f>_xlfn.XLOOKUP(A302,Employee_Master!A:A,Employee_Master!E:E,"Not Found")</f>
        <v>Not Found</v>
      </c>
      <c r="F302" s="15" t="s">
        <v>381</v>
      </c>
    </row>
    <row r="303" spans="1:6">
      <c r="A303" s="14">
        <v>302</v>
      </c>
      <c r="B303" s="22">
        <v>45943</v>
      </c>
      <c r="C303" s="12" t="s">
        <v>384</v>
      </c>
      <c r="D303" s="12">
        <v>1</v>
      </c>
      <c r="E303" s="11" t="str">
        <f>_xlfn.XLOOKUP(A303,Employee_Master!A:A,Employee_Master!E:E,"Not Found")</f>
        <v>Not Found</v>
      </c>
      <c r="F303" s="16" t="s">
        <v>381</v>
      </c>
    </row>
    <row r="304" spans="1:6">
      <c r="A304" s="13">
        <v>303</v>
      </c>
      <c r="B304" s="21">
        <v>46026</v>
      </c>
      <c r="C304" s="11" t="s">
        <v>384</v>
      </c>
      <c r="D304" s="11">
        <v>1</v>
      </c>
      <c r="E304" s="11" t="str">
        <f>_xlfn.XLOOKUP(A304,Employee_Master!A:A,Employee_Master!E:E,"Not Found")</f>
        <v>Not Found</v>
      </c>
      <c r="F304" s="15" t="s">
        <v>381</v>
      </c>
    </row>
    <row r="305" spans="1:6">
      <c r="A305" s="14">
        <v>304</v>
      </c>
      <c r="B305" s="22">
        <v>45991</v>
      </c>
      <c r="C305" s="12" t="s">
        <v>382</v>
      </c>
      <c r="D305" s="12">
        <v>3</v>
      </c>
      <c r="E305" s="11" t="str">
        <f>_xlfn.XLOOKUP(A305,Employee_Master!A:A,Employee_Master!E:E,"Not Found")</f>
        <v>Not Found</v>
      </c>
      <c r="F305" s="16" t="s">
        <v>385</v>
      </c>
    </row>
    <row r="306" spans="1:6">
      <c r="A306" s="13">
        <v>305</v>
      </c>
      <c r="B306" s="21">
        <v>45936</v>
      </c>
      <c r="C306" s="11" t="s">
        <v>383</v>
      </c>
      <c r="D306" s="11">
        <v>3</v>
      </c>
      <c r="E306" s="11" t="str">
        <f>_xlfn.XLOOKUP(A306,Employee_Master!A:A,Employee_Master!E:E,"Not Found")</f>
        <v>Not Found</v>
      </c>
      <c r="F306" s="15" t="s">
        <v>385</v>
      </c>
    </row>
    <row r="307" spans="1:6">
      <c r="A307" s="14">
        <v>306</v>
      </c>
      <c r="B307" s="22">
        <v>46122</v>
      </c>
      <c r="C307" s="12" t="s">
        <v>380</v>
      </c>
      <c r="D307" s="12">
        <v>3</v>
      </c>
      <c r="E307" s="11" t="str">
        <f>_xlfn.XLOOKUP(A307,Employee_Master!A:A,Employee_Master!E:E,"Not Found")</f>
        <v>Not Found</v>
      </c>
      <c r="F307" s="16" t="s">
        <v>385</v>
      </c>
    </row>
    <row r="308" spans="1:6">
      <c r="A308" s="13">
        <v>307</v>
      </c>
      <c r="B308" s="21">
        <v>46232</v>
      </c>
      <c r="C308" s="11" t="s">
        <v>382</v>
      </c>
      <c r="D308" s="11">
        <v>1</v>
      </c>
      <c r="E308" s="11" t="str">
        <f>_xlfn.XLOOKUP(A308,Employee_Master!A:A,Employee_Master!E:E,"Not Found")</f>
        <v>Not Found</v>
      </c>
      <c r="F308" s="15" t="s">
        <v>385</v>
      </c>
    </row>
    <row r="309" spans="1:6">
      <c r="A309" s="14">
        <v>308</v>
      </c>
      <c r="B309" s="22">
        <v>45947</v>
      </c>
      <c r="C309" s="12" t="s">
        <v>382</v>
      </c>
      <c r="D309" s="12">
        <v>3</v>
      </c>
      <c r="E309" s="11" t="str">
        <f>_xlfn.XLOOKUP(A309,Employee_Master!A:A,Employee_Master!E:E,"Not Found")</f>
        <v>Not Found</v>
      </c>
      <c r="F309" s="16" t="s">
        <v>381</v>
      </c>
    </row>
    <row r="310" spans="1:6">
      <c r="A310" s="13">
        <v>309</v>
      </c>
      <c r="B310" s="21">
        <v>45946</v>
      </c>
      <c r="C310" s="11" t="s">
        <v>383</v>
      </c>
      <c r="D310" s="11">
        <v>4</v>
      </c>
      <c r="E310" s="11" t="str">
        <f>_xlfn.XLOOKUP(A310,Employee_Master!A:A,Employee_Master!E:E,"Not Found")</f>
        <v>Not Found</v>
      </c>
      <c r="F310" s="15" t="s">
        <v>385</v>
      </c>
    </row>
    <row r="311" spans="1:6">
      <c r="A311" s="14">
        <v>310</v>
      </c>
      <c r="B311" s="22">
        <v>46206</v>
      </c>
      <c r="C311" s="12" t="s">
        <v>384</v>
      </c>
      <c r="D311" s="12">
        <v>4</v>
      </c>
      <c r="E311" s="11" t="str">
        <f>_xlfn.XLOOKUP(A311,Employee_Master!A:A,Employee_Master!E:E,"Not Found")</f>
        <v>Not Found</v>
      </c>
      <c r="F311" s="16" t="s">
        <v>386</v>
      </c>
    </row>
    <row r="312" spans="1:6">
      <c r="A312" s="13">
        <v>311</v>
      </c>
      <c r="B312" s="21">
        <v>46110</v>
      </c>
      <c r="C312" s="11" t="s">
        <v>382</v>
      </c>
      <c r="D312" s="11">
        <v>1</v>
      </c>
      <c r="E312" s="11" t="str">
        <f>_xlfn.XLOOKUP(A312,Employee_Master!A:A,Employee_Master!E:E,"Not Found")</f>
        <v>Not Found</v>
      </c>
      <c r="F312" s="15" t="s">
        <v>385</v>
      </c>
    </row>
    <row r="313" spans="1:6">
      <c r="A313" s="14">
        <v>312</v>
      </c>
      <c r="B313" s="22">
        <v>45950</v>
      </c>
      <c r="C313" s="12" t="s">
        <v>382</v>
      </c>
      <c r="D313" s="12">
        <v>1</v>
      </c>
      <c r="E313" s="11" t="str">
        <f>_xlfn.XLOOKUP(A313,Employee_Master!A:A,Employee_Master!E:E,"Not Found")</f>
        <v>Not Found</v>
      </c>
      <c r="F313" s="16" t="s">
        <v>385</v>
      </c>
    </row>
    <row r="314" spans="1:6">
      <c r="A314" s="13">
        <v>313</v>
      </c>
      <c r="B314" s="21">
        <v>46060</v>
      </c>
      <c r="C314" s="11" t="s">
        <v>384</v>
      </c>
      <c r="D314" s="11">
        <v>1</v>
      </c>
      <c r="E314" s="11" t="str">
        <f>_xlfn.XLOOKUP(A314,Employee_Master!A:A,Employee_Master!E:E,"Not Found")</f>
        <v>Not Found</v>
      </c>
      <c r="F314" s="15" t="s">
        <v>381</v>
      </c>
    </row>
    <row r="315" spans="1:6">
      <c r="A315" s="14">
        <v>314</v>
      </c>
      <c r="B315" s="22">
        <v>46254</v>
      </c>
      <c r="C315" s="12" t="s">
        <v>384</v>
      </c>
      <c r="D315" s="12">
        <v>4</v>
      </c>
      <c r="E315" s="11" t="str">
        <f>_xlfn.XLOOKUP(A315,Employee_Master!A:A,Employee_Master!E:E,"Not Found")</f>
        <v>Not Found</v>
      </c>
      <c r="F315" s="16" t="s">
        <v>385</v>
      </c>
    </row>
    <row r="316" spans="1:6">
      <c r="A316" s="13">
        <v>315</v>
      </c>
      <c r="B316" s="21">
        <v>46054</v>
      </c>
      <c r="C316" s="11" t="s">
        <v>382</v>
      </c>
      <c r="D316" s="11">
        <v>1</v>
      </c>
      <c r="E316" s="11" t="str">
        <f>_xlfn.XLOOKUP(A316,Employee_Master!A:A,Employee_Master!E:E,"Not Found")</f>
        <v>Not Found</v>
      </c>
      <c r="F316" s="15" t="s">
        <v>381</v>
      </c>
    </row>
    <row r="317" spans="1:6">
      <c r="A317" s="14">
        <v>316</v>
      </c>
      <c r="B317" s="22">
        <v>46089</v>
      </c>
      <c r="C317" s="12" t="s">
        <v>382</v>
      </c>
      <c r="D317" s="12">
        <v>2</v>
      </c>
      <c r="E317" s="11" t="str">
        <f>_xlfn.XLOOKUP(A317,Employee_Master!A:A,Employee_Master!E:E,"Not Found")</f>
        <v>Not Found</v>
      </c>
      <c r="F317" s="16" t="s">
        <v>386</v>
      </c>
    </row>
    <row r="318" spans="1:6">
      <c r="A318" s="13">
        <v>317</v>
      </c>
      <c r="B318" s="21">
        <v>45979</v>
      </c>
      <c r="C318" s="11" t="s">
        <v>384</v>
      </c>
      <c r="D318" s="11">
        <v>2</v>
      </c>
      <c r="E318" s="11" t="str">
        <f>_xlfn.XLOOKUP(A318,Employee_Master!A:A,Employee_Master!E:E,"Not Found")</f>
        <v>Not Found</v>
      </c>
      <c r="F318" s="15" t="s">
        <v>386</v>
      </c>
    </row>
    <row r="319" spans="1:6">
      <c r="A319" s="14">
        <v>318</v>
      </c>
      <c r="B319" s="22">
        <v>46276</v>
      </c>
      <c r="C319" s="12" t="s">
        <v>384</v>
      </c>
      <c r="D319" s="12">
        <v>4</v>
      </c>
      <c r="E319" s="11" t="str">
        <f>_xlfn.XLOOKUP(A319,Employee_Master!A:A,Employee_Master!E:E,"Not Found")</f>
        <v>Not Found</v>
      </c>
      <c r="F319" s="16" t="s">
        <v>381</v>
      </c>
    </row>
    <row r="320" spans="1:6">
      <c r="A320" s="13">
        <v>319</v>
      </c>
      <c r="B320" s="21">
        <v>46188</v>
      </c>
      <c r="C320" s="11" t="s">
        <v>380</v>
      </c>
      <c r="D320" s="11">
        <v>4</v>
      </c>
      <c r="E320" s="11" t="str">
        <f>_xlfn.XLOOKUP(A320,Employee_Master!A:A,Employee_Master!E:E,"Not Found")</f>
        <v>Not Found</v>
      </c>
      <c r="F320" s="15" t="s">
        <v>381</v>
      </c>
    </row>
    <row r="321" spans="1:6">
      <c r="A321" s="14">
        <v>320</v>
      </c>
      <c r="B321" s="22">
        <v>46129</v>
      </c>
      <c r="C321" s="12" t="s">
        <v>384</v>
      </c>
      <c r="D321" s="12">
        <v>3</v>
      </c>
      <c r="E321" s="11" t="str">
        <f>_xlfn.XLOOKUP(A321,Employee_Master!A:A,Employee_Master!E:E,"Not Found")</f>
        <v>Not Found</v>
      </c>
      <c r="F321" s="16" t="s">
        <v>386</v>
      </c>
    </row>
    <row r="322" spans="1:6">
      <c r="A322" s="13">
        <v>321</v>
      </c>
      <c r="B322" s="21">
        <v>45991</v>
      </c>
      <c r="C322" s="11" t="s">
        <v>382</v>
      </c>
      <c r="D322" s="11">
        <v>2</v>
      </c>
      <c r="E322" s="11" t="str">
        <f>_xlfn.XLOOKUP(A322,Employee_Master!A:A,Employee_Master!E:E,"Not Found")</f>
        <v>Not Found</v>
      </c>
      <c r="F322" s="15" t="s">
        <v>385</v>
      </c>
    </row>
    <row r="323" spans="1:6">
      <c r="A323" s="14">
        <v>322</v>
      </c>
      <c r="B323" s="22">
        <v>46081</v>
      </c>
      <c r="C323" s="12" t="s">
        <v>380</v>
      </c>
      <c r="D323" s="12">
        <v>1</v>
      </c>
      <c r="E323" s="11" t="str">
        <f>_xlfn.XLOOKUP(A323,Employee_Master!A:A,Employee_Master!E:E,"Not Found")</f>
        <v>Not Found</v>
      </c>
      <c r="F323" s="16" t="s">
        <v>381</v>
      </c>
    </row>
    <row r="324" spans="1:6">
      <c r="A324" s="13">
        <v>323</v>
      </c>
      <c r="B324" s="21">
        <v>46238</v>
      </c>
      <c r="C324" s="11" t="s">
        <v>383</v>
      </c>
      <c r="D324" s="11">
        <v>4</v>
      </c>
      <c r="E324" s="11" t="str">
        <f>_xlfn.XLOOKUP(A324,Employee_Master!A:A,Employee_Master!E:E,"Not Found")</f>
        <v>Not Found</v>
      </c>
      <c r="F324" s="15" t="s">
        <v>381</v>
      </c>
    </row>
    <row r="325" spans="1:6">
      <c r="A325" s="14">
        <v>324</v>
      </c>
      <c r="B325" s="22">
        <v>45970</v>
      </c>
      <c r="C325" s="12" t="s">
        <v>380</v>
      </c>
      <c r="D325" s="12">
        <v>4</v>
      </c>
      <c r="E325" s="11" t="str">
        <f>_xlfn.XLOOKUP(A325,Employee_Master!A:A,Employee_Master!E:E,"Not Found")</f>
        <v>Not Found</v>
      </c>
      <c r="F325" s="16" t="s">
        <v>385</v>
      </c>
    </row>
    <row r="326" spans="1:6">
      <c r="A326" s="13">
        <v>325</v>
      </c>
      <c r="B326" s="21">
        <v>45933</v>
      </c>
      <c r="C326" s="11" t="s">
        <v>382</v>
      </c>
      <c r="D326" s="11">
        <v>2</v>
      </c>
      <c r="E326" s="11" t="str">
        <f>_xlfn.XLOOKUP(A326,Employee_Master!A:A,Employee_Master!E:E,"Not Found")</f>
        <v>Not Found</v>
      </c>
      <c r="F326" s="15" t="s">
        <v>385</v>
      </c>
    </row>
    <row r="327" spans="1:6">
      <c r="A327" s="14">
        <v>326</v>
      </c>
      <c r="B327" s="22">
        <v>46024</v>
      </c>
      <c r="C327" s="12" t="s">
        <v>380</v>
      </c>
      <c r="D327" s="12">
        <v>3</v>
      </c>
      <c r="E327" s="11" t="str">
        <f>_xlfn.XLOOKUP(A327,Employee_Master!A:A,Employee_Master!E:E,"Not Found")</f>
        <v>Not Found</v>
      </c>
      <c r="F327" s="16" t="s">
        <v>386</v>
      </c>
    </row>
    <row r="328" spans="1:6">
      <c r="A328" s="13">
        <v>327</v>
      </c>
      <c r="B328" s="21">
        <v>46183</v>
      </c>
      <c r="C328" s="11" t="s">
        <v>380</v>
      </c>
      <c r="D328" s="11">
        <v>4</v>
      </c>
      <c r="E328" s="11" t="str">
        <f>_xlfn.XLOOKUP(A328,Employee_Master!A:A,Employee_Master!E:E,"Not Found")</f>
        <v>Not Found</v>
      </c>
      <c r="F328" s="15" t="s">
        <v>381</v>
      </c>
    </row>
    <row r="329" spans="1:6">
      <c r="A329" s="14">
        <v>328</v>
      </c>
      <c r="B329" s="22">
        <v>46002</v>
      </c>
      <c r="C329" s="12" t="s">
        <v>380</v>
      </c>
      <c r="D329" s="12">
        <v>1</v>
      </c>
      <c r="E329" s="11" t="str">
        <f>_xlfn.XLOOKUP(A329,Employee_Master!A:A,Employee_Master!E:E,"Not Found")</f>
        <v>Not Found</v>
      </c>
      <c r="F329" s="16" t="s">
        <v>385</v>
      </c>
    </row>
    <row r="330" spans="1:6">
      <c r="A330" s="13">
        <v>329</v>
      </c>
      <c r="B330" s="21">
        <v>46118</v>
      </c>
      <c r="C330" s="11" t="s">
        <v>382</v>
      </c>
      <c r="D330" s="11">
        <v>1</v>
      </c>
      <c r="E330" s="11" t="str">
        <f>_xlfn.XLOOKUP(A330,Employee_Master!A:A,Employee_Master!E:E,"Not Found")</f>
        <v>Not Found</v>
      </c>
      <c r="F330" s="15" t="s">
        <v>386</v>
      </c>
    </row>
    <row r="331" spans="1:6">
      <c r="A331" s="14">
        <v>330</v>
      </c>
      <c r="B331" s="22">
        <v>46286</v>
      </c>
      <c r="C331" s="12" t="s">
        <v>383</v>
      </c>
      <c r="D331" s="12">
        <v>1</v>
      </c>
      <c r="E331" s="11" t="str">
        <f>_xlfn.XLOOKUP(A331,Employee_Master!A:A,Employee_Master!E:E,"Not Found")</f>
        <v>Not Found</v>
      </c>
      <c r="F331" s="16" t="s">
        <v>385</v>
      </c>
    </row>
    <row r="332" spans="1:6">
      <c r="A332" s="13">
        <v>331</v>
      </c>
      <c r="B332" s="21">
        <v>46173</v>
      </c>
      <c r="C332" s="11" t="s">
        <v>384</v>
      </c>
      <c r="D332" s="11">
        <v>3</v>
      </c>
      <c r="E332" s="11" t="str">
        <f>_xlfn.XLOOKUP(A332,Employee_Master!A:A,Employee_Master!E:E,"Not Found")</f>
        <v>Not Found</v>
      </c>
      <c r="F332" s="15" t="s">
        <v>385</v>
      </c>
    </row>
    <row r="333" spans="1:6">
      <c r="A333" s="14">
        <v>332</v>
      </c>
      <c r="B333" s="22">
        <v>46290</v>
      </c>
      <c r="C333" s="12" t="s">
        <v>382</v>
      </c>
      <c r="D333" s="12">
        <v>1</v>
      </c>
      <c r="E333" s="11" t="str">
        <f>_xlfn.XLOOKUP(A333,Employee_Master!A:A,Employee_Master!E:E,"Not Found")</f>
        <v>Not Found</v>
      </c>
      <c r="F333" s="16" t="s">
        <v>381</v>
      </c>
    </row>
    <row r="334" spans="1:6">
      <c r="A334" s="13">
        <v>333</v>
      </c>
      <c r="B334" s="21">
        <v>45975</v>
      </c>
      <c r="C334" s="11" t="s">
        <v>383</v>
      </c>
      <c r="D334" s="11">
        <v>3</v>
      </c>
      <c r="E334" s="11" t="str">
        <f>_xlfn.XLOOKUP(A334,Employee_Master!A:A,Employee_Master!E:E,"Not Found")</f>
        <v>Not Found</v>
      </c>
      <c r="F334" s="15" t="s">
        <v>385</v>
      </c>
    </row>
    <row r="335" spans="1:6">
      <c r="A335" s="14">
        <v>334</v>
      </c>
      <c r="B335" s="22">
        <v>46136</v>
      </c>
      <c r="C335" s="12" t="s">
        <v>380</v>
      </c>
      <c r="D335" s="12">
        <v>2</v>
      </c>
      <c r="E335" s="11" t="str">
        <f>_xlfn.XLOOKUP(A335,Employee_Master!A:A,Employee_Master!E:E,"Not Found")</f>
        <v>Not Found</v>
      </c>
      <c r="F335" s="16" t="s">
        <v>381</v>
      </c>
    </row>
    <row r="336" spans="1:6">
      <c r="A336" s="13">
        <v>335</v>
      </c>
      <c r="B336" s="21">
        <v>45943</v>
      </c>
      <c r="C336" s="11" t="s">
        <v>380</v>
      </c>
      <c r="D336" s="11">
        <v>1</v>
      </c>
      <c r="E336" s="11" t="str">
        <f>_xlfn.XLOOKUP(A336,Employee_Master!A:A,Employee_Master!E:E,"Not Found")</f>
        <v>Not Found</v>
      </c>
      <c r="F336" s="15" t="s">
        <v>386</v>
      </c>
    </row>
    <row r="337" spans="1:6">
      <c r="A337" s="14">
        <v>336</v>
      </c>
      <c r="B337" s="22">
        <v>46271</v>
      </c>
      <c r="C337" s="12" t="s">
        <v>380</v>
      </c>
      <c r="D337" s="12">
        <v>4</v>
      </c>
      <c r="E337" s="11" t="str">
        <f>_xlfn.XLOOKUP(A337,Employee_Master!A:A,Employee_Master!E:E,"Not Found")</f>
        <v>Not Found</v>
      </c>
      <c r="F337" s="16" t="s">
        <v>386</v>
      </c>
    </row>
    <row r="338" spans="1:6">
      <c r="A338" s="13">
        <v>337</v>
      </c>
      <c r="B338" s="21">
        <v>46216</v>
      </c>
      <c r="C338" s="11" t="s">
        <v>383</v>
      </c>
      <c r="D338" s="11">
        <v>4</v>
      </c>
      <c r="E338" s="11" t="str">
        <f>_xlfn.XLOOKUP(A338,Employee_Master!A:A,Employee_Master!E:E,"Not Found")</f>
        <v>Not Found</v>
      </c>
      <c r="F338" s="15" t="s">
        <v>381</v>
      </c>
    </row>
    <row r="339" spans="1:6">
      <c r="A339" s="14">
        <v>338</v>
      </c>
      <c r="B339" s="22">
        <v>46267</v>
      </c>
      <c r="C339" s="12" t="s">
        <v>380</v>
      </c>
      <c r="D339" s="12">
        <v>4</v>
      </c>
      <c r="E339" s="11" t="str">
        <f>_xlfn.XLOOKUP(A339,Employee_Master!A:A,Employee_Master!E:E,"Not Found")</f>
        <v>Not Found</v>
      </c>
      <c r="F339" s="16" t="s">
        <v>381</v>
      </c>
    </row>
    <row r="340" spans="1:6">
      <c r="A340" s="13">
        <v>339</v>
      </c>
      <c r="B340" s="21">
        <v>45951</v>
      </c>
      <c r="C340" s="11" t="s">
        <v>380</v>
      </c>
      <c r="D340" s="11">
        <v>2</v>
      </c>
      <c r="E340" s="11" t="str">
        <f>_xlfn.XLOOKUP(A340,Employee_Master!A:A,Employee_Master!E:E,"Not Found")</f>
        <v>Not Found</v>
      </c>
      <c r="F340" s="15" t="s">
        <v>381</v>
      </c>
    </row>
    <row r="341" spans="1:6">
      <c r="A341" s="14">
        <v>340</v>
      </c>
      <c r="B341" s="22">
        <v>46084</v>
      </c>
      <c r="C341" s="12" t="s">
        <v>380</v>
      </c>
      <c r="D341" s="12">
        <v>4</v>
      </c>
      <c r="E341" s="11" t="str">
        <f>_xlfn.XLOOKUP(A341,Employee_Master!A:A,Employee_Master!E:E,"Not Found")</f>
        <v>Not Found</v>
      </c>
      <c r="F341" s="16" t="s">
        <v>381</v>
      </c>
    </row>
    <row r="342" spans="1:6">
      <c r="A342" s="13">
        <v>341</v>
      </c>
      <c r="B342" s="21">
        <v>46121</v>
      </c>
      <c r="C342" s="11" t="s">
        <v>384</v>
      </c>
      <c r="D342" s="11">
        <v>1</v>
      </c>
      <c r="E342" s="11" t="str">
        <f>_xlfn.XLOOKUP(A342,Employee_Master!A:A,Employee_Master!E:E,"Not Found")</f>
        <v>Not Found</v>
      </c>
      <c r="F342" s="15" t="s">
        <v>381</v>
      </c>
    </row>
    <row r="343" spans="1:6">
      <c r="A343" s="14">
        <v>342</v>
      </c>
      <c r="B343" s="22">
        <v>46199</v>
      </c>
      <c r="C343" s="12" t="s">
        <v>383</v>
      </c>
      <c r="D343" s="12">
        <v>1</v>
      </c>
      <c r="E343" s="11" t="str">
        <f>_xlfn.XLOOKUP(A343,Employee_Master!A:A,Employee_Master!E:E,"Not Found")</f>
        <v>Not Found</v>
      </c>
      <c r="F343" s="16" t="s">
        <v>381</v>
      </c>
    </row>
    <row r="344" spans="1:6">
      <c r="A344" s="13">
        <v>343</v>
      </c>
      <c r="B344" s="21">
        <v>46094</v>
      </c>
      <c r="C344" s="11" t="s">
        <v>380</v>
      </c>
      <c r="D344" s="11">
        <v>4</v>
      </c>
      <c r="E344" s="11" t="str">
        <f>_xlfn.XLOOKUP(A344,Employee_Master!A:A,Employee_Master!E:E,"Not Found")</f>
        <v>Not Found</v>
      </c>
      <c r="F344" s="15" t="s">
        <v>381</v>
      </c>
    </row>
    <row r="345" spans="1:6">
      <c r="A345" s="14">
        <v>344</v>
      </c>
      <c r="B345" s="22">
        <v>46270</v>
      </c>
      <c r="C345" s="12" t="s">
        <v>382</v>
      </c>
      <c r="D345" s="12">
        <v>4</v>
      </c>
      <c r="E345" s="11" t="str">
        <f>_xlfn.XLOOKUP(A345,Employee_Master!A:A,Employee_Master!E:E,"Not Found")</f>
        <v>Not Found</v>
      </c>
      <c r="F345" s="16" t="s">
        <v>385</v>
      </c>
    </row>
    <row r="346" spans="1:6">
      <c r="A346" s="13">
        <v>345</v>
      </c>
      <c r="B346" s="21">
        <v>45981</v>
      </c>
      <c r="C346" s="11" t="s">
        <v>380</v>
      </c>
      <c r="D346" s="11">
        <v>4</v>
      </c>
      <c r="E346" s="11" t="str">
        <f>_xlfn.XLOOKUP(A346,Employee_Master!A:A,Employee_Master!E:E,"Not Found")</f>
        <v>Not Found</v>
      </c>
      <c r="F346" s="15" t="s">
        <v>386</v>
      </c>
    </row>
    <row r="347" spans="1:6">
      <c r="A347" s="14">
        <v>346</v>
      </c>
      <c r="B347" s="22">
        <v>45967</v>
      </c>
      <c r="C347" s="12" t="s">
        <v>380</v>
      </c>
      <c r="D347" s="12">
        <v>2</v>
      </c>
      <c r="E347" s="11" t="str">
        <f>_xlfn.XLOOKUP(A347,Employee_Master!A:A,Employee_Master!E:E,"Not Found")</f>
        <v>Not Found</v>
      </c>
      <c r="F347" s="16" t="s">
        <v>386</v>
      </c>
    </row>
    <row r="348" spans="1:6">
      <c r="A348" s="13">
        <v>347</v>
      </c>
      <c r="B348" s="21">
        <v>46005</v>
      </c>
      <c r="C348" s="11" t="s">
        <v>384</v>
      </c>
      <c r="D348" s="11">
        <v>4</v>
      </c>
      <c r="E348" s="11" t="str">
        <f>_xlfn.XLOOKUP(A348,Employee_Master!A:A,Employee_Master!E:E,"Not Found")</f>
        <v>Not Found</v>
      </c>
      <c r="F348" s="15" t="s">
        <v>386</v>
      </c>
    </row>
    <row r="349" spans="1:6">
      <c r="A349" s="14">
        <v>348</v>
      </c>
      <c r="B349" s="22">
        <v>45968</v>
      </c>
      <c r="C349" s="12" t="s">
        <v>380</v>
      </c>
      <c r="D349" s="12">
        <v>2</v>
      </c>
      <c r="E349" s="11" t="str">
        <f>_xlfn.XLOOKUP(A349,Employee_Master!A:A,Employee_Master!E:E,"Not Found")</f>
        <v>Not Found</v>
      </c>
      <c r="F349" s="16" t="s">
        <v>385</v>
      </c>
    </row>
    <row r="350" spans="1:6">
      <c r="A350" s="13">
        <v>349</v>
      </c>
      <c r="B350" s="21">
        <v>46251</v>
      </c>
      <c r="C350" s="11" t="s">
        <v>383</v>
      </c>
      <c r="D350" s="11">
        <v>2</v>
      </c>
      <c r="E350" s="11" t="str">
        <f>_xlfn.XLOOKUP(A350,Employee_Master!A:A,Employee_Master!E:E,"Not Found")</f>
        <v>Not Found</v>
      </c>
      <c r="F350" s="15" t="s">
        <v>381</v>
      </c>
    </row>
    <row r="351" spans="1:6">
      <c r="A351" s="14">
        <v>350</v>
      </c>
      <c r="B351" s="22">
        <v>45961</v>
      </c>
      <c r="C351" s="12" t="s">
        <v>382</v>
      </c>
      <c r="D351" s="12">
        <v>1</v>
      </c>
      <c r="E351" s="11" t="str">
        <f>_xlfn.XLOOKUP(A351,Employee_Master!A:A,Employee_Master!E:E,"Not Found")</f>
        <v>Not Found</v>
      </c>
      <c r="F351" s="16" t="s">
        <v>381</v>
      </c>
    </row>
    <row r="352" spans="1:6">
      <c r="A352" s="13">
        <v>351</v>
      </c>
      <c r="B352" s="21">
        <v>46133</v>
      </c>
      <c r="C352" s="11" t="s">
        <v>384</v>
      </c>
      <c r="D352" s="11">
        <v>2</v>
      </c>
      <c r="E352" s="11" t="str">
        <f>_xlfn.XLOOKUP(A352,Employee_Master!A:A,Employee_Master!E:E,"Not Found")</f>
        <v>Not Found</v>
      </c>
      <c r="F352" s="15" t="s">
        <v>381</v>
      </c>
    </row>
    <row r="353" spans="1:6">
      <c r="A353" s="14">
        <v>352</v>
      </c>
      <c r="B353" s="22">
        <v>46131</v>
      </c>
      <c r="C353" s="12" t="s">
        <v>382</v>
      </c>
      <c r="D353" s="12">
        <v>2</v>
      </c>
      <c r="E353" s="11" t="str">
        <f>_xlfn.XLOOKUP(A353,Employee_Master!A:A,Employee_Master!E:E,"Not Found")</f>
        <v>Not Found</v>
      </c>
      <c r="F353" s="16" t="s">
        <v>381</v>
      </c>
    </row>
    <row r="354" spans="1:6">
      <c r="A354" s="13">
        <v>353</v>
      </c>
      <c r="B354" s="21">
        <v>46245</v>
      </c>
      <c r="C354" s="11" t="s">
        <v>382</v>
      </c>
      <c r="D354" s="11">
        <v>2</v>
      </c>
      <c r="E354" s="11" t="str">
        <f>_xlfn.XLOOKUP(A354,Employee_Master!A:A,Employee_Master!E:E,"Not Found")</f>
        <v>Not Found</v>
      </c>
      <c r="F354" s="15" t="s">
        <v>381</v>
      </c>
    </row>
    <row r="355" spans="1:6">
      <c r="A355" s="14">
        <v>354</v>
      </c>
      <c r="B355" s="22">
        <v>46237</v>
      </c>
      <c r="C355" s="12" t="s">
        <v>383</v>
      </c>
      <c r="D355" s="12">
        <v>4</v>
      </c>
      <c r="E355" s="11" t="str">
        <f>_xlfn.XLOOKUP(A355,Employee_Master!A:A,Employee_Master!E:E,"Not Found")</f>
        <v>Not Found</v>
      </c>
      <c r="F355" s="16" t="s">
        <v>381</v>
      </c>
    </row>
    <row r="356" spans="1:6">
      <c r="A356" s="13">
        <v>355</v>
      </c>
      <c r="B356" s="21">
        <v>46152</v>
      </c>
      <c r="C356" s="11" t="s">
        <v>384</v>
      </c>
      <c r="D356" s="11">
        <v>4</v>
      </c>
      <c r="E356" s="11" t="str">
        <f>_xlfn.XLOOKUP(A356,Employee_Master!A:A,Employee_Master!E:E,"Not Found")</f>
        <v>Not Found</v>
      </c>
      <c r="F356" s="15" t="s">
        <v>381</v>
      </c>
    </row>
    <row r="357" spans="1:6">
      <c r="A357" s="14">
        <v>356</v>
      </c>
      <c r="B357" s="22">
        <v>45974</v>
      </c>
      <c r="C357" s="12" t="s">
        <v>380</v>
      </c>
      <c r="D357" s="12">
        <v>1</v>
      </c>
      <c r="E357" s="11" t="str">
        <f>_xlfn.XLOOKUP(A357,Employee_Master!A:A,Employee_Master!E:E,"Not Found")</f>
        <v>Not Found</v>
      </c>
      <c r="F357" s="16" t="s">
        <v>381</v>
      </c>
    </row>
    <row r="358" spans="1:6">
      <c r="A358" s="13">
        <v>357</v>
      </c>
      <c r="B358" s="21">
        <v>46073</v>
      </c>
      <c r="C358" s="11" t="s">
        <v>382</v>
      </c>
      <c r="D358" s="11">
        <v>3</v>
      </c>
      <c r="E358" s="11" t="str">
        <f>_xlfn.XLOOKUP(A358,Employee_Master!A:A,Employee_Master!E:E,"Not Found")</f>
        <v>Not Found</v>
      </c>
      <c r="F358" s="15" t="s">
        <v>385</v>
      </c>
    </row>
    <row r="359" spans="1:6">
      <c r="A359" s="14">
        <v>358</v>
      </c>
      <c r="B359" s="22">
        <v>46263</v>
      </c>
      <c r="C359" s="12" t="s">
        <v>383</v>
      </c>
      <c r="D359" s="12">
        <v>3</v>
      </c>
      <c r="E359" s="11" t="str">
        <f>_xlfn.XLOOKUP(A359,Employee_Master!A:A,Employee_Master!E:E,"Not Found")</f>
        <v>Not Found</v>
      </c>
      <c r="F359" s="16" t="s">
        <v>386</v>
      </c>
    </row>
    <row r="360" spans="1:6">
      <c r="A360" s="13">
        <v>359</v>
      </c>
      <c r="B360" s="21">
        <v>46240</v>
      </c>
      <c r="C360" s="11" t="s">
        <v>383</v>
      </c>
      <c r="D360" s="11">
        <v>3</v>
      </c>
      <c r="E360" s="11" t="str">
        <f>_xlfn.XLOOKUP(A360,Employee_Master!A:A,Employee_Master!E:E,"Not Found")</f>
        <v>Not Found</v>
      </c>
      <c r="F360" s="15" t="s">
        <v>385</v>
      </c>
    </row>
    <row r="361" spans="1:6">
      <c r="A361" s="14">
        <v>360</v>
      </c>
      <c r="B361" s="22">
        <v>46180</v>
      </c>
      <c r="C361" s="12" t="s">
        <v>382</v>
      </c>
      <c r="D361" s="12">
        <v>2</v>
      </c>
      <c r="E361" s="11" t="str">
        <f>_xlfn.XLOOKUP(A361,Employee_Master!A:A,Employee_Master!E:E,"Not Found")</f>
        <v>Not Found</v>
      </c>
      <c r="F361" s="16" t="s">
        <v>385</v>
      </c>
    </row>
    <row r="362" spans="1:6">
      <c r="A362" s="13">
        <v>361</v>
      </c>
      <c r="B362" s="21">
        <v>46103</v>
      </c>
      <c r="C362" s="11" t="s">
        <v>384</v>
      </c>
      <c r="D362" s="11">
        <v>4</v>
      </c>
      <c r="E362" s="11" t="str">
        <f>_xlfn.XLOOKUP(A362,Employee_Master!A:A,Employee_Master!E:E,"Not Found")</f>
        <v>Not Found</v>
      </c>
      <c r="F362" s="15" t="s">
        <v>381</v>
      </c>
    </row>
    <row r="363" spans="1:6">
      <c r="A363" s="14">
        <v>362</v>
      </c>
      <c r="B363" s="22">
        <v>46203</v>
      </c>
      <c r="C363" s="12" t="s">
        <v>384</v>
      </c>
      <c r="D363" s="12">
        <v>3</v>
      </c>
      <c r="E363" s="11" t="str">
        <f>_xlfn.XLOOKUP(A363,Employee_Master!A:A,Employee_Master!E:E,"Not Found")</f>
        <v>Not Found</v>
      </c>
      <c r="F363" s="16" t="s">
        <v>381</v>
      </c>
    </row>
    <row r="364" spans="1:6">
      <c r="A364" s="13">
        <v>363</v>
      </c>
      <c r="B364" s="21">
        <v>46069</v>
      </c>
      <c r="C364" s="11" t="s">
        <v>383</v>
      </c>
      <c r="D364" s="11">
        <v>2</v>
      </c>
      <c r="E364" s="11" t="str">
        <f>_xlfn.XLOOKUP(A364,Employee_Master!A:A,Employee_Master!E:E,"Not Found")</f>
        <v>Not Found</v>
      </c>
      <c r="F364" s="15" t="s">
        <v>381</v>
      </c>
    </row>
    <row r="365" spans="1:6">
      <c r="A365" s="14">
        <v>364</v>
      </c>
      <c r="B365" s="22">
        <v>46053</v>
      </c>
      <c r="C365" s="12" t="s">
        <v>380</v>
      </c>
      <c r="D365" s="12">
        <v>3</v>
      </c>
      <c r="E365" s="11" t="str">
        <f>_xlfn.XLOOKUP(A365,Employee_Master!A:A,Employee_Master!E:E,"Not Found")</f>
        <v>Not Found</v>
      </c>
      <c r="F365" s="16" t="s">
        <v>381</v>
      </c>
    </row>
    <row r="366" spans="1:6">
      <c r="A366" s="13">
        <v>365</v>
      </c>
      <c r="B366" s="21">
        <v>46029</v>
      </c>
      <c r="C366" s="11" t="s">
        <v>383</v>
      </c>
      <c r="D366" s="11">
        <v>4</v>
      </c>
      <c r="E366" s="11" t="str">
        <f>_xlfn.XLOOKUP(A366,Employee_Master!A:A,Employee_Master!E:E,"Not Found")</f>
        <v>Not Found</v>
      </c>
      <c r="F366" s="15" t="s">
        <v>381</v>
      </c>
    </row>
    <row r="367" spans="1:6">
      <c r="A367" s="14">
        <v>366</v>
      </c>
      <c r="B367" s="22">
        <v>46237</v>
      </c>
      <c r="C367" s="12" t="s">
        <v>382</v>
      </c>
      <c r="D367" s="12">
        <v>2</v>
      </c>
      <c r="E367" s="11" t="str">
        <f>_xlfn.XLOOKUP(A367,Employee_Master!A:A,Employee_Master!E:E,"Not Found")</f>
        <v>Not Found</v>
      </c>
      <c r="F367" s="16" t="s">
        <v>386</v>
      </c>
    </row>
    <row r="368" spans="1:6">
      <c r="A368" s="13">
        <v>367</v>
      </c>
      <c r="B368" s="21">
        <v>46002</v>
      </c>
      <c r="C368" s="11" t="s">
        <v>383</v>
      </c>
      <c r="D368" s="11">
        <v>2</v>
      </c>
      <c r="E368" s="11" t="str">
        <f>_xlfn.XLOOKUP(A368,Employee_Master!A:A,Employee_Master!E:E,"Not Found")</f>
        <v>Not Found</v>
      </c>
      <c r="F368" s="15" t="s">
        <v>381</v>
      </c>
    </row>
    <row r="369" spans="1:6">
      <c r="A369" s="14">
        <v>368</v>
      </c>
      <c r="B369" s="22">
        <v>46214</v>
      </c>
      <c r="C369" s="12" t="s">
        <v>383</v>
      </c>
      <c r="D369" s="12">
        <v>2</v>
      </c>
      <c r="E369" s="11" t="str">
        <f>_xlfn.XLOOKUP(A369,Employee_Master!A:A,Employee_Master!E:E,"Not Found")</f>
        <v>Not Found</v>
      </c>
      <c r="F369" s="16" t="s">
        <v>385</v>
      </c>
    </row>
    <row r="370" spans="1:6">
      <c r="A370" s="13">
        <v>369</v>
      </c>
      <c r="B370" s="21">
        <v>46228</v>
      </c>
      <c r="C370" s="11" t="s">
        <v>380</v>
      </c>
      <c r="D370" s="11">
        <v>1</v>
      </c>
      <c r="E370" s="11" t="str">
        <f>_xlfn.XLOOKUP(A370,Employee_Master!A:A,Employee_Master!E:E,"Not Found")</f>
        <v>Not Found</v>
      </c>
      <c r="F370" s="15" t="s">
        <v>381</v>
      </c>
    </row>
    <row r="371" spans="1:6">
      <c r="A371" s="14">
        <v>370</v>
      </c>
      <c r="B371" s="22">
        <v>46257</v>
      </c>
      <c r="C371" s="12" t="s">
        <v>380</v>
      </c>
      <c r="D371" s="12">
        <v>2</v>
      </c>
      <c r="E371" s="11" t="str">
        <f>_xlfn.XLOOKUP(A371,Employee_Master!A:A,Employee_Master!E:E,"Not Found")</f>
        <v>Not Found</v>
      </c>
      <c r="F371" s="16" t="s">
        <v>386</v>
      </c>
    </row>
    <row r="372" spans="1:6">
      <c r="A372" s="13">
        <v>371</v>
      </c>
      <c r="B372" s="21">
        <v>46255</v>
      </c>
      <c r="C372" s="11" t="s">
        <v>383</v>
      </c>
      <c r="D372" s="11">
        <v>2</v>
      </c>
      <c r="E372" s="11" t="str">
        <f>_xlfn.XLOOKUP(A372,Employee_Master!A:A,Employee_Master!E:E,"Not Found")</f>
        <v>Not Found</v>
      </c>
      <c r="F372" s="15" t="s">
        <v>385</v>
      </c>
    </row>
    <row r="373" spans="1:6">
      <c r="A373" s="14">
        <v>372</v>
      </c>
      <c r="B373" s="22">
        <v>46056</v>
      </c>
      <c r="C373" s="12" t="s">
        <v>382</v>
      </c>
      <c r="D373" s="12">
        <v>4</v>
      </c>
      <c r="E373" s="11" t="str">
        <f>_xlfn.XLOOKUP(A373,Employee_Master!A:A,Employee_Master!E:E,"Not Found")</f>
        <v>Not Found</v>
      </c>
      <c r="F373" s="16" t="s">
        <v>381</v>
      </c>
    </row>
    <row r="374" spans="1:6">
      <c r="A374" s="13">
        <v>373</v>
      </c>
      <c r="B374" s="21">
        <v>46221</v>
      </c>
      <c r="C374" s="11" t="s">
        <v>382</v>
      </c>
      <c r="D374" s="11">
        <v>3</v>
      </c>
      <c r="E374" s="11" t="str">
        <f>_xlfn.XLOOKUP(A374,Employee_Master!A:A,Employee_Master!E:E,"Not Found")</f>
        <v>Not Found</v>
      </c>
      <c r="F374" s="15" t="s">
        <v>381</v>
      </c>
    </row>
    <row r="375" spans="1:6">
      <c r="A375" s="14">
        <v>374</v>
      </c>
      <c r="B375" s="22">
        <v>46241</v>
      </c>
      <c r="C375" s="12" t="s">
        <v>384</v>
      </c>
      <c r="D375" s="12">
        <v>3</v>
      </c>
      <c r="E375" s="11" t="str">
        <f>_xlfn.XLOOKUP(A375,Employee_Master!A:A,Employee_Master!E:E,"Not Found")</f>
        <v>Not Found</v>
      </c>
      <c r="F375" s="16" t="s">
        <v>381</v>
      </c>
    </row>
    <row r="376" spans="1:6">
      <c r="A376" s="13">
        <v>375</v>
      </c>
      <c r="B376" s="21">
        <v>46123</v>
      </c>
      <c r="C376" s="11" t="s">
        <v>382</v>
      </c>
      <c r="D376" s="11">
        <v>1</v>
      </c>
      <c r="E376" s="11" t="str">
        <f>_xlfn.XLOOKUP(A376,Employee_Master!A:A,Employee_Master!E:E,"Not Found")</f>
        <v>Not Found</v>
      </c>
      <c r="F376" s="15" t="s">
        <v>381</v>
      </c>
    </row>
    <row r="377" spans="1:6">
      <c r="A377" s="14">
        <v>376</v>
      </c>
      <c r="B377" s="22">
        <v>46061</v>
      </c>
      <c r="C377" s="12" t="s">
        <v>382</v>
      </c>
      <c r="D377" s="12">
        <v>4</v>
      </c>
      <c r="E377" s="11" t="str">
        <f>_xlfn.XLOOKUP(A377,Employee_Master!A:A,Employee_Master!E:E,"Not Found")</f>
        <v>Not Found</v>
      </c>
      <c r="F377" s="16" t="s">
        <v>386</v>
      </c>
    </row>
    <row r="378" spans="1:6">
      <c r="A378" s="13">
        <v>377</v>
      </c>
      <c r="B378" s="21">
        <v>46072</v>
      </c>
      <c r="C378" s="11" t="s">
        <v>382</v>
      </c>
      <c r="D378" s="11">
        <v>2</v>
      </c>
      <c r="E378" s="11" t="str">
        <f>_xlfn.XLOOKUP(A378,Employee_Master!A:A,Employee_Master!E:E,"Not Found")</f>
        <v>Not Found</v>
      </c>
      <c r="F378" s="15" t="s">
        <v>381</v>
      </c>
    </row>
    <row r="379" spans="1:6">
      <c r="A379" s="14">
        <v>378</v>
      </c>
      <c r="B379" s="22">
        <v>45957</v>
      </c>
      <c r="C379" s="12" t="s">
        <v>382</v>
      </c>
      <c r="D379" s="12">
        <v>4</v>
      </c>
      <c r="E379" s="11" t="str">
        <f>_xlfn.XLOOKUP(A379,Employee_Master!A:A,Employee_Master!E:E,"Not Found")</f>
        <v>Not Found</v>
      </c>
      <c r="F379" s="16" t="s">
        <v>386</v>
      </c>
    </row>
    <row r="380" spans="1:6">
      <c r="A380" s="13">
        <v>379</v>
      </c>
      <c r="B380" s="21">
        <v>45986</v>
      </c>
      <c r="C380" s="11" t="s">
        <v>382</v>
      </c>
      <c r="D380" s="11">
        <v>4</v>
      </c>
      <c r="E380" s="11" t="str">
        <f>_xlfn.XLOOKUP(A380,Employee_Master!A:A,Employee_Master!E:E,"Not Found")</f>
        <v>Not Found</v>
      </c>
      <c r="F380" s="15" t="s">
        <v>385</v>
      </c>
    </row>
    <row r="381" spans="1:6">
      <c r="A381" s="14">
        <v>380</v>
      </c>
      <c r="B381" s="22">
        <v>46091</v>
      </c>
      <c r="C381" s="12" t="s">
        <v>384</v>
      </c>
      <c r="D381" s="12">
        <v>2</v>
      </c>
      <c r="E381" s="11" t="str">
        <f>_xlfn.XLOOKUP(A381,Employee_Master!A:A,Employee_Master!E:E,"Not Found")</f>
        <v>Not Found</v>
      </c>
      <c r="F381" s="16" t="s">
        <v>381</v>
      </c>
    </row>
    <row r="382" spans="1:6">
      <c r="A382" s="13">
        <v>381</v>
      </c>
      <c r="B382" s="21">
        <v>45958</v>
      </c>
      <c r="C382" s="11" t="s">
        <v>384</v>
      </c>
      <c r="D382" s="11">
        <v>1</v>
      </c>
      <c r="E382" s="11" t="str">
        <f>_xlfn.XLOOKUP(A382,Employee_Master!A:A,Employee_Master!E:E,"Not Found")</f>
        <v>Not Found</v>
      </c>
      <c r="F382" s="15" t="s">
        <v>381</v>
      </c>
    </row>
    <row r="383" spans="1:6">
      <c r="A383" s="14">
        <v>382</v>
      </c>
      <c r="B383" s="22">
        <v>45986</v>
      </c>
      <c r="C383" s="12" t="s">
        <v>383</v>
      </c>
      <c r="D383" s="12">
        <v>2</v>
      </c>
      <c r="E383" s="11" t="str">
        <f>_xlfn.XLOOKUP(A383,Employee_Master!A:A,Employee_Master!E:E,"Not Found")</f>
        <v>Not Found</v>
      </c>
      <c r="F383" s="16" t="s">
        <v>381</v>
      </c>
    </row>
    <row r="384" spans="1:6">
      <c r="A384" s="13">
        <v>383</v>
      </c>
      <c r="B384" s="21">
        <v>46035</v>
      </c>
      <c r="C384" s="11" t="s">
        <v>384</v>
      </c>
      <c r="D384" s="11">
        <v>1</v>
      </c>
      <c r="E384" s="11" t="str">
        <f>_xlfn.XLOOKUP(A384,Employee_Master!A:A,Employee_Master!E:E,"Not Found")</f>
        <v>Not Found</v>
      </c>
      <c r="F384" s="15" t="s">
        <v>381</v>
      </c>
    </row>
    <row r="385" spans="1:6">
      <c r="A385" s="14">
        <v>384</v>
      </c>
      <c r="B385" s="22">
        <v>45988</v>
      </c>
      <c r="C385" s="12" t="s">
        <v>383</v>
      </c>
      <c r="D385" s="12">
        <v>3</v>
      </c>
      <c r="E385" s="11" t="str">
        <f>_xlfn.XLOOKUP(A385,Employee_Master!A:A,Employee_Master!E:E,"Not Found")</f>
        <v>Not Found</v>
      </c>
      <c r="F385" s="16" t="s">
        <v>381</v>
      </c>
    </row>
    <row r="386" spans="1:6">
      <c r="A386" s="13">
        <v>385</v>
      </c>
      <c r="B386" s="21">
        <v>46151</v>
      </c>
      <c r="C386" s="11" t="s">
        <v>380</v>
      </c>
      <c r="D386" s="11">
        <v>2</v>
      </c>
      <c r="E386" s="11" t="str">
        <f>_xlfn.XLOOKUP(A386,Employee_Master!A:A,Employee_Master!E:E,"Not Found")</f>
        <v>Not Found</v>
      </c>
      <c r="F386" s="15" t="s">
        <v>381</v>
      </c>
    </row>
    <row r="387" spans="1:6">
      <c r="A387" s="14">
        <v>386</v>
      </c>
      <c r="B387" s="22">
        <v>46240</v>
      </c>
      <c r="C387" s="12" t="s">
        <v>383</v>
      </c>
      <c r="D387" s="12">
        <v>3</v>
      </c>
      <c r="E387" s="11" t="str">
        <f>_xlfn.XLOOKUP(A387,Employee_Master!A:A,Employee_Master!E:E,"Not Found")</f>
        <v>Not Found</v>
      </c>
      <c r="F387" s="16" t="s">
        <v>381</v>
      </c>
    </row>
    <row r="388" spans="1:6">
      <c r="A388" s="13">
        <v>387</v>
      </c>
      <c r="B388" s="21">
        <v>46008</v>
      </c>
      <c r="C388" s="11" t="s">
        <v>384</v>
      </c>
      <c r="D388" s="11">
        <v>3</v>
      </c>
      <c r="E388" s="11" t="str">
        <f>_xlfn.XLOOKUP(A388,Employee_Master!A:A,Employee_Master!E:E,"Not Found")</f>
        <v>Not Found</v>
      </c>
      <c r="F388" s="15" t="s">
        <v>381</v>
      </c>
    </row>
    <row r="389" spans="1:6">
      <c r="A389" s="14">
        <v>388</v>
      </c>
      <c r="B389" s="22">
        <v>46018</v>
      </c>
      <c r="C389" s="12" t="s">
        <v>382</v>
      </c>
      <c r="D389" s="12">
        <v>2</v>
      </c>
      <c r="E389" s="11" t="str">
        <f>_xlfn.XLOOKUP(A389,Employee_Master!A:A,Employee_Master!E:E,"Not Found")</f>
        <v>Not Found</v>
      </c>
      <c r="F389" s="16" t="s">
        <v>386</v>
      </c>
    </row>
    <row r="390" spans="1:6">
      <c r="A390" s="13">
        <v>389</v>
      </c>
      <c r="B390" s="21">
        <v>46246</v>
      </c>
      <c r="C390" s="11" t="s">
        <v>384</v>
      </c>
      <c r="D390" s="11">
        <v>2</v>
      </c>
      <c r="E390" s="11" t="str">
        <f>_xlfn.XLOOKUP(A390,Employee_Master!A:A,Employee_Master!E:E,"Not Found")</f>
        <v>Not Found</v>
      </c>
      <c r="F390" s="15" t="s">
        <v>381</v>
      </c>
    </row>
    <row r="391" spans="1:6">
      <c r="A391" s="14">
        <v>390</v>
      </c>
      <c r="B391" s="22">
        <v>46245</v>
      </c>
      <c r="C391" s="12" t="s">
        <v>383</v>
      </c>
      <c r="D391" s="12">
        <v>4</v>
      </c>
      <c r="E391" s="11" t="str">
        <f>_xlfn.XLOOKUP(A391,Employee_Master!A:A,Employee_Master!E:E,"Not Found")</f>
        <v>Not Found</v>
      </c>
      <c r="F391" s="16" t="s">
        <v>381</v>
      </c>
    </row>
    <row r="392" spans="1:6">
      <c r="A392" s="13">
        <v>391</v>
      </c>
      <c r="B392" s="21">
        <v>45979</v>
      </c>
      <c r="C392" s="11" t="s">
        <v>380</v>
      </c>
      <c r="D392" s="11">
        <v>4</v>
      </c>
      <c r="E392" s="11" t="str">
        <f>_xlfn.XLOOKUP(A392,Employee_Master!A:A,Employee_Master!E:E,"Not Found")</f>
        <v>Not Found</v>
      </c>
      <c r="F392" s="15" t="s">
        <v>381</v>
      </c>
    </row>
    <row r="393" spans="1:6">
      <c r="A393" s="14">
        <v>392</v>
      </c>
      <c r="B393" s="22">
        <v>46054</v>
      </c>
      <c r="C393" s="12" t="s">
        <v>382</v>
      </c>
      <c r="D393" s="12">
        <v>2</v>
      </c>
      <c r="E393" s="11" t="str">
        <f>_xlfn.XLOOKUP(A393,Employee_Master!A:A,Employee_Master!E:E,"Not Found")</f>
        <v>Not Found</v>
      </c>
      <c r="F393" s="16" t="s">
        <v>381</v>
      </c>
    </row>
    <row r="394" spans="1:6">
      <c r="A394" s="13">
        <v>393</v>
      </c>
      <c r="B394" s="21">
        <v>46043</v>
      </c>
      <c r="C394" s="11" t="s">
        <v>383</v>
      </c>
      <c r="D394" s="11">
        <v>1</v>
      </c>
      <c r="E394" s="11" t="str">
        <f>_xlfn.XLOOKUP(A394,Employee_Master!A:A,Employee_Master!E:E,"Not Found")</f>
        <v>Not Found</v>
      </c>
      <c r="F394" s="15" t="s">
        <v>381</v>
      </c>
    </row>
    <row r="395" spans="1:6">
      <c r="A395" s="14">
        <v>394</v>
      </c>
      <c r="B395" s="22">
        <v>46274</v>
      </c>
      <c r="C395" s="12" t="s">
        <v>383</v>
      </c>
      <c r="D395" s="12">
        <v>4</v>
      </c>
      <c r="E395" s="11" t="str">
        <f>_xlfn.XLOOKUP(A395,Employee_Master!A:A,Employee_Master!E:E,"Not Found")</f>
        <v>Not Found</v>
      </c>
      <c r="F395" s="16" t="s">
        <v>386</v>
      </c>
    </row>
    <row r="396" spans="1:6">
      <c r="A396" s="13">
        <v>395</v>
      </c>
      <c r="B396" s="21">
        <v>46128</v>
      </c>
      <c r="C396" s="11" t="s">
        <v>382</v>
      </c>
      <c r="D396" s="11">
        <v>2</v>
      </c>
      <c r="E396" s="11" t="str">
        <f>_xlfn.XLOOKUP(A396,Employee_Master!A:A,Employee_Master!E:E,"Not Found")</f>
        <v>Not Found</v>
      </c>
      <c r="F396" s="15" t="s">
        <v>381</v>
      </c>
    </row>
    <row r="397" spans="1:6">
      <c r="A397" s="14">
        <v>396</v>
      </c>
      <c r="B397" s="22">
        <v>45982</v>
      </c>
      <c r="C397" s="12" t="s">
        <v>384</v>
      </c>
      <c r="D397" s="12">
        <v>4</v>
      </c>
      <c r="E397" s="11" t="str">
        <f>_xlfn.XLOOKUP(A397,Employee_Master!A:A,Employee_Master!E:E,"Not Found")</f>
        <v>Not Found</v>
      </c>
      <c r="F397" s="16" t="s">
        <v>385</v>
      </c>
    </row>
    <row r="398" spans="1:6">
      <c r="A398" s="13">
        <v>397</v>
      </c>
      <c r="B398" s="21">
        <v>46157</v>
      </c>
      <c r="C398" s="11" t="s">
        <v>380</v>
      </c>
      <c r="D398" s="11">
        <v>4</v>
      </c>
      <c r="E398" s="11" t="str">
        <f>_xlfn.XLOOKUP(A398,Employee_Master!A:A,Employee_Master!E:E,"Not Found")</f>
        <v>Not Found</v>
      </c>
      <c r="F398" s="15" t="s">
        <v>386</v>
      </c>
    </row>
    <row r="399" spans="1:6">
      <c r="A399" s="14">
        <v>398</v>
      </c>
      <c r="B399" s="22">
        <v>46125</v>
      </c>
      <c r="C399" s="12" t="s">
        <v>384</v>
      </c>
      <c r="D399" s="12">
        <v>3</v>
      </c>
      <c r="E399" s="11" t="str">
        <f>_xlfn.XLOOKUP(A399,Employee_Master!A:A,Employee_Master!E:E,"Not Found")</f>
        <v>Not Found</v>
      </c>
      <c r="F399" s="16" t="s">
        <v>381</v>
      </c>
    </row>
    <row r="400" spans="1:6">
      <c r="A400" s="13">
        <v>399</v>
      </c>
      <c r="B400" s="21">
        <v>46154</v>
      </c>
      <c r="C400" s="11" t="s">
        <v>383</v>
      </c>
      <c r="D400" s="11">
        <v>3</v>
      </c>
      <c r="E400" s="11" t="str">
        <f>_xlfn.XLOOKUP(A400,Employee_Master!A:A,Employee_Master!E:E,"Not Found")</f>
        <v>Not Found</v>
      </c>
      <c r="F400" s="15" t="s">
        <v>381</v>
      </c>
    </row>
    <row r="401" spans="1:6">
      <c r="A401" s="14">
        <v>400</v>
      </c>
      <c r="B401" s="22">
        <v>46186</v>
      </c>
      <c r="C401" s="12" t="s">
        <v>382</v>
      </c>
      <c r="D401" s="12">
        <v>4</v>
      </c>
      <c r="E401" s="11" t="str">
        <f>_xlfn.XLOOKUP(A401,Employee_Master!A:A,Employee_Master!E:E,"Not Found")</f>
        <v>Not Found</v>
      </c>
      <c r="F401" s="16" t="s">
        <v>386</v>
      </c>
    </row>
    <row r="402" spans="1:6">
      <c r="A402" s="13">
        <v>401</v>
      </c>
      <c r="B402" s="21">
        <v>46036</v>
      </c>
      <c r="C402" s="11" t="s">
        <v>383</v>
      </c>
      <c r="D402" s="11">
        <v>2</v>
      </c>
      <c r="E402" s="11" t="str">
        <f>_xlfn.XLOOKUP(A402,Employee_Master!A:A,Employee_Master!E:E,"Not Found")</f>
        <v>Not Found</v>
      </c>
      <c r="F402" s="15" t="s">
        <v>381</v>
      </c>
    </row>
    <row r="403" spans="1:6">
      <c r="A403" s="14">
        <v>402</v>
      </c>
      <c r="B403" s="22">
        <v>46288</v>
      </c>
      <c r="C403" s="12" t="s">
        <v>382</v>
      </c>
      <c r="D403" s="12">
        <v>2</v>
      </c>
      <c r="E403" s="11" t="str">
        <f>_xlfn.XLOOKUP(A403,Employee_Master!A:A,Employee_Master!E:E,"Not Found")</f>
        <v>Not Found</v>
      </c>
      <c r="F403" s="16" t="s">
        <v>385</v>
      </c>
    </row>
    <row r="404" spans="1:6">
      <c r="A404" s="13">
        <v>403</v>
      </c>
      <c r="B404" s="21">
        <v>46037</v>
      </c>
      <c r="C404" s="11" t="s">
        <v>380</v>
      </c>
      <c r="D404" s="11">
        <v>3</v>
      </c>
      <c r="E404" s="11" t="str">
        <f>_xlfn.XLOOKUP(A404,Employee_Master!A:A,Employee_Master!E:E,"Not Found")</f>
        <v>Not Found</v>
      </c>
      <c r="F404" s="15" t="s">
        <v>381</v>
      </c>
    </row>
    <row r="405" spans="1:6">
      <c r="A405" s="14">
        <v>404</v>
      </c>
      <c r="B405" s="22">
        <v>46138</v>
      </c>
      <c r="C405" s="12" t="s">
        <v>383</v>
      </c>
      <c r="D405" s="12">
        <v>2</v>
      </c>
      <c r="E405" s="11" t="str">
        <f>_xlfn.XLOOKUP(A405,Employee_Master!A:A,Employee_Master!E:E,"Not Found")</f>
        <v>Not Found</v>
      </c>
      <c r="F405" s="16" t="s">
        <v>381</v>
      </c>
    </row>
    <row r="406" spans="1:6">
      <c r="A406" s="13">
        <v>405</v>
      </c>
      <c r="B406" s="21">
        <v>46049</v>
      </c>
      <c r="C406" s="11" t="s">
        <v>382</v>
      </c>
      <c r="D406" s="11">
        <v>4</v>
      </c>
      <c r="E406" s="11" t="str">
        <f>_xlfn.XLOOKUP(A406,Employee_Master!A:A,Employee_Master!E:E,"Not Found")</f>
        <v>Not Found</v>
      </c>
      <c r="F406" s="15" t="s">
        <v>381</v>
      </c>
    </row>
    <row r="407" spans="1:6">
      <c r="A407" s="14">
        <v>406</v>
      </c>
      <c r="B407" s="22">
        <v>46055</v>
      </c>
      <c r="C407" s="12" t="s">
        <v>384</v>
      </c>
      <c r="D407" s="12">
        <v>4</v>
      </c>
      <c r="E407" s="11" t="str">
        <f>_xlfn.XLOOKUP(A407,Employee_Master!A:A,Employee_Master!E:E,"Not Found")</f>
        <v>Not Found</v>
      </c>
      <c r="F407" s="16" t="s">
        <v>381</v>
      </c>
    </row>
    <row r="408" spans="1:6">
      <c r="A408" s="13">
        <v>407</v>
      </c>
      <c r="B408" s="21">
        <v>46130</v>
      </c>
      <c r="C408" s="11" t="s">
        <v>383</v>
      </c>
      <c r="D408" s="11">
        <v>3</v>
      </c>
      <c r="E408" s="11" t="str">
        <f>_xlfn.XLOOKUP(A408,Employee_Master!A:A,Employee_Master!E:E,"Not Found")</f>
        <v>Not Found</v>
      </c>
      <c r="F408" s="15" t="s">
        <v>385</v>
      </c>
    </row>
    <row r="409" spans="1:6">
      <c r="A409" s="14">
        <v>408</v>
      </c>
      <c r="B409" s="22">
        <v>45941</v>
      </c>
      <c r="C409" s="12" t="s">
        <v>382</v>
      </c>
      <c r="D409" s="12">
        <v>4</v>
      </c>
      <c r="E409" s="11" t="str">
        <f>_xlfn.XLOOKUP(A409,Employee_Master!A:A,Employee_Master!E:E,"Not Found")</f>
        <v>Not Found</v>
      </c>
      <c r="F409" s="16" t="s">
        <v>385</v>
      </c>
    </row>
    <row r="410" spans="1:6">
      <c r="A410" s="13">
        <v>409</v>
      </c>
      <c r="B410" s="21">
        <v>46148</v>
      </c>
      <c r="C410" s="11" t="s">
        <v>384</v>
      </c>
      <c r="D410" s="11">
        <v>4</v>
      </c>
      <c r="E410" s="11" t="str">
        <f>_xlfn.XLOOKUP(A410,Employee_Master!A:A,Employee_Master!E:E,"Not Found")</f>
        <v>Not Found</v>
      </c>
      <c r="F410" s="15" t="s">
        <v>381</v>
      </c>
    </row>
    <row r="411" spans="1:6">
      <c r="A411" s="14">
        <v>410</v>
      </c>
      <c r="B411" s="22">
        <v>46048</v>
      </c>
      <c r="C411" s="12" t="s">
        <v>383</v>
      </c>
      <c r="D411" s="12">
        <v>3</v>
      </c>
      <c r="E411" s="11" t="str">
        <f>_xlfn.XLOOKUP(A411,Employee_Master!A:A,Employee_Master!E:E,"Not Found")</f>
        <v>Not Found</v>
      </c>
      <c r="F411" s="16" t="s">
        <v>381</v>
      </c>
    </row>
    <row r="412" spans="1:6">
      <c r="A412" s="13">
        <v>411</v>
      </c>
      <c r="B412" s="21">
        <v>46176</v>
      </c>
      <c r="C412" s="11" t="s">
        <v>380</v>
      </c>
      <c r="D412" s="11">
        <v>2</v>
      </c>
      <c r="E412" s="11" t="str">
        <f>_xlfn.XLOOKUP(A412,Employee_Master!A:A,Employee_Master!E:E,"Not Found")</f>
        <v>Not Found</v>
      </c>
      <c r="F412" s="15" t="s">
        <v>381</v>
      </c>
    </row>
    <row r="413" spans="1:6">
      <c r="A413" s="14">
        <v>412</v>
      </c>
      <c r="B413" s="22">
        <v>46261</v>
      </c>
      <c r="C413" s="12" t="s">
        <v>380</v>
      </c>
      <c r="D413" s="12">
        <v>1</v>
      </c>
      <c r="E413" s="11" t="str">
        <f>_xlfn.XLOOKUP(A413,Employee_Master!A:A,Employee_Master!E:E,"Not Found")</f>
        <v>Not Found</v>
      </c>
      <c r="F413" s="16" t="s">
        <v>385</v>
      </c>
    </row>
    <row r="414" spans="1:6">
      <c r="A414" s="13">
        <v>413</v>
      </c>
      <c r="B414" s="21">
        <v>46117</v>
      </c>
      <c r="C414" s="11" t="s">
        <v>384</v>
      </c>
      <c r="D414" s="11">
        <v>2</v>
      </c>
      <c r="E414" s="11" t="str">
        <f>_xlfn.XLOOKUP(A414,Employee_Master!A:A,Employee_Master!E:E,"Not Found")</f>
        <v>Not Found</v>
      </c>
      <c r="F414" s="15" t="s">
        <v>381</v>
      </c>
    </row>
    <row r="415" spans="1:6">
      <c r="A415" s="14">
        <v>414</v>
      </c>
      <c r="B415" s="22">
        <v>46293</v>
      </c>
      <c r="C415" s="12" t="s">
        <v>380</v>
      </c>
      <c r="D415" s="12">
        <v>1</v>
      </c>
      <c r="E415" s="11" t="str">
        <f>_xlfn.XLOOKUP(A415,Employee_Master!A:A,Employee_Master!E:E,"Not Found")</f>
        <v>Not Found</v>
      </c>
      <c r="F415" s="16" t="s">
        <v>386</v>
      </c>
    </row>
    <row r="416" spans="1:6">
      <c r="A416" s="13">
        <v>415</v>
      </c>
      <c r="B416" s="21">
        <v>46287</v>
      </c>
      <c r="C416" s="11" t="s">
        <v>384</v>
      </c>
      <c r="D416" s="11">
        <v>3</v>
      </c>
      <c r="E416" s="11" t="str">
        <f>_xlfn.XLOOKUP(A416,Employee_Master!A:A,Employee_Master!E:E,"Not Found")</f>
        <v>Not Found</v>
      </c>
      <c r="F416" s="15" t="s">
        <v>381</v>
      </c>
    </row>
    <row r="417" spans="1:6">
      <c r="A417" s="14">
        <v>416</v>
      </c>
      <c r="B417" s="22">
        <v>46061</v>
      </c>
      <c r="C417" s="12" t="s">
        <v>382</v>
      </c>
      <c r="D417" s="12">
        <v>2</v>
      </c>
      <c r="E417" s="11" t="str">
        <f>_xlfn.XLOOKUP(A417,Employee_Master!A:A,Employee_Master!E:E,"Not Found")</f>
        <v>Not Found</v>
      </c>
      <c r="F417" s="16" t="s">
        <v>381</v>
      </c>
    </row>
    <row r="418" spans="1:6">
      <c r="A418" s="13">
        <v>417</v>
      </c>
      <c r="B418" s="21">
        <v>46003</v>
      </c>
      <c r="C418" s="11" t="s">
        <v>382</v>
      </c>
      <c r="D418" s="11">
        <v>3</v>
      </c>
      <c r="E418" s="11" t="str">
        <f>_xlfn.XLOOKUP(A418,Employee_Master!A:A,Employee_Master!E:E,"Not Found")</f>
        <v>Not Found</v>
      </c>
      <c r="F418" s="15" t="s">
        <v>381</v>
      </c>
    </row>
    <row r="419" spans="1:6">
      <c r="A419" s="14">
        <v>418</v>
      </c>
      <c r="B419" s="22">
        <v>46048</v>
      </c>
      <c r="C419" s="12" t="s">
        <v>382</v>
      </c>
      <c r="D419" s="12">
        <v>3</v>
      </c>
      <c r="E419" s="11" t="str">
        <f>_xlfn.XLOOKUP(A419,Employee_Master!A:A,Employee_Master!E:E,"Not Found")</f>
        <v>Not Found</v>
      </c>
      <c r="F419" s="16" t="s">
        <v>381</v>
      </c>
    </row>
    <row r="420" spans="1:6">
      <c r="A420" s="13">
        <v>419</v>
      </c>
      <c r="B420" s="21">
        <v>46197</v>
      </c>
      <c r="C420" s="11" t="s">
        <v>384</v>
      </c>
      <c r="D420" s="11">
        <v>2</v>
      </c>
      <c r="E420" s="11" t="str">
        <f>_xlfn.XLOOKUP(A420,Employee_Master!A:A,Employee_Master!E:E,"Not Found")</f>
        <v>Not Found</v>
      </c>
      <c r="F420" s="15" t="s">
        <v>381</v>
      </c>
    </row>
    <row r="421" spans="1:6">
      <c r="A421" s="14">
        <v>420</v>
      </c>
      <c r="B421" s="22">
        <v>45957</v>
      </c>
      <c r="C421" s="12" t="s">
        <v>380</v>
      </c>
      <c r="D421" s="12">
        <v>3</v>
      </c>
      <c r="E421" s="11" t="str">
        <f>_xlfn.XLOOKUP(A421,Employee_Master!A:A,Employee_Master!E:E,"Not Found")</f>
        <v>Not Found</v>
      </c>
      <c r="F421" s="16" t="s">
        <v>386</v>
      </c>
    </row>
    <row r="422" spans="1:6">
      <c r="A422" s="13">
        <v>421</v>
      </c>
      <c r="B422" s="21">
        <v>46171</v>
      </c>
      <c r="C422" s="11" t="s">
        <v>382</v>
      </c>
      <c r="D422" s="11">
        <v>2</v>
      </c>
      <c r="E422" s="11" t="str">
        <f>_xlfn.XLOOKUP(A422,Employee_Master!A:A,Employee_Master!E:E,"Not Found")</f>
        <v>Not Found</v>
      </c>
      <c r="F422" s="15" t="s">
        <v>381</v>
      </c>
    </row>
    <row r="423" spans="1:6">
      <c r="A423" s="14">
        <v>422</v>
      </c>
      <c r="B423" s="22">
        <v>45939</v>
      </c>
      <c r="C423" s="12" t="s">
        <v>380</v>
      </c>
      <c r="D423" s="12">
        <v>1</v>
      </c>
      <c r="E423" s="11" t="str">
        <f>_xlfn.XLOOKUP(A423,Employee_Master!A:A,Employee_Master!E:E,"Not Found")</f>
        <v>Not Found</v>
      </c>
      <c r="F423" s="16" t="s">
        <v>381</v>
      </c>
    </row>
    <row r="424" spans="1:6">
      <c r="A424" s="13">
        <v>423</v>
      </c>
      <c r="B424" s="21">
        <v>45982</v>
      </c>
      <c r="C424" s="11" t="s">
        <v>383</v>
      </c>
      <c r="D424" s="11">
        <v>2</v>
      </c>
      <c r="E424" s="11" t="str">
        <f>_xlfn.XLOOKUP(A424,Employee_Master!A:A,Employee_Master!E:E,"Not Found")</f>
        <v>Not Found</v>
      </c>
      <c r="F424" s="15" t="s">
        <v>386</v>
      </c>
    </row>
    <row r="425" spans="1:6">
      <c r="A425" s="14">
        <v>424</v>
      </c>
      <c r="B425" s="22">
        <v>46214</v>
      </c>
      <c r="C425" s="12" t="s">
        <v>383</v>
      </c>
      <c r="D425" s="12">
        <v>2</v>
      </c>
      <c r="E425" s="11" t="str">
        <f>_xlfn.XLOOKUP(A425,Employee_Master!A:A,Employee_Master!E:E,"Not Found")</f>
        <v>Not Found</v>
      </c>
      <c r="F425" s="16" t="s">
        <v>381</v>
      </c>
    </row>
    <row r="426" spans="1:6">
      <c r="A426" s="13">
        <v>425</v>
      </c>
      <c r="B426" s="21">
        <v>46204</v>
      </c>
      <c r="C426" s="11" t="s">
        <v>380</v>
      </c>
      <c r="D426" s="11">
        <v>2</v>
      </c>
      <c r="E426" s="11" t="str">
        <f>_xlfn.XLOOKUP(A426,Employee_Master!A:A,Employee_Master!E:E,"Not Found")</f>
        <v>Not Found</v>
      </c>
      <c r="F426" s="15" t="s">
        <v>381</v>
      </c>
    </row>
    <row r="427" spans="1:6">
      <c r="A427" s="14">
        <v>426</v>
      </c>
      <c r="B427" s="22">
        <v>46097</v>
      </c>
      <c r="C427" s="12" t="s">
        <v>380</v>
      </c>
      <c r="D427" s="12">
        <v>3</v>
      </c>
      <c r="E427" s="11" t="str">
        <f>_xlfn.XLOOKUP(A427,Employee_Master!A:A,Employee_Master!E:E,"Not Found")</f>
        <v>Not Found</v>
      </c>
      <c r="F427" s="16" t="s">
        <v>386</v>
      </c>
    </row>
    <row r="428" spans="1:6">
      <c r="A428" s="13">
        <v>427</v>
      </c>
      <c r="B428" s="21">
        <v>46189</v>
      </c>
      <c r="C428" s="11" t="s">
        <v>384</v>
      </c>
      <c r="D428" s="11">
        <v>4</v>
      </c>
      <c r="E428" s="11" t="str">
        <f>_xlfn.XLOOKUP(A428,Employee_Master!A:A,Employee_Master!E:E,"Not Found")</f>
        <v>Not Found</v>
      </c>
      <c r="F428" s="15" t="s">
        <v>381</v>
      </c>
    </row>
    <row r="429" spans="1:6">
      <c r="A429" s="14">
        <v>428</v>
      </c>
      <c r="B429" s="22">
        <v>46016</v>
      </c>
      <c r="C429" s="12" t="s">
        <v>384</v>
      </c>
      <c r="D429" s="12">
        <v>4</v>
      </c>
      <c r="E429" s="11" t="str">
        <f>_xlfn.XLOOKUP(A429,Employee_Master!A:A,Employee_Master!E:E,"Not Found")</f>
        <v>Not Found</v>
      </c>
      <c r="F429" s="16" t="s">
        <v>381</v>
      </c>
    </row>
    <row r="430" spans="1:6">
      <c r="A430" s="13">
        <v>429</v>
      </c>
      <c r="B430" s="21">
        <v>45998</v>
      </c>
      <c r="C430" s="11" t="s">
        <v>380</v>
      </c>
      <c r="D430" s="11">
        <v>3</v>
      </c>
      <c r="E430" s="11" t="str">
        <f>_xlfn.XLOOKUP(A430,Employee_Master!A:A,Employee_Master!E:E,"Not Found")</f>
        <v>Not Found</v>
      </c>
      <c r="F430" s="15" t="s">
        <v>386</v>
      </c>
    </row>
    <row r="431" spans="1:6">
      <c r="A431" s="14">
        <v>430</v>
      </c>
      <c r="B431" s="22">
        <v>46073</v>
      </c>
      <c r="C431" s="12" t="s">
        <v>382</v>
      </c>
      <c r="D431" s="12">
        <v>2</v>
      </c>
      <c r="E431" s="11" t="str">
        <f>_xlfn.XLOOKUP(A431,Employee_Master!A:A,Employee_Master!E:E,"Not Found")</f>
        <v>Not Found</v>
      </c>
      <c r="F431" s="16" t="s">
        <v>385</v>
      </c>
    </row>
    <row r="432" spans="1:6">
      <c r="A432" s="13">
        <v>431</v>
      </c>
      <c r="B432" s="21">
        <v>46294</v>
      </c>
      <c r="C432" s="11" t="s">
        <v>384</v>
      </c>
      <c r="D432" s="11">
        <v>2</v>
      </c>
      <c r="E432" s="11" t="str">
        <f>_xlfn.XLOOKUP(A432,Employee_Master!A:A,Employee_Master!E:E,"Not Found")</f>
        <v>Not Found</v>
      </c>
      <c r="F432" s="15" t="s">
        <v>381</v>
      </c>
    </row>
    <row r="433" spans="1:6">
      <c r="A433" s="14">
        <v>432</v>
      </c>
      <c r="B433" s="22">
        <v>45952</v>
      </c>
      <c r="C433" s="12" t="s">
        <v>384</v>
      </c>
      <c r="D433" s="12">
        <v>4</v>
      </c>
      <c r="E433" s="11" t="str">
        <f>_xlfn.XLOOKUP(A433,Employee_Master!A:A,Employee_Master!E:E,"Not Found")</f>
        <v>Not Found</v>
      </c>
      <c r="F433" s="16" t="s">
        <v>381</v>
      </c>
    </row>
    <row r="434" spans="1:6">
      <c r="A434" s="13">
        <v>433</v>
      </c>
      <c r="B434" s="21">
        <v>45931</v>
      </c>
      <c r="C434" s="11" t="s">
        <v>383</v>
      </c>
      <c r="D434" s="11">
        <v>4</v>
      </c>
      <c r="E434" s="11" t="str">
        <f>_xlfn.XLOOKUP(A434,Employee_Master!A:A,Employee_Master!E:E,"Not Found")</f>
        <v>Not Found</v>
      </c>
      <c r="F434" s="15" t="s">
        <v>386</v>
      </c>
    </row>
    <row r="435" spans="1:6">
      <c r="A435" s="14">
        <v>434</v>
      </c>
      <c r="B435" s="22">
        <v>46181</v>
      </c>
      <c r="C435" s="12" t="s">
        <v>382</v>
      </c>
      <c r="D435" s="12">
        <v>4</v>
      </c>
      <c r="E435" s="11" t="str">
        <f>_xlfn.XLOOKUP(A435,Employee_Master!A:A,Employee_Master!E:E,"Not Found")</f>
        <v>Not Found</v>
      </c>
      <c r="F435" s="16" t="s">
        <v>386</v>
      </c>
    </row>
    <row r="436" spans="1:6">
      <c r="A436" s="13">
        <v>435</v>
      </c>
      <c r="B436" s="21">
        <v>46169</v>
      </c>
      <c r="C436" s="11" t="s">
        <v>383</v>
      </c>
      <c r="D436" s="11">
        <v>4</v>
      </c>
      <c r="E436" s="11" t="str">
        <f>_xlfn.XLOOKUP(A436,Employee_Master!A:A,Employee_Master!E:E,"Not Found")</f>
        <v>Not Found</v>
      </c>
      <c r="F436" s="15" t="s">
        <v>381</v>
      </c>
    </row>
    <row r="437" spans="1:6">
      <c r="A437" s="14">
        <v>436</v>
      </c>
      <c r="B437" s="22">
        <v>46139</v>
      </c>
      <c r="C437" s="12" t="s">
        <v>380</v>
      </c>
      <c r="D437" s="12">
        <v>4</v>
      </c>
      <c r="E437" s="11" t="str">
        <f>_xlfn.XLOOKUP(A437,Employee_Master!A:A,Employee_Master!E:E,"Not Found")</f>
        <v>Not Found</v>
      </c>
      <c r="F437" s="16" t="s">
        <v>381</v>
      </c>
    </row>
    <row r="438" spans="1:6">
      <c r="A438" s="13">
        <v>437</v>
      </c>
      <c r="B438" s="21">
        <v>45949</v>
      </c>
      <c r="C438" s="11" t="s">
        <v>380</v>
      </c>
      <c r="D438" s="11">
        <v>1</v>
      </c>
      <c r="E438" s="11" t="str">
        <f>_xlfn.XLOOKUP(A438,Employee_Master!A:A,Employee_Master!E:E,"Not Found")</f>
        <v>Not Found</v>
      </c>
      <c r="F438" s="15" t="s">
        <v>386</v>
      </c>
    </row>
    <row r="439" spans="1:6">
      <c r="A439" s="14">
        <v>438</v>
      </c>
      <c r="B439" s="22">
        <v>46119</v>
      </c>
      <c r="C439" s="12" t="s">
        <v>383</v>
      </c>
      <c r="D439" s="12">
        <v>1</v>
      </c>
      <c r="E439" s="11" t="str">
        <f>_xlfn.XLOOKUP(A439,Employee_Master!A:A,Employee_Master!E:E,"Not Found")</f>
        <v>Not Found</v>
      </c>
      <c r="F439" s="16" t="s">
        <v>386</v>
      </c>
    </row>
    <row r="440" spans="1:6">
      <c r="A440" s="13">
        <v>439</v>
      </c>
      <c r="B440" s="21">
        <v>46142</v>
      </c>
      <c r="C440" s="11" t="s">
        <v>382</v>
      </c>
      <c r="D440" s="11">
        <v>4</v>
      </c>
      <c r="E440" s="11" t="str">
        <f>_xlfn.XLOOKUP(A440,Employee_Master!A:A,Employee_Master!E:E,"Not Found")</f>
        <v>Not Found</v>
      </c>
      <c r="F440" s="15" t="s">
        <v>381</v>
      </c>
    </row>
    <row r="441" spans="1:6">
      <c r="A441" s="14">
        <v>440</v>
      </c>
      <c r="B441" s="22">
        <v>45943</v>
      </c>
      <c r="C441" s="12" t="s">
        <v>383</v>
      </c>
      <c r="D441" s="12">
        <v>4</v>
      </c>
      <c r="E441" s="11" t="str">
        <f>_xlfn.XLOOKUP(A441,Employee_Master!A:A,Employee_Master!E:E,"Not Found")</f>
        <v>Not Found</v>
      </c>
      <c r="F441" s="16" t="s">
        <v>381</v>
      </c>
    </row>
    <row r="442" spans="1:6">
      <c r="A442" s="13">
        <v>441</v>
      </c>
      <c r="B442" s="21">
        <v>45939</v>
      </c>
      <c r="C442" s="11" t="s">
        <v>380</v>
      </c>
      <c r="D442" s="11">
        <v>4</v>
      </c>
      <c r="E442" s="11" t="str">
        <f>_xlfn.XLOOKUP(A442,Employee_Master!A:A,Employee_Master!E:E,"Not Found")</f>
        <v>Not Found</v>
      </c>
      <c r="F442" s="15" t="s">
        <v>381</v>
      </c>
    </row>
    <row r="443" spans="1:6">
      <c r="A443" s="14">
        <v>442</v>
      </c>
      <c r="B443" s="22">
        <v>46233</v>
      </c>
      <c r="C443" s="12" t="s">
        <v>380</v>
      </c>
      <c r="D443" s="12">
        <v>3</v>
      </c>
      <c r="E443" s="11" t="str">
        <f>_xlfn.XLOOKUP(A443,Employee_Master!A:A,Employee_Master!E:E,"Not Found")</f>
        <v>Not Found</v>
      </c>
      <c r="F443" s="16" t="s">
        <v>385</v>
      </c>
    </row>
    <row r="444" spans="1:6">
      <c r="A444" s="13">
        <v>443</v>
      </c>
      <c r="B444" s="21">
        <v>46056</v>
      </c>
      <c r="C444" s="11" t="s">
        <v>380</v>
      </c>
      <c r="D444" s="11">
        <v>1</v>
      </c>
      <c r="E444" s="11" t="str">
        <f>_xlfn.XLOOKUP(A444,Employee_Master!A:A,Employee_Master!E:E,"Not Found")</f>
        <v>Not Found</v>
      </c>
      <c r="F444" s="15" t="s">
        <v>381</v>
      </c>
    </row>
    <row r="445" spans="1:6">
      <c r="A445" s="14">
        <v>444</v>
      </c>
      <c r="B445" s="22">
        <v>46155</v>
      </c>
      <c r="C445" s="12" t="s">
        <v>383</v>
      </c>
      <c r="D445" s="12">
        <v>4</v>
      </c>
      <c r="E445" s="11" t="str">
        <f>_xlfn.XLOOKUP(A445,Employee_Master!A:A,Employee_Master!E:E,"Not Found")</f>
        <v>Not Found</v>
      </c>
      <c r="F445" s="16" t="s">
        <v>385</v>
      </c>
    </row>
    <row r="446" spans="1:6">
      <c r="A446" s="13">
        <v>445</v>
      </c>
      <c r="B446" s="21">
        <v>46295</v>
      </c>
      <c r="C446" s="11" t="s">
        <v>382</v>
      </c>
      <c r="D446" s="11">
        <v>3</v>
      </c>
      <c r="E446" s="11" t="str">
        <f>_xlfn.XLOOKUP(A446,Employee_Master!A:A,Employee_Master!E:E,"Not Found")</f>
        <v>Not Found</v>
      </c>
      <c r="F446" s="15" t="s">
        <v>381</v>
      </c>
    </row>
    <row r="447" spans="1:6">
      <c r="A447" s="14">
        <v>446</v>
      </c>
      <c r="B447" s="22">
        <v>46168</v>
      </c>
      <c r="C447" s="12" t="s">
        <v>380</v>
      </c>
      <c r="D447" s="12">
        <v>4</v>
      </c>
      <c r="E447" s="11" t="str">
        <f>_xlfn.XLOOKUP(A447,Employee_Master!A:A,Employee_Master!E:E,"Not Found")</f>
        <v>Not Found</v>
      </c>
      <c r="F447" s="16" t="s">
        <v>381</v>
      </c>
    </row>
    <row r="448" spans="1:6">
      <c r="A448" s="13">
        <v>447</v>
      </c>
      <c r="B448" s="21">
        <v>46056</v>
      </c>
      <c r="C448" s="11" t="s">
        <v>380</v>
      </c>
      <c r="D448" s="11">
        <v>1</v>
      </c>
      <c r="E448" s="11" t="str">
        <f>_xlfn.XLOOKUP(A448,Employee_Master!A:A,Employee_Master!E:E,"Not Found")</f>
        <v>Not Found</v>
      </c>
      <c r="F448" s="15" t="s">
        <v>381</v>
      </c>
    </row>
    <row r="449" spans="1:6">
      <c r="A449" s="14">
        <v>448</v>
      </c>
      <c r="B449" s="22">
        <v>45958</v>
      </c>
      <c r="C449" s="12" t="s">
        <v>383</v>
      </c>
      <c r="D449" s="12">
        <v>4</v>
      </c>
      <c r="E449" s="11" t="str">
        <f>_xlfn.XLOOKUP(A449,Employee_Master!A:A,Employee_Master!E:E,"Not Found")</f>
        <v>Not Found</v>
      </c>
      <c r="F449" s="16" t="s">
        <v>385</v>
      </c>
    </row>
    <row r="450" spans="1:6">
      <c r="A450" s="13">
        <v>449</v>
      </c>
      <c r="B450" s="21">
        <v>46265</v>
      </c>
      <c r="C450" s="11" t="s">
        <v>382</v>
      </c>
      <c r="D450" s="11">
        <v>1</v>
      </c>
      <c r="E450" s="11" t="str">
        <f>_xlfn.XLOOKUP(A450,Employee_Master!A:A,Employee_Master!E:E,"Not Found")</f>
        <v>Not Found</v>
      </c>
      <c r="F450" s="15" t="s">
        <v>386</v>
      </c>
    </row>
    <row r="451" spans="1:6">
      <c r="A451" s="14">
        <v>450</v>
      </c>
      <c r="B451" s="22">
        <v>46112</v>
      </c>
      <c r="C451" s="12" t="s">
        <v>382</v>
      </c>
      <c r="D451" s="12">
        <v>1</v>
      </c>
      <c r="E451" s="11" t="str">
        <f>_xlfn.XLOOKUP(A451,Employee_Master!A:A,Employee_Master!E:E,"Not Found")</f>
        <v>Not Found</v>
      </c>
      <c r="F451" s="16" t="s">
        <v>385</v>
      </c>
    </row>
    <row r="452" spans="1:6">
      <c r="A452" s="13">
        <v>451</v>
      </c>
      <c r="B452" s="21">
        <v>45965</v>
      </c>
      <c r="C452" s="11" t="s">
        <v>383</v>
      </c>
      <c r="D452" s="11">
        <v>3</v>
      </c>
      <c r="E452" s="11" t="str">
        <f>_xlfn.XLOOKUP(A452,Employee_Master!A:A,Employee_Master!E:E,"Not Found")</f>
        <v>Not Found</v>
      </c>
      <c r="F452" s="15" t="s">
        <v>381</v>
      </c>
    </row>
    <row r="453" spans="1:6">
      <c r="A453" s="14">
        <v>452</v>
      </c>
      <c r="B453" s="22">
        <v>46190</v>
      </c>
      <c r="C453" s="12" t="s">
        <v>380</v>
      </c>
      <c r="D453" s="12">
        <v>1</v>
      </c>
      <c r="E453" s="11" t="str">
        <f>_xlfn.XLOOKUP(A453,Employee_Master!A:A,Employee_Master!E:E,"Not Found")</f>
        <v>Not Found</v>
      </c>
      <c r="F453" s="16" t="s">
        <v>381</v>
      </c>
    </row>
    <row r="454" spans="1:6">
      <c r="A454" s="13">
        <v>453</v>
      </c>
      <c r="B454" s="21">
        <v>46005</v>
      </c>
      <c r="C454" s="11" t="s">
        <v>383</v>
      </c>
      <c r="D454" s="11">
        <v>1</v>
      </c>
      <c r="E454" s="11" t="str">
        <f>_xlfn.XLOOKUP(A454,Employee_Master!A:A,Employee_Master!E:E,"Not Found")</f>
        <v>Not Found</v>
      </c>
      <c r="F454" s="15" t="s">
        <v>381</v>
      </c>
    </row>
    <row r="455" spans="1:6">
      <c r="A455" s="14">
        <v>454</v>
      </c>
      <c r="B455" s="22">
        <v>46042</v>
      </c>
      <c r="C455" s="12" t="s">
        <v>383</v>
      </c>
      <c r="D455" s="12">
        <v>1</v>
      </c>
      <c r="E455" s="11" t="str">
        <f>_xlfn.XLOOKUP(A455,Employee_Master!A:A,Employee_Master!E:E,"Not Found")</f>
        <v>Not Found</v>
      </c>
      <c r="F455" s="16" t="s">
        <v>385</v>
      </c>
    </row>
    <row r="456" spans="1:6">
      <c r="A456" s="13">
        <v>455</v>
      </c>
      <c r="B456" s="21">
        <v>46137</v>
      </c>
      <c r="C456" s="11" t="s">
        <v>383</v>
      </c>
      <c r="D456" s="11">
        <v>4</v>
      </c>
      <c r="E456" s="11" t="str">
        <f>_xlfn.XLOOKUP(A456,Employee_Master!A:A,Employee_Master!E:E,"Not Found")</f>
        <v>Not Found</v>
      </c>
      <c r="F456" s="15" t="s">
        <v>381</v>
      </c>
    </row>
    <row r="457" spans="1:6">
      <c r="A457" s="14">
        <v>456</v>
      </c>
      <c r="B457" s="22">
        <v>46249</v>
      </c>
      <c r="C457" s="12" t="s">
        <v>383</v>
      </c>
      <c r="D457" s="12">
        <v>3</v>
      </c>
      <c r="E457" s="11" t="str">
        <f>_xlfn.XLOOKUP(A457,Employee_Master!A:A,Employee_Master!E:E,"Not Found")</f>
        <v>Not Found</v>
      </c>
      <c r="F457" s="16" t="s">
        <v>381</v>
      </c>
    </row>
    <row r="458" spans="1:6">
      <c r="A458" s="13">
        <v>457</v>
      </c>
      <c r="B458" s="21">
        <v>45957</v>
      </c>
      <c r="C458" s="11" t="s">
        <v>384</v>
      </c>
      <c r="D458" s="11">
        <v>4</v>
      </c>
      <c r="E458" s="11" t="str">
        <f>_xlfn.XLOOKUP(A458,Employee_Master!A:A,Employee_Master!E:E,"Not Found")</f>
        <v>Not Found</v>
      </c>
      <c r="F458" s="15" t="s">
        <v>385</v>
      </c>
    </row>
    <row r="459" spans="1:6">
      <c r="A459" s="14">
        <v>458</v>
      </c>
      <c r="B459" s="22">
        <v>46194</v>
      </c>
      <c r="C459" s="12" t="s">
        <v>384</v>
      </c>
      <c r="D459" s="12">
        <v>1</v>
      </c>
      <c r="E459" s="11" t="str">
        <f>_xlfn.XLOOKUP(A459,Employee_Master!A:A,Employee_Master!E:E,"Not Found")</f>
        <v>Not Found</v>
      </c>
      <c r="F459" s="16" t="s">
        <v>381</v>
      </c>
    </row>
    <row r="460" spans="1:6">
      <c r="A460" s="13">
        <v>459</v>
      </c>
      <c r="B460" s="21">
        <v>46124</v>
      </c>
      <c r="C460" s="11" t="s">
        <v>383</v>
      </c>
      <c r="D460" s="11">
        <v>4</v>
      </c>
      <c r="E460" s="11" t="str">
        <f>_xlfn.XLOOKUP(A460,Employee_Master!A:A,Employee_Master!E:E,"Not Found")</f>
        <v>Not Found</v>
      </c>
      <c r="F460" s="15" t="s">
        <v>381</v>
      </c>
    </row>
    <row r="461" spans="1:6">
      <c r="A461" s="14">
        <v>460</v>
      </c>
      <c r="B461" s="22">
        <v>46004</v>
      </c>
      <c r="C461" s="12" t="s">
        <v>380</v>
      </c>
      <c r="D461" s="12">
        <v>2</v>
      </c>
      <c r="E461" s="11" t="str">
        <f>_xlfn.XLOOKUP(A461,Employee_Master!A:A,Employee_Master!E:E,"Not Found")</f>
        <v>Not Found</v>
      </c>
      <c r="F461" s="16" t="s">
        <v>381</v>
      </c>
    </row>
    <row r="462" spans="1:6">
      <c r="A462" s="13">
        <v>461</v>
      </c>
      <c r="B462" s="21">
        <v>46127</v>
      </c>
      <c r="C462" s="11" t="s">
        <v>383</v>
      </c>
      <c r="D462" s="11">
        <v>4</v>
      </c>
      <c r="E462" s="11" t="str">
        <f>_xlfn.XLOOKUP(A462,Employee_Master!A:A,Employee_Master!E:E,"Not Found")</f>
        <v>Not Found</v>
      </c>
      <c r="F462" s="15" t="s">
        <v>381</v>
      </c>
    </row>
    <row r="463" spans="1:6">
      <c r="A463" s="14">
        <v>462</v>
      </c>
      <c r="B463" s="22">
        <v>45952</v>
      </c>
      <c r="C463" s="12" t="s">
        <v>384</v>
      </c>
      <c r="D463" s="12">
        <v>3</v>
      </c>
      <c r="E463" s="11" t="str">
        <f>_xlfn.XLOOKUP(A463,Employee_Master!A:A,Employee_Master!E:E,"Not Found")</f>
        <v>Not Found</v>
      </c>
      <c r="F463" s="16" t="s">
        <v>381</v>
      </c>
    </row>
    <row r="464" spans="1:6">
      <c r="A464" s="13">
        <v>463</v>
      </c>
      <c r="B464" s="21">
        <v>45999</v>
      </c>
      <c r="C464" s="11" t="s">
        <v>380</v>
      </c>
      <c r="D464" s="11">
        <v>4</v>
      </c>
      <c r="E464" s="11" t="str">
        <f>_xlfn.XLOOKUP(A464,Employee_Master!A:A,Employee_Master!E:E,"Not Found")</f>
        <v>Not Found</v>
      </c>
      <c r="F464" s="15" t="s">
        <v>386</v>
      </c>
    </row>
    <row r="465" spans="1:6">
      <c r="A465" s="14">
        <v>464</v>
      </c>
      <c r="B465" s="22">
        <v>46030</v>
      </c>
      <c r="C465" s="12" t="s">
        <v>382</v>
      </c>
      <c r="D465" s="12">
        <v>2</v>
      </c>
      <c r="E465" s="11" t="str">
        <f>_xlfn.XLOOKUP(A465,Employee_Master!A:A,Employee_Master!E:E,"Not Found")</f>
        <v>Not Found</v>
      </c>
      <c r="F465" s="16" t="s">
        <v>385</v>
      </c>
    </row>
    <row r="466" spans="1:6">
      <c r="A466" s="13">
        <v>465</v>
      </c>
      <c r="B466" s="21">
        <v>46221</v>
      </c>
      <c r="C466" s="11" t="s">
        <v>383</v>
      </c>
      <c r="D466" s="11">
        <v>2</v>
      </c>
      <c r="E466" s="11" t="str">
        <f>_xlfn.XLOOKUP(A466,Employee_Master!A:A,Employee_Master!E:E,"Not Found")</f>
        <v>Not Found</v>
      </c>
      <c r="F466" s="15" t="s">
        <v>381</v>
      </c>
    </row>
    <row r="467" spans="1:6">
      <c r="A467" s="14">
        <v>466</v>
      </c>
      <c r="B467" s="22">
        <v>45964</v>
      </c>
      <c r="C467" s="12" t="s">
        <v>380</v>
      </c>
      <c r="D467" s="12">
        <v>1</v>
      </c>
      <c r="E467" s="11" t="str">
        <f>_xlfn.XLOOKUP(A467,Employee_Master!A:A,Employee_Master!E:E,"Not Found")</f>
        <v>Not Found</v>
      </c>
      <c r="F467" s="16" t="s">
        <v>381</v>
      </c>
    </row>
    <row r="468" spans="1:6">
      <c r="A468" s="13">
        <v>467</v>
      </c>
      <c r="B468" s="21">
        <v>46178</v>
      </c>
      <c r="C468" s="11" t="s">
        <v>384</v>
      </c>
      <c r="D468" s="11">
        <v>2</v>
      </c>
      <c r="E468" s="11" t="str">
        <f>_xlfn.XLOOKUP(A468,Employee_Master!A:A,Employee_Master!E:E,"Not Found")</f>
        <v>Not Found</v>
      </c>
      <c r="F468" s="15" t="s">
        <v>385</v>
      </c>
    </row>
    <row r="469" spans="1:6">
      <c r="A469" s="14">
        <v>468</v>
      </c>
      <c r="B469" s="22">
        <v>46015</v>
      </c>
      <c r="C469" s="12" t="s">
        <v>382</v>
      </c>
      <c r="D469" s="12">
        <v>1</v>
      </c>
      <c r="E469" s="11" t="str">
        <f>_xlfn.XLOOKUP(A469,Employee_Master!A:A,Employee_Master!E:E,"Not Found")</f>
        <v>Not Found</v>
      </c>
      <c r="F469" s="16" t="s">
        <v>381</v>
      </c>
    </row>
    <row r="470" spans="1:6">
      <c r="A470" s="13">
        <v>469</v>
      </c>
      <c r="B470" s="21">
        <v>46106</v>
      </c>
      <c r="C470" s="11" t="s">
        <v>383</v>
      </c>
      <c r="D470" s="11">
        <v>4</v>
      </c>
      <c r="E470" s="11" t="str">
        <f>_xlfn.XLOOKUP(A470,Employee_Master!A:A,Employee_Master!E:E,"Not Found")</f>
        <v>Not Found</v>
      </c>
      <c r="F470" s="15" t="s">
        <v>381</v>
      </c>
    </row>
    <row r="471" spans="1:6">
      <c r="A471" s="14">
        <v>470</v>
      </c>
      <c r="B471" s="22">
        <v>46226</v>
      </c>
      <c r="C471" s="12" t="s">
        <v>383</v>
      </c>
      <c r="D471" s="12">
        <v>3</v>
      </c>
      <c r="E471" s="11" t="str">
        <f>_xlfn.XLOOKUP(A471,Employee_Master!A:A,Employee_Master!E:E,"Not Found")</f>
        <v>Not Found</v>
      </c>
      <c r="F471" s="16" t="s">
        <v>386</v>
      </c>
    </row>
    <row r="472" spans="1:6">
      <c r="A472" s="13">
        <v>471</v>
      </c>
      <c r="B472" s="21">
        <v>46010</v>
      </c>
      <c r="C472" s="11" t="s">
        <v>383</v>
      </c>
      <c r="D472" s="11">
        <v>2</v>
      </c>
      <c r="E472" s="11" t="str">
        <f>_xlfn.XLOOKUP(A472,Employee_Master!A:A,Employee_Master!E:E,"Not Found")</f>
        <v>Not Found</v>
      </c>
      <c r="F472" s="15" t="s">
        <v>381</v>
      </c>
    </row>
    <row r="473" spans="1:6">
      <c r="A473" s="14">
        <v>472</v>
      </c>
      <c r="B473" s="22">
        <v>46178</v>
      </c>
      <c r="C473" s="12" t="s">
        <v>383</v>
      </c>
      <c r="D473" s="12">
        <v>3</v>
      </c>
      <c r="E473" s="11" t="str">
        <f>_xlfn.XLOOKUP(A473,Employee_Master!A:A,Employee_Master!E:E,"Not Found")</f>
        <v>Not Found</v>
      </c>
      <c r="F473" s="16" t="s">
        <v>386</v>
      </c>
    </row>
    <row r="474" spans="1:6">
      <c r="A474" s="13">
        <v>473</v>
      </c>
      <c r="B474" s="21">
        <v>46084</v>
      </c>
      <c r="C474" s="11" t="s">
        <v>382</v>
      </c>
      <c r="D474" s="11">
        <v>4</v>
      </c>
      <c r="E474" s="11" t="str">
        <f>_xlfn.XLOOKUP(A474,Employee_Master!A:A,Employee_Master!E:E,"Not Found")</f>
        <v>Not Found</v>
      </c>
      <c r="F474" s="15" t="s">
        <v>381</v>
      </c>
    </row>
    <row r="475" spans="1:6">
      <c r="A475" s="14">
        <v>474</v>
      </c>
      <c r="B475" s="22">
        <v>46233</v>
      </c>
      <c r="C475" s="12" t="s">
        <v>383</v>
      </c>
      <c r="D475" s="12">
        <v>3</v>
      </c>
      <c r="E475" s="11" t="str">
        <f>_xlfn.XLOOKUP(A475,Employee_Master!A:A,Employee_Master!E:E,"Not Found")</f>
        <v>Not Found</v>
      </c>
      <c r="F475" s="16" t="s">
        <v>381</v>
      </c>
    </row>
    <row r="476" spans="1:6">
      <c r="A476" s="13">
        <v>475</v>
      </c>
      <c r="B476" s="21">
        <v>46215</v>
      </c>
      <c r="C476" s="11" t="s">
        <v>380</v>
      </c>
      <c r="D476" s="11">
        <v>2</v>
      </c>
      <c r="E476" s="11" t="str">
        <f>_xlfn.XLOOKUP(A476,Employee_Master!A:A,Employee_Master!E:E,"Not Found")</f>
        <v>Not Found</v>
      </c>
      <c r="F476" s="15" t="s">
        <v>381</v>
      </c>
    </row>
    <row r="477" spans="1:6">
      <c r="A477" s="14">
        <v>476</v>
      </c>
      <c r="B477" s="22">
        <v>46009</v>
      </c>
      <c r="C477" s="12" t="s">
        <v>384</v>
      </c>
      <c r="D477" s="12">
        <v>3</v>
      </c>
      <c r="E477" s="11" t="str">
        <f>_xlfn.XLOOKUP(A477,Employee_Master!A:A,Employee_Master!E:E,"Not Found")</f>
        <v>Not Found</v>
      </c>
      <c r="F477" s="16" t="s">
        <v>385</v>
      </c>
    </row>
    <row r="478" spans="1:6">
      <c r="A478" s="13">
        <v>477</v>
      </c>
      <c r="B478" s="21">
        <v>46135</v>
      </c>
      <c r="C478" s="11" t="s">
        <v>382</v>
      </c>
      <c r="D478" s="11">
        <v>3</v>
      </c>
      <c r="E478" s="11" t="str">
        <f>_xlfn.XLOOKUP(A478,Employee_Master!A:A,Employee_Master!E:E,"Not Found")</f>
        <v>Not Found</v>
      </c>
      <c r="F478" s="15" t="s">
        <v>381</v>
      </c>
    </row>
    <row r="479" spans="1:6">
      <c r="A479" s="14">
        <v>478</v>
      </c>
      <c r="B479" s="22">
        <v>45972</v>
      </c>
      <c r="C479" s="12" t="s">
        <v>380</v>
      </c>
      <c r="D479" s="12">
        <v>2</v>
      </c>
      <c r="E479" s="11" t="str">
        <f>_xlfn.XLOOKUP(A479,Employee_Master!A:A,Employee_Master!E:E,"Not Found")</f>
        <v>Not Found</v>
      </c>
      <c r="F479" s="16" t="s">
        <v>386</v>
      </c>
    </row>
    <row r="480" spans="1:6">
      <c r="A480" s="13">
        <v>479</v>
      </c>
      <c r="B480" s="21">
        <v>46270</v>
      </c>
      <c r="C480" s="11" t="s">
        <v>384</v>
      </c>
      <c r="D480" s="11">
        <v>3</v>
      </c>
      <c r="E480" s="11" t="str">
        <f>_xlfn.XLOOKUP(A480,Employee_Master!A:A,Employee_Master!E:E,"Not Found")</f>
        <v>Not Found</v>
      </c>
      <c r="F480" s="15" t="s">
        <v>381</v>
      </c>
    </row>
    <row r="481" spans="1:6">
      <c r="A481" s="14">
        <v>480</v>
      </c>
      <c r="B481" s="22">
        <v>46154</v>
      </c>
      <c r="C481" s="12" t="s">
        <v>382</v>
      </c>
      <c r="D481" s="12">
        <v>4</v>
      </c>
      <c r="E481" s="11" t="str">
        <f>_xlfn.XLOOKUP(A481,Employee_Master!A:A,Employee_Master!E:E,"Not Found")</f>
        <v>Not Found</v>
      </c>
      <c r="F481" s="16" t="s">
        <v>381</v>
      </c>
    </row>
    <row r="482" spans="1:6">
      <c r="A482" s="13">
        <v>481</v>
      </c>
      <c r="B482" s="21">
        <v>46143</v>
      </c>
      <c r="C482" s="11" t="s">
        <v>382</v>
      </c>
      <c r="D482" s="11">
        <v>1</v>
      </c>
      <c r="E482" s="11" t="str">
        <f>_xlfn.XLOOKUP(A482,Employee_Master!A:A,Employee_Master!E:E,"Not Found")</f>
        <v>Not Found</v>
      </c>
      <c r="F482" s="15" t="s">
        <v>381</v>
      </c>
    </row>
    <row r="483" spans="1:6">
      <c r="A483" s="14">
        <v>482</v>
      </c>
      <c r="B483" s="22">
        <v>45991</v>
      </c>
      <c r="C483" s="12" t="s">
        <v>383</v>
      </c>
      <c r="D483" s="12">
        <v>2</v>
      </c>
      <c r="E483" s="11" t="str">
        <f>_xlfn.XLOOKUP(A483,Employee_Master!A:A,Employee_Master!E:E,"Not Found")</f>
        <v>Not Found</v>
      </c>
      <c r="F483" s="16" t="s">
        <v>385</v>
      </c>
    </row>
    <row r="484" spans="1:6">
      <c r="A484" s="13">
        <v>483</v>
      </c>
      <c r="B484" s="21">
        <v>46182</v>
      </c>
      <c r="C484" s="11" t="s">
        <v>382</v>
      </c>
      <c r="D484" s="11">
        <v>2</v>
      </c>
      <c r="E484" s="11" t="str">
        <f>_xlfn.XLOOKUP(A484,Employee_Master!A:A,Employee_Master!E:E,"Not Found")</f>
        <v>Not Found</v>
      </c>
      <c r="F484" s="15" t="s">
        <v>385</v>
      </c>
    </row>
    <row r="485" spans="1:6">
      <c r="A485" s="14">
        <v>484</v>
      </c>
      <c r="B485" s="22">
        <v>46051</v>
      </c>
      <c r="C485" s="12" t="s">
        <v>383</v>
      </c>
      <c r="D485" s="12">
        <v>2</v>
      </c>
      <c r="E485" s="11" t="str">
        <f>_xlfn.XLOOKUP(A485,Employee_Master!A:A,Employee_Master!E:E,"Not Found")</f>
        <v>Not Found</v>
      </c>
      <c r="F485" s="16" t="s">
        <v>386</v>
      </c>
    </row>
    <row r="486" spans="1:6">
      <c r="A486" s="13">
        <v>485</v>
      </c>
      <c r="B486" s="21">
        <v>46015</v>
      </c>
      <c r="C486" s="11" t="s">
        <v>383</v>
      </c>
      <c r="D486" s="11">
        <v>2</v>
      </c>
      <c r="E486" s="11" t="str">
        <f>_xlfn.XLOOKUP(A486,Employee_Master!A:A,Employee_Master!E:E,"Not Found")</f>
        <v>Not Found</v>
      </c>
      <c r="F486" s="15" t="s">
        <v>386</v>
      </c>
    </row>
    <row r="487" spans="1:6">
      <c r="A487" s="14">
        <v>486</v>
      </c>
      <c r="B487" s="22">
        <v>46098</v>
      </c>
      <c r="C487" s="12" t="s">
        <v>382</v>
      </c>
      <c r="D487" s="12">
        <v>1</v>
      </c>
      <c r="E487" s="11" t="str">
        <f>_xlfn.XLOOKUP(A487,Employee_Master!A:A,Employee_Master!E:E,"Not Found")</f>
        <v>Not Found</v>
      </c>
      <c r="F487" s="16" t="s">
        <v>381</v>
      </c>
    </row>
    <row r="488" spans="1:6">
      <c r="A488" s="13">
        <v>487</v>
      </c>
      <c r="B488" s="21">
        <v>46207</v>
      </c>
      <c r="C488" s="11" t="s">
        <v>382</v>
      </c>
      <c r="D488" s="11">
        <v>4</v>
      </c>
      <c r="E488" s="11" t="str">
        <f>_xlfn.XLOOKUP(A488,Employee_Master!A:A,Employee_Master!E:E,"Not Found")</f>
        <v>Not Found</v>
      </c>
      <c r="F488" s="15" t="s">
        <v>381</v>
      </c>
    </row>
    <row r="489" spans="1:6">
      <c r="A489" s="14">
        <v>488</v>
      </c>
      <c r="B489" s="22">
        <v>45957</v>
      </c>
      <c r="C489" s="12" t="s">
        <v>384</v>
      </c>
      <c r="D489" s="12">
        <v>4</v>
      </c>
      <c r="E489" s="11" t="str">
        <f>_xlfn.XLOOKUP(A489,Employee_Master!A:A,Employee_Master!E:E,"Not Found")</f>
        <v>Not Found</v>
      </c>
      <c r="F489" s="16" t="s">
        <v>381</v>
      </c>
    </row>
    <row r="490" spans="1:6">
      <c r="A490" s="13">
        <v>489</v>
      </c>
      <c r="B490" s="21">
        <v>46080</v>
      </c>
      <c r="C490" s="11" t="s">
        <v>383</v>
      </c>
      <c r="D490" s="11">
        <v>3</v>
      </c>
      <c r="E490" s="11" t="str">
        <f>_xlfn.XLOOKUP(A490,Employee_Master!A:A,Employee_Master!E:E,"Not Found")</f>
        <v>Not Found</v>
      </c>
      <c r="F490" s="15" t="s">
        <v>386</v>
      </c>
    </row>
    <row r="491" spans="1:6">
      <c r="A491" s="14">
        <v>490</v>
      </c>
      <c r="B491" s="22">
        <v>46089</v>
      </c>
      <c r="C491" s="12" t="s">
        <v>383</v>
      </c>
      <c r="D491" s="12">
        <v>1</v>
      </c>
      <c r="E491" s="11" t="str">
        <f>_xlfn.XLOOKUP(A491,Employee_Master!A:A,Employee_Master!E:E,"Not Found")</f>
        <v>Not Found</v>
      </c>
      <c r="F491" s="16" t="s">
        <v>381</v>
      </c>
    </row>
    <row r="492" spans="1:6">
      <c r="A492" s="13">
        <v>491</v>
      </c>
      <c r="B492" s="21">
        <v>45973</v>
      </c>
      <c r="C492" s="11" t="s">
        <v>384</v>
      </c>
      <c r="D492" s="11">
        <v>1</v>
      </c>
      <c r="E492" s="11" t="str">
        <f>_xlfn.XLOOKUP(A492,Employee_Master!A:A,Employee_Master!E:E,"Not Found")</f>
        <v>Not Found</v>
      </c>
      <c r="F492" s="15" t="s">
        <v>381</v>
      </c>
    </row>
    <row r="493" spans="1:6">
      <c r="A493" s="14">
        <v>492</v>
      </c>
      <c r="B493" s="22">
        <v>46018</v>
      </c>
      <c r="C493" s="12" t="s">
        <v>382</v>
      </c>
      <c r="D493" s="12">
        <v>4</v>
      </c>
      <c r="E493" s="11" t="str">
        <f>_xlfn.XLOOKUP(A493,Employee_Master!A:A,Employee_Master!E:E,"Not Found")</f>
        <v>Not Found</v>
      </c>
      <c r="F493" s="16" t="s">
        <v>381</v>
      </c>
    </row>
    <row r="494" spans="1:6">
      <c r="A494" s="13">
        <v>493</v>
      </c>
      <c r="B494" s="21">
        <v>46067</v>
      </c>
      <c r="C494" s="11" t="s">
        <v>383</v>
      </c>
      <c r="D494" s="11">
        <v>1</v>
      </c>
      <c r="E494" s="11" t="str">
        <f>_xlfn.XLOOKUP(A494,Employee_Master!A:A,Employee_Master!E:E,"Not Found")</f>
        <v>Not Found</v>
      </c>
      <c r="F494" s="15" t="s">
        <v>386</v>
      </c>
    </row>
    <row r="495" spans="1:6">
      <c r="A495" s="14">
        <v>494</v>
      </c>
      <c r="B495" s="22">
        <v>46076</v>
      </c>
      <c r="C495" s="12" t="s">
        <v>380</v>
      </c>
      <c r="D495" s="12">
        <v>1</v>
      </c>
      <c r="E495" s="11" t="str">
        <f>_xlfn.XLOOKUP(A495,Employee_Master!A:A,Employee_Master!E:E,"Not Found")</f>
        <v>Not Found</v>
      </c>
      <c r="F495" s="16" t="s">
        <v>385</v>
      </c>
    </row>
    <row r="496" spans="1:6">
      <c r="A496" s="13">
        <v>495</v>
      </c>
      <c r="B496" s="21">
        <v>46064</v>
      </c>
      <c r="C496" s="11" t="s">
        <v>380</v>
      </c>
      <c r="D496" s="11">
        <v>1</v>
      </c>
      <c r="E496" s="11" t="str">
        <f>_xlfn.XLOOKUP(A496,Employee_Master!A:A,Employee_Master!E:E,"Not Found")</f>
        <v>Not Found</v>
      </c>
      <c r="F496" s="15" t="s">
        <v>385</v>
      </c>
    </row>
    <row r="497" spans="1:6">
      <c r="A497" s="14">
        <v>496</v>
      </c>
      <c r="B497" s="22">
        <v>46241</v>
      </c>
      <c r="C497" s="12" t="s">
        <v>380</v>
      </c>
      <c r="D497" s="12">
        <v>3</v>
      </c>
      <c r="E497" s="11" t="str">
        <f>_xlfn.XLOOKUP(A497,Employee_Master!A:A,Employee_Master!E:E,"Not Found")</f>
        <v>Not Found</v>
      </c>
      <c r="F497" s="16" t="s">
        <v>381</v>
      </c>
    </row>
    <row r="498" spans="1:6">
      <c r="A498" s="13">
        <v>497</v>
      </c>
      <c r="B498" s="21">
        <v>46132</v>
      </c>
      <c r="C498" s="11" t="s">
        <v>383</v>
      </c>
      <c r="D498" s="11">
        <v>2</v>
      </c>
      <c r="E498" s="11" t="str">
        <f>_xlfn.XLOOKUP(A498,Employee_Master!A:A,Employee_Master!E:E,"Not Found")</f>
        <v>Not Found</v>
      </c>
      <c r="F498" s="15" t="s">
        <v>385</v>
      </c>
    </row>
    <row r="499" spans="1:6">
      <c r="A499" s="14">
        <v>498</v>
      </c>
      <c r="B499" s="22">
        <v>46162</v>
      </c>
      <c r="C499" s="12" t="s">
        <v>383</v>
      </c>
      <c r="D499" s="12">
        <v>3</v>
      </c>
      <c r="E499" s="11" t="str">
        <f>_xlfn.XLOOKUP(A499,Employee_Master!A:A,Employee_Master!E:E,"Not Found")</f>
        <v>Not Found</v>
      </c>
      <c r="F499" s="16" t="s">
        <v>381</v>
      </c>
    </row>
    <row r="500" spans="1:6">
      <c r="A500" s="13">
        <v>499</v>
      </c>
      <c r="B500" s="21">
        <v>46145</v>
      </c>
      <c r="C500" s="11" t="s">
        <v>380</v>
      </c>
      <c r="D500" s="11">
        <v>3</v>
      </c>
      <c r="E500" s="11" t="str">
        <f>_xlfn.XLOOKUP(A500,Employee_Master!A:A,Employee_Master!E:E,"Not Found")</f>
        <v>Not Found</v>
      </c>
      <c r="F500" s="15" t="s">
        <v>381</v>
      </c>
    </row>
    <row r="501" spans="1:6">
      <c r="A501" s="14">
        <v>500</v>
      </c>
      <c r="B501" s="22">
        <v>46038</v>
      </c>
      <c r="C501" s="12" t="s">
        <v>380</v>
      </c>
      <c r="D501" s="12">
        <v>4</v>
      </c>
      <c r="E501" s="11" t="str">
        <f>_xlfn.XLOOKUP(A501,Employee_Master!A:A,Employee_Master!E:E,"Not Found")</f>
        <v>Not Found</v>
      </c>
      <c r="F501" s="16" t="s">
        <v>381</v>
      </c>
    </row>
    <row r="502" spans="1:6">
      <c r="A502" s="13">
        <v>501</v>
      </c>
      <c r="B502" s="21">
        <v>46291</v>
      </c>
      <c r="C502" s="11" t="s">
        <v>380</v>
      </c>
      <c r="D502" s="11">
        <v>1</v>
      </c>
      <c r="E502" s="11" t="str">
        <f>_xlfn.XLOOKUP(A502,Employee_Master!A:A,Employee_Master!E:E,"Not Found")</f>
        <v>Not Found</v>
      </c>
      <c r="F502" s="15" t="s">
        <v>381</v>
      </c>
    </row>
    <row r="503" spans="1:6">
      <c r="A503" s="14">
        <v>502</v>
      </c>
      <c r="B503" s="22">
        <v>45991</v>
      </c>
      <c r="C503" s="12" t="s">
        <v>380</v>
      </c>
      <c r="D503" s="12">
        <v>1</v>
      </c>
      <c r="E503" s="11" t="str">
        <f>_xlfn.XLOOKUP(A503,Employee_Master!A:A,Employee_Master!E:E,"Not Found")</f>
        <v>Not Found</v>
      </c>
      <c r="F503" s="16" t="s">
        <v>385</v>
      </c>
    </row>
    <row r="504" spans="1:6">
      <c r="A504" s="13">
        <v>503</v>
      </c>
      <c r="B504" s="21">
        <v>45995</v>
      </c>
      <c r="C504" s="11" t="s">
        <v>380</v>
      </c>
      <c r="D504" s="11">
        <v>1</v>
      </c>
      <c r="E504" s="11" t="str">
        <f>_xlfn.XLOOKUP(A504,Employee_Master!A:A,Employee_Master!E:E,"Not Found")</f>
        <v>Not Found</v>
      </c>
      <c r="F504" s="15" t="s">
        <v>381</v>
      </c>
    </row>
    <row r="505" spans="1:6">
      <c r="A505" s="14">
        <v>504</v>
      </c>
      <c r="B505" s="22">
        <v>46101</v>
      </c>
      <c r="C505" s="12" t="s">
        <v>383</v>
      </c>
      <c r="D505" s="12">
        <v>2</v>
      </c>
      <c r="E505" s="11" t="str">
        <f>_xlfn.XLOOKUP(A505,Employee_Master!A:A,Employee_Master!E:E,"Not Found")</f>
        <v>Not Found</v>
      </c>
      <c r="F505" s="16" t="s">
        <v>385</v>
      </c>
    </row>
    <row r="506" spans="1:6">
      <c r="A506" s="13">
        <v>505</v>
      </c>
      <c r="B506" s="21">
        <v>46153</v>
      </c>
      <c r="C506" s="11" t="s">
        <v>382</v>
      </c>
      <c r="D506" s="11">
        <v>1</v>
      </c>
      <c r="E506" s="11" t="str">
        <f>_xlfn.XLOOKUP(A506,Employee_Master!A:A,Employee_Master!E:E,"Not Found")</f>
        <v>Not Found</v>
      </c>
      <c r="F506" s="15" t="s">
        <v>386</v>
      </c>
    </row>
    <row r="507" spans="1:6">
      <c r="A507" s="14">
        <v>506</v>
      </c>
      <c r="B507" s="22">
        <v>46085</v>
      </c>
      <c r="C507" s="12" t="s">
        <v>380</v>
      </c>
      <c r="D507" s="12">
        <v>4</v>
      </c>
      <c r="E507" s="11" t="str">
        <f>_xlfn.XLOOKUP(A507,Employee_Master!A:A,Employee_Master!E:E,"Not Found")</f>
        <v>Not Found</v>
      </c>
      <c r="F507" s="16" t="s">
        <v>381</v>
      </c>
    </row>
    <row r="508" spans="1:6">
      <c r="A508" s="13">
        <v>507</v>
      </c>
      <c r="B508" s="21">
        <v>46117</v>
      </c>
      <c r="C508" s="11" t="s">
        <v>380</v>
      </c>
      <c r="D508" s="11">
        <v>4</v>
      </c>
      <c r="E508" s="11" t="str">
        <f>_xlfn.XLOOKUP(A508,Employee_Master!A:A,Employee_Master!E:E,"Not Found")</f>
        <v>Not Found</v>
      </c>
      <c r="F508" s="15" t="s">
        <v>381</v>
      </c>
    </row>
    <row r="509" spans="1:6">
      <c r="A509" s="14">
        <v>508</v>
      </c>
      <c r="B509" s="22">
        <v>46107</v>
      </c>
      <c r="C509" s="12" t="s">
        <v>384</v>
      </c>
      <c r="D509" s="12">
        <v>1</v>
      </c>
      <c r="E509" s="11" t="str">
        <f>_xlfn.XLOOKUP(A509,Employee_Master!A:A,Employee_Master!E:E,"Not Found")</f>
        <v>Not Found</v>
      </c>
      <c r="F509" s="16" t="s">
        <v>381</v>
      </c>
    </row>
    <row r="510" spans="1:6">
      <c r="A510" s="13">
        <v>509</v>
      </c>
      <c r="B510" s="21">
        <v>46060</v>
      </c>
      <c r="C510" s="11" t="s">
        <v>382</v>
      </c>
      <c r="D510" s="11">
        <v>2</v>
      </c>
      <c r="E510" s="11" t="str">
        <f>_xlfn.XLOOKUP(A510,Employee_Master!A:A,Employee_Master!E:E,"Not Found")</f>
        <v>Not Found</v>
      </c>
      <c r="F510" s="15" t="s">
        <v>385</v>
      </c>
    </row>
    <row r="511" spans="1:6">
      <c r="A511" s="14">
        <v>510</v>
      </c>
      <c r="B511" s="22">
        <v>46268</v>
      </c>
      <c r="C511" s="12" t="s">
        <v>382</v>
      </c>
      <c r="D511" s="12">
        <v>3</v>
      </c>
      <c r="E511" s="11" t="str">
        <f>_xlfn.XLOOKUP(A511,Employee_Master!A:A,Employee_Master!E:E,"Not Found")</f>
        <v>Not Found</v>
      </c>
      <c r="F511" s="16" t="s">
        <v>385</v>
      </c>
    </row>
    <row r="512" spans="1:6">
      <c r="A512" s="13">
        <v>511</v>
      </c>
      <c r="B512" s="21">
        <v>45999</v>
      </c>
      <c r="C512" s="11" t="s">
        <v>383</v>
      </c>
      <c r="D512" s="11">
        <v>4</v>
      </c>
      <c r="E512" s="11" t="str">
        <f>_xlfn.XLOOKUP(A512,Employee_Master!A:A,Employee_Master!E:E,"Not Found")</f>
        <v>Not Found</v>
      </c>
      <c r="F512" s="15" t="s">
        <v>381</v>
      </c>
    </row>
    <row r="513" spans="1:6">
      <c r="A513" s="14">
        <v>512</v>
      </c>
      <c r="B513" s="22">
        <v>46221</v>
      </c>
      <c r="C513" s="12" t="s">
        <v>380</v>
      </c>
      <c r="D513" s="12">
        <v>1</v>
      </c>
      <c r="E513" s="11" t="str">
        <f>_xlfn.XLOOKUP(A513,Employee_Master!A:A,Employee_Master!E:E,"Not Found")</f>
        <v>Not Found</v>
      </c>
      <c r="F513" s="16" t="s">
        <v>381</v>
      </c>
    </row>
    <row r="514" spans="1:6">
      <c r="A514" s="13">
        <v>513</v>
      </c>
      <c r="B514" s="21">
        <v>46143</v>
      </c>
      <c r="C514" s="11" t="s">
        <v>384</v>
      </c>
      <c r="D514" s="11">
        <v>4</v>
      </c>
      <c r="E514" s="11" t="str">
        <f>_xlfn.XLOOKUP(A514,Employee_Master!A:A,Employee_Master!E:E,"Not Found")</f>
        <v>Not Found</v>
      </c>
      <c r="F514" s="15" t="s">
        <v>381</v>
      </c>
    </row>
    <row r="515" spans="1:6">
      <c r="A515" s="14">
        <v>514</v>
      </c>
      <c r="B515" s="22">
        <v>46006</v>
      </c>
      <c r="C515" s="12" t="s">
        <v>384</v>
      </c>
      <c r="D515" s="12">
        <v>2</v>
      </c>
      <c r="E515" s="11" t="str">
        <f>_xlfn.XLOOKUP(A515,Employee_Master!A:A,Employee_Master!E:E,"Not Found")</f>
        <v>Not Found</v>
      </c>
      <c r="F515" s="16" t="s">
        <v>381</v>
      </c>
    </row>
    <row r="516" spans="1:6">
      <c r="A516" s="13">
        <v>515</v>
      </c>
      <c r="B516" s="21">
        <v>46240</v>
      </c>
      <c r="C516" s="11" t="s">
        <v>382</v>
      </c>
      <c r="D516" s="11">
        <v>3</v>
      </c>
      <c r="E516" s="11" t="str">
        <f>_xlfn.XLOOKUP(A516,Employee_Master!A:A,Employee_Master!E:E,"Not Found")</f>
        <v>Not Found</v>
      </c>
      <c r="F516" s="15" t="s">
        <v>381</v>
      </c>
    </row>
    <row r="517" spans="1:6">
      <c r="A517" s="14">
        <v>516</v>
      </c>
      <c r="B517" s="22">
        <v>46023</v>
      </c>
      <c r="C517" s="12" t="s">
        <v>382</v>
      </c>
      <c r="D517" s="12">
        <v>1</v>
      </c>
      <c r="E517" s="11" t="str">
        <f>_xlfn.XLOOKUP(A517,Employee_Master!A:A,Employee_Master!E:E,"Not Found")</f>
        <v>Not Found</v>
      </c>
      <c r="F517" s="16" t="s">
        <v>381</v>
      </c>
    </row>
    <row r="518" spans="1:6">
      <c r="A518" s="13">
        <v>517</v>
      </c>
      <c r="B518" s="21">
        <v>46254</v>
      </c>
      <c r="C518" s="11" t="s">
        <v>383</v>
      </c>
      <c r="D518" s="11">
        <v>3</v>
      </c>
      <c r="E518" s="11" t="str">
        <f>_xlfn.XLOOKUP(A518,Employee_Master!A:A,Employee_Master!E:E,"Not Found")</f>
        <v>Not Found</v>
      </c>
      <c r="F518" s="15" t="s">
        <v>386</v>
      </c>
    </row>
    <row r="519" spans="1:6">
      <c r="A519" s="14">
        <v>518</v>
      </c>
      <c r="B519" s="22">
        <v>46121</v>
      </c>
      <c r="C519" s="12" t="s">
        <v>383</v>
      </c>
      <c r="D519" s="12">
        <v>1</v>
      </c>
      <c r="E519" s="11" t="str">
        <f>_xlfn.XLOOKUP(A519,Employee_Master!A:A,Employee_Master!E:E,"Not Found")</f>
        <v>Not Found</v>
      </c>
      <c r="F519" s="16" t="s">
        <v>381</v>
      </c>
    </row>
    <row r="520" spans="1:6">
      <c r="A520" s="13">
        <v>519</v>
      </c>
      <c r="B520" s="21">
        <v>46187</v>
      </c>
      <c r="C520" s="11" t="s">
        <v>380</v>
      </c>
      <c r="D520" s="11">
        <v>2</v>
      </c>
      <c r="E520" s="11" t="str">
        <f>_xlfn.XLOOKUP(A520,Employee_Master!A:A,Employee_Master!E:E,"Not Found")</f>
        <v>Not Found</v>
      </c>
      <c r="F520" s="15" t="s">
        <v>381</v>
      </c>
    </row>
    <row r="521" spans="1:6">
      <c r="A521" s="14">
        <v>520</v>
      </c>
      <c r="B521" s="22">
        <v>46101</v>
      </c>
      <c r="C521" s="12" t="s">
        <v>383</v>
      </c>
      <c r="D521" s="12">
        <v>4</v>
      </c>
      <c r="E521" s="11" t="str">
        <f>_xlfn.XLOOKUP(A521,Employee_Master!A:A,Employee_Master!E:E,"Not Found")</f>
        <v>Not Found</v>
      </c>
      <c r="F521" s="16" t="s">
        <v>386</v>
      </c>
    </row>
    <row r="522" spans="1:6">
      <c r="A522" s="13">
        <v>521</v>
      </c>
      <c r="B522" s="21">
        <v>46233</v>
      </c>
      <c r="C522" s="11" t="s">
        <v>380</v>
      </c>
      <c r="D522" s="11">
        <v>4</v>
      </c>
      <c r="E522" s="11" t="str">
        <f>_xlfn.XLOOKUP(A522,Employee_Master!A:A,Employee_Master!E:E,"Not Found")</f>
        <v>Not Found</v>
      </c>
      <c r="F522" s="15" t="s">
        <v>381</v>
      </c>
    </row>
    <row r="523" spans="1:6">
      <c r="A523" s="14">
        <v>522</v>
      </c>
      <c r="B523" s="22">
        <v>46233</v>
      </c>
      <c r="C523" s="12" t="s">
        <v>383</v>
      </c>
      <c r="D523" s="12">
        <v>4</v>
      </c>
      <c r="E523" s="11" t="str">
        <f>_xlfn.XLOOKUP(A523,Employee_Master!A:A,Employee_Master!E:E,"Not Found")</f>
        <v>Not Found</v>
      </c>
      <c r="F523" s="16" t="s">
        <v>381</v>
      </c>
    </row>
    <row r="524" spans="1:6">
      <c r="A524" s="13">
        <v>523</v>
      </c>
      <c r="B524" s="21">
        <v>46076</v>
      </c>
      <c r="C524" s="11" t="s">
        <v>383</v>
      </c>
      <c r="D524" s="11">
        <v>1</v>
      </c>
      <c r="E524" s="11" t="str">
        <f>_xlfn.XLOOKUP(A524,Employee_Master!A:A,Employee_Master!E:E,"Not Found")</f>
        <v>Not Found</v>
      </c>
      <c r="F524" s="15" t="s">
        <v>385</v>
      </c>
    </row>
    <row r="525" spans="1:6">
      <c r="A525" s="14">
        <v>524</v>
      </c>
      <c r="B525" s="22">
        <v>46232</v>
      </c>
      <c r="C525" s="12" t="s">
        <v>384</v>
      </c>
      <c r="D525" s="12">
        <v>4</v>
      </c>
      <c r="E525" s="11" t="str">
        <f>_xlfn.XLOOKUP(A525,Employee_Master!A:A,Employee_Master!E:E,"Not Found")</f>
        <v>Not Found</v>
      </c>
      <c r="F525" s="16" t="s">
        <v>385</v>
      </c>
    </row>
    <row r="526" spans="1:6">
      <c r="A526" s="13">
        <v>525</v>
      </c>
      <c r="B526" s="21">
        <v>46242</v>
      </c>
      <c r="C526" s="11" t="s">
        <v>380</v>
      </c>
      <c r="D526" s="11">
        <v>3</v>
      </c>
      <c r="E526" s="11" t="str">
        <f>_xlfn.XLOOKUP(A526,Employee_Master!A:A,Employee_Master!E:E,"Not Found")</f>
        <v>Not Found</v>
      </c>
      <c r="F526" s="15" t="s">
        <v>386</v>
      </c>
    </row>
    <row r="527" spans="1:6">
      <c r="A527" s="14">
        <v>526</v>
      </c>
      <c r="B527" s="22">
        <v>46045</v>
      </c>
      <c r="C527" s="12" t="s">
        <v>382</v>
      </c>
      <c r="D527" s="12">
        <v>3</v>
      </c>
      <c r="E527" s="11" t="str">
        <f>_xlfn.XLOOKUP(A527,Employee_Master!A:A,Employee_Master!E:E,"Not Found")</f>
        <v>Not Found</v>
      </c>
      <c r="F527" s="16" t="s">
        <v>381</v>
      </c>
    </row>
    <row r="528" spans="1:6">
      <c r="A528" s="13">
        <v>527</v>
      </c>
      <c r="B528" s="21">
        <v>46264</v>
      </c>
      <c r="C528" s="11" t="s">
        <v>384</v>
      </c>
      <c r="D528" s="11">
        <v>2</v>
      </c>
      <c r="E528" s="11" t="str">
        <f>_xlfn.XLOOKUP(A528,Employee_Master!A:A,Employee_Master!E:E,"Not Found")</f>
        <v>Not Found</v>
      </c>
      <c r="F528" s="15" t="s">
        <v>386</v>
      </c>
    </row>
    <row r="529" spans="1:6">
      <c r="A529" s="14">
        <v>528</v>
      </c>
      <c r="B529" s="22">
        <v>46133</v>
      </c>
      <c r="C529" s="12" t="s">
        <v>383</v>
      </c>
      <c r="D529" s="12">
        <v>1</v>
      </c>
      <c r="E529" s="11" t="str">
        <f>_xlfn.XLOOKUP(A529,Employee_Master!A:A,Employee_Master!E:E,"Not Found")</f>
        <v>Not Found</v>
      </c>
      <c r="F529" s="16" t="s">
        <v>386</v>
      </c>
    </row>
    <row r="530" spans="1:6">
      <c r="A530" s="13">
        <v>529</v>
      </c>
      <c r="B530" s="21">
        <v>46048</v>
      </c>
      <c r="C530" s="11" t="s">
        <v>384</v>
      </c>
      <c r="D530" s="11">
        <v>2</v>
      </c>
      <c r="E530" s="11" t="str">
        <f>_xlfn.XLOOKUP(A530,Employee_Master!A:A,Employee_Master!E:E,"Not Found")</f>
        <v>Not Found</v>
      </c>
      <c r="F530" s="15" t="s">
        <v>385</v>
      </c>
    </row>
    <row r="531" spans="1:6">
      <c r="A531" s="14">
        <v>530</v>
      </c>
      <c r="B531" s="22">
        <v>46134</v>
      </c>
      <c r="C531" s="12" t="s">
        <v>384</v>
      </c>
      <c r="D531" s="12">
        <v>4</v>
      </c>
      <c r="E531" s="11" t="str">
        <f>_xlfn.XLOOKUP(A531,Employee_Master!A:A,Employee_Master!E:E,"Not Found")</f>
        <v>Not Found</v>
      </c>
      <c r="F531" s="16" t="s">
        <v>381</v>
      </c>
    </row>
    <row r="532" spans="1:6">
      <c r="A532" s="13">
        <v>531</v>
      </c>
      <c r="B532" s="21">
        <v>46205</v>
      </c>
      <c r="C532" s="11" t="s">
        <v>382</v>
      </c>
      <c r="D532" s="11">
        <v>1</v>
      </c>
      <c r="E532" s="11" t="str">
        <f>_xlfn.XLOOKUP(A532,Employee_Master!A:A,Employee_Master!E:E,"Not Found")</f>
        <v>Not Found</v>
      </c>
      <c r="F532" s="15" t="s">
        <v>386</v>
      </c>
    </row>
    <row r="533" spans="1:6">
      <c r="A533" s="14">
        <v>532</v>
      </c>
      <c r="B533" s="22">
        <v>46258</v>
      </c>
      <c r="C533" s="12" t="s">
        <v>383</v>
      </c>
      <c r="D533" s="12">
        <v>1</v>
      </c>
      <c r="E533" s="11" t="str">
        <f>_xlfn.XLOOKUP(A533,Employee_Master!A:A,Employee_Master!E:E,"Not Found")</f>
        <v>Not Found</v>
      </c>
      <c r="F533" s="16" t="s">
        <v>385</v>
      </c>
    </row>
    <row r="534" spans="1:6">
      <c r="A534" s="13">
        <v>533</v>
      </c>
      <c r="B534" s="21">
        <v>46040</v>
      </c>
      <c r="C534" s="11" t="s">
        <v>383</v>
      </c>
      <c r="D534" s="11">
        <v>1</v>
      </c>
      <c r="E534" s="11" t="str">
        <f>_xlfn.XLOOKUP(A534,Employee_Master!A:A,Employee_Master!E:E,"Not Found")</f>
        <v>Not Found</v>
      </c>
      <c r="F534" s="15" t="s">
        <v>381</v>
      </c>
    </row>
    <row r="535" spans="1:6">
      <c r="A535" s="14">
        <v>534</v>
      </c>
      <c r="B535" s="22">
        <v>46130</v>
      </c>
      <c r="C535" s="12" t="s">
        <v>383</v>
      </c>
      <c r="D535" s="12">
        <v>2</v>
      </c>
      <c r="E535" s="11" t="str">
        <f>_xlfn.XLOOKUP(A535,Employee_Master!A:A,Employee_Master!E:E,"Not Found")</f>
        <v>Not Found</v>
      </c>
      <c r="F535" s="16" t="s">
        <v>386</v>
      </c>
    </row>
    <row r="536" spans="1:6">
      <c r="A536" s="13">
        <v>535</v>
      </c>
      <c r="B536" s="21">
        <v>46266</v>
      </c>
      <c r="C536" s="11" t="s">
        <v>380</v>
      </c>
      <c r="D536" s="11">
        <v>1</v>
      </c>
      <c r="E536" s="11" t="str">
        <f>_xlfn.XLOOKUP(A536,Employee_Master!A:A,Employee_Master!E:E,"Not Found")</f>
        <v>Not Found</v>
      </c>
      <c r="F536" s="15" t="s">
        <v>385</v>
      </c>
    </row>
    <row r="537" spans="1:6">
      <c r="A537" s="14">
        <v>536</v>
      </c>
      <c r="B537" s="22">
        <v>45971</v>
      </c>
      <c r="C537" s="12" t="s">
        <v>383</v>
      </c>
      <c r="D537" s="12">
        <v>2</v>
      </c>
      <c r="E537" s="11" t="str">
        <f>_xlfn.XLOOKUP(A537,Employee_Master!A:A,Employee_Master!E:E,"Not Found")</f>
        <v>Not Found</v>
      </c>
      <c r="F537" s="16" t="s">
        <v>385</v>
      </c>
    </row>
    <row r="538" spans="1:6">
      <c r="A538" s="13">
        <v>537</v>
      </c>
      <c r="B538" s="21">
        <v>46063</v>
      </c>
      <c r="C538" s="11" t="s">
        <v>380</v>
      </c>
      <c r="D538" s="11">
        <v>3</v>
      </c>
      <c r="E538" s="11" t="str">
        <f>_xlfn.XLOOKUP(A538,Employee_Master!A:A,Employee_Master!E:E,"Not Found")</f>
        <v>Not Found</v>
      </c>
      <c r="F538" s="15" t="s">
        <v>381</v>
      </c>
    </row>
    <row r="539" spans="1:6">
      <c r="A539" s="14">
        <v>538</v>
      </c>
      <c r="B539" s="22">
        <v>46013</v>
      </c>
      <c r="C539" s="12" t="s">
        <v>382</v>
      </c>
      <c r="D539" s="12">
        <v>2</v>
      </c>
      <c r="E539" s="11" t="str">
        <f>_xlfn.XLOOKUP(A539,Employee_Master!A:A,Employee_Master!E:E,"Not Found")</f>
        <v>Not Found</v>
      </c>
      <c r="F539" s="16" t="s">
        <v>381</v>
      </c>
    </row>
    <row r="540" spans="1:6">
      <c r="A540" s="13">
        <v>539</v>
      </c>
      <c r="B540" s="21">
        <v>46116</v>
      </c>
      <c r="C540" s="11" t="s">
        <v>384</v>
      </c>
      <c r="D540" s="11">
        <v>3</v>
      </c>
      <c r="E540" s="11" t="str">
        <f>_xlfn.XLOOKUP(A540,Employee_Master!A:A,Employee_Master!E:E,"Not Found")</f>
        <v>Not Found</v>
      </c>
      <c r="F540" s="15" t="s">
        <v>381</v>
      </c>
    </row>
    <row r="541" spans="1:6">
      <c r="A541" s="14">
        <v>540</v>
      </c>
      <c r="B541" s="22">
        <v>46208</v>
      </c>
      <c r="C541" s="12" t="s">
        <v>384</v>
      </c>
      <c r="D541" s="12">
        <v>1</v>
      </c>
      <c r="E541" s="11" t="str">
        <f>_xlfn.XLOOKUP(A541,Employee_Master!A:A,Employee_Master!E:E,"Not Found")</f>
        <v>Not Found</v>
      </c>
      <c r="F541" s="16" t="s">
        <v>381</v>
      </c>
    </row>
    <row r="542" spans="1:6">
      <c r="A542" s="13">
        <v>541</v>
      </c>
      <c r="B542" s="21">
        <v>45964</v>
      </c>
      <c r="C542" s="11" t="s">
        <v>383</v>
      </c>
      <c r="D542" s="11">
        <v>2</v>
      </c>
      <c r="E542" s="11" t="str">
        <f>_xlfn.XLOOKUP(A542,Employee_Master!A:A,Employee_Master!E:E,"Not Found")</f>
        <v>Not Found</v>
      </c>
      <c r="F542" s="15" t="s">
        <v>381</v>
      </c>
    </row>
    <row r="543" spans="1:6">
      <c r="A543" s="14">
        <v>542</v>
      </c>
      <c r="B543" s="22">
        <v>46103</v>
      </c>
      <c r="C543" s="12" t="s">
        <v>384</v>
      </c>
      <c r="D543" s="12">
        <v>4</v>
      </c>
      <c r="E543" s="11" t="str">
        <f>_xlfn.XLOOKUP(A543,Employee_Master!A:A,Employee_Master!E:E,"Not Found")</f>
        <v>Not Found</v>
      </c>
      <c r="F543" s="16" t="s">
        <v>386</v>
      </c>
    </row>
    <row r="544" spans="1:6">
      <c r="A544" s="13">
        <v>543</v>
      </c>
      <c r="B544" s="21">
        <v>45993</v>
      </c>
      <c r="C544" s="11" t="s">
        <v>382</v>
      </c>
      <c r="D544" s="11">
        <v>3</v>
      </c>
      <c r="E544" s="11" t="str">
        <f>_xlfn.XLOOKUP(A544,Employee_Master!A:A,Employee_Master!E:E,"Not Found")</f>
        <v>Not Found</v>
      </c>
      <c r="F544" s="15" t="s">
        <v>381</v>
      </c>
    </row>
    <row r="545" spans="1:6">
      <c r="A545" s="14">
        <v>544</v>
      </c>
      <c r="B545" s="22">
        <v>46113</v>
      </c>
      <c r="C545" s="12" t="s">
        <v>384</v>
      </c>
      <c r="D545" s="12">
        <v>3</v>
      </c>
      <c r="E545" s="11" t="str">
        <f>_xlfn.XLOOKUP(A545,Employee_Master!A:A,Employee_Master!E:E,"Not Found")</f>
        <v>Not Found</v>
      </c>
      <c r="F545" s="16" t="s">
        <v>381</v>
      </c>
    </row>
    <row r="546" spans="1:6">
      <c r="A546" s="13">
        <v>545</v>
      </c>
      <c r="B546" s="21">
        <v>46027</v>
      </c>
      <c r="C546" s="11" t="s">
        <v>383</v>
      </c>
      <c r="D546" s="11">
        <v>1</v>
      </c>
      <c r="E546" s="11" t="str">
        <f>_xlfn.XLOOKUP(A546,Employee_Master!A:A,Employee_Master!E:E,"Not Found")</f>
        <v>Not Found</v>
      </c>
      <c r="F546" s="15" t="s">
        <v>386</v>
      </c>
    </row>
    <row r="547" spans="1:6">
      <c r="A547" s="14">
        <v>546</v>
      </c>
      <c r="B547" s="22">
        <v>45975</v>
      </c>
      <c r="C547" s="12" t="s">
        <v>384</v>
      </c>
      <c r="D547" s="12">
        <v>2</v>
      </c>
      <c r="E547" s="11" t="str">
        <f>_xlfn.XLOOKUP(A547,Employee_Master!A:A,Employee_Master!E:E,"Not Found")</f>
        <v>Not Found</v>
      </c>
      <c r="F547" s="16" t="s">
        <v>381</v>
      </c>
    </row>
    <row r="548" spans="1:6">
      <c r="A548" s="13">
        <v>547</v>
      </c>
      <c r="B548" s="21">
        <v>46106</v>
      </c>
      <c r="C548" s="11" t="s">
        <v>380</v>
      </c>
      <c r="D548" s="11">
        <v>2</v>
      </c>
      <c r="E548" s="11" t="str">
        <f>_xlfn.XLOOKUP(A548,Employee_Master!A:A,Employee_Master!E:E,"Not Found")</f>
        <v>Not Found</v>
      </c>
      <c r="F548" s="15" t="s">
        <v>385</v>
      </c>
    </row>
    <row r="549" spans="1:6">
      <c r="A549" s="14">
        <v>548</v>
      </c>
      <c r="B549" s="22">
        <v>45946</v>
      </c>
      <c r="C549" s="12" t="s">
        <v>383</v>
      </c>
      <c r="D549" s="12">
        <v>4</v>
      </c>
      <c r="E549" s="11" t="str">
        <f>_xlfn.XLOOKUP(A549,Employee_Master!A:A,Employee_Master!E:E,"Not Found")</f>
        <v>Not Found</v>
      </c>
      <c r="F549" s="16" t="s">
        <v>385</v>
      </c>
    </row>
    <row r="550" spans="1:6">
      <c r="A550" s="13">
        <v>549</v>
      </c>
      <c r="B550" s="21">
        <v>45984</v>
      </c>
      <c r="C550" s="11" t="s">
        <v>382</v>
      </c>
      <c r="D550" s="11">
        <v>2</v>
      </c>
      <c r="E550" s="11" t="str">
        <f>_xlfn.XLOOKUP(A550,Employee_Master!A:A,Employee_Master!E:E,"Not Found")</f>
        <v>Not Found</v>
      </c>
      <c r="F550" s="15" t="s">
        <v>381</v>
      </c>
    </row>
    <row r="551" spans="1:6">
      <c r="A551" s="14">
        <v>550</v>
      </c>
      <c r="B551" s="22">
        <v>46248</v>
      </c>
      <c r="C551" s="12" t="s">
        <v>382</v>
      </c>
      <c r="D551" s="12">
        <v>1</v>
      </c>
      <c r="E551" s="11" t="str">
        <f>_xlfn.XLOOKUP(A551,Employee_Master!A:A,Employee_Master!E:E,"Not Found")</f>
        <v>Not Found</v>
      </c>
      <c r="F551" s="16" t="s">
        <v>381</v>
      </c>
    </row>
    <row r="552" spans="1:6">
      <c r="A552" s="13">
        <v>551</v>
      </c>
      <c r="B552" s="21">
        <v>46216</v>
      </c>
      <c r="C552" s="11" t="s">
        <v>382</v>
      </c>
      <c r="D552" s="11">
        <v>4</v>
      </c>
      <c r="E552" s="11" t="str">
        <f>_xlfn.XLOOKUP(A552,Employee_Master!A:A,Employee_Master!E:E,"Not Found")</f>
        <v>Not Found</v>
      </c>
      <c r="F552" s="15" t="s">
        <v>381</v>
      </c>
    </row>
    <row r="553" spans="1:6">
      <c r="A553" s="14">
        <v>552</v>
      </c>
      <c r="B553" s="22">
        <v>46259</v>
      </c>
      <c r="C553" s="12" t="s">
        <v>383</v>
      </c>
      <c r="D553" s="12">
        <v>2</v>
      </c>
      <c r="E553" s="11" t="str">
        <f>_xlfn.XLOOKUP(A553,Employee_Master!A:A,Employee_Master!E:E,"Not Found")</f>
        <v>Not Found</v>
      </c>
      <c r="F553" s="16" t="s">
        <v>381</v>
      </c>
    </row>
    <row r="554" spans="1:6">
      <c r="A554" s="13">
        <v>553</v>
      </c>
      <c r="B554" s="21">
        <v>45949</v>
      </c>
      <c r="C554" s="11" t="s">
        <v>382</v>
      </c>
      <c r="D554" s="11">
        <v>2</v>
      </c>
      <c r="E554" s="11" t="str">
        <f>_xlfn.XLOOKUP(A554,Employee_Master!A:A,Employee_Master!E:E,"Not Found")</f>
        <v>Not Found</v>
      </c>
      <c r="F554" s="15" t="s">
        <v>381</v>
      </c>
    </row>
    <row r="555" spans="1:6">
      <c r="A555" s="14">
        <v>554</v>
      </c>
      <c r="B555" s="22">
        <v>46112</v>
      </c>
      <c r="C555" s="12" t="s">
        <v>384</v>
      </c>
      <c r="D555" s="12">
        <v>3</v>
      </c>
      <c r="E555" s="11" t="str">
        <f>_xlfn.XLOOKUP(A555,Employee_Master!A:A,Employee_Master!E:E,"Not Found")</f>
        <v>Not Found</v>
      </c>
      <c r="F555" s="16" t="s">
        <v>381</v>
      </c>
    </row>
    <row r="556" spans="1:6">
      <c r="A556" s="13">
        <v>555</v>
      </c>
      <c r="B556" s="21">
        <v>46143</v>
      </c>
      <c r="C556" s="11" t="s">
        <v>384</v>
      </c>
      <c r="D556" s="11">
        <v>3</v>
      </c>
      <c r="E556" s="11" t="str">
        <f>_xlfn.XLOOKUP(A556,Employee_Master!A:A,Employee_Master!E:E,"Not Found")</f>
        <v>Not Found</v>
      </c>
      <c r="F556" s="15" t="s">
        <v>385</v>
      </c>
    </row>
    <row r="557" spans="1:6">
      <c r="A557" s="14">
        <v>556</v>
      </c>
      <c r="B557" s="22">
        <v>45974</v>
      </c>
      <c r="C557" s="12" t="s">
        <v>380</v>
      </c>
      <c r="D557" s="12">
        <v>1</v>
      </c>
      <c r="E557" s="11" t="str">
        <f>_xlfn.XLOOKUP(A557,Employee_Master!A:A,Employee_Master!E:E,"Not Found")</f>
        <v>Not Found</v>
      </c>
      <c r="F557" s="16" t="s">
        <v>386</v>
      </c>
    </row>
    <row r="558" spans="1:6">
      <c r="A558" s="13">
        <v>557</v>
      </c>
      <c r="B558" s="21">
        <v>46197</v>
      </c>
      <c r="C558" s="11" t="s">
        <v>384</v>
      </c>
      <c r="D558" s="11">
        <v>2</v>
      </c>
      <c r="E558" s="11" t="str">
        <f>_xlfn.XLOOKUP(A558,Employee_Master!A:A,Employee_Master!E:E,"Not Found")</f>
        <v>Not Found</v>
      </c>
      <c r="F558" s="15" t="s">
        <v>385</v>
      </c>
    </row>
    <row r="559" spans="1:6">
      <c r="A559" s="14">
        <v>558</v>
      </c>
      <c r="B559" s="22">
        <v>46214</v>
      </c>
      <c r="C559" s="12" t="s">
        <v>383</v>
      </c>
      <c r="D559" s="12">
        <v>1</v>
      </c>
      <c r="E559" s="11" t="str">
        <f>_xlfn.XLOOKUP(A559,Employee_Master!A:A,Employee_Master!E:E,"Not Found")</f>
        <v>Not Found</v>
      </c>
      <c r="F559" s="16" t="s">
        <v>386</v>
      </c>
    </row>
    <row r="560" spans="1:6">
      <c r="A560" s="13">
        <v>559</v>
      </c>
      <c r="B560" s="21">
        <v>45947</v>
      </c>
      <c r="C560" s="11" t="s">
        <v>383</v>
      </c>
      <c r="D560" s="11">
        <v>2</v>
      </c>
      <c r="E560" s="11" t="str">
        <f>_xlfn.XLOOKUP(A560,Employee_Master!A:A,Employee_Master!E:E,"Not Found")</f>
        <v>Not Found</v>
      </c>
      <c r="F560" s="15" t="s">
        <v>381</v>
      </c>
    </row>
    <row r="561" spans="1:6">
      <c r="A561" s="14">
        <v>560</v>
      </c>
      <c r="B561" s="22">
        <v>46205</v>
      </c>
      <c r="C561" s="12" t="s">
        <v>382</v>
      </c>
      <c r="D561" s="12">
        <v>3</v>
      </c>
      <c r="E561" s="11" t="str">
        <f>_xlfn.XLOOKUP(A561,Employee_Master!A:A,Employee_Master!E:E,"Not Found")</f>
        <v>Not Found</v>
      </c>
      <c r="F561" s="16" t="s">
        <v>381</v>
      </c>
    </row>
    <row r="562" spans="1:6">
      <c r="A562" s="13">
        <v>561</v>
      </c>
      <c r="B562" s="21">
        <v>46271</v>
      </c>
      <c r="C562" s="11" t="s">
        <v>380</v>
      </c>
      <c r="D562" s="11">
        <v>3</v>
      </c>
      <c r="E562" s="11" t="str">
        <f>_xlfn.XLOOKUP(A562,Employee_Master!A:A,Employee_Master!E:E,"Not Found")</f>
        <v>Not Found</v>
      </c>
      <c r="F562" s="15" t="s">
        <v>385</v>
      </c>
    </row>
    <row r="563" spans="1:6">
      <c r="A563" s="14">
        <v>562</v>
      </c>
      <c r="B563" s="22">
        <v>46009</v>
      </c>
      <c r="C563" s="12" t="s">
        <v>383</v>
      </c>
      <c r="D563" s="12">
        <v>3</v>
      </c>
      <c r="E563" s="11" t="str">
        <f>_xlfn.XLOOKUP(A563,Employee_Master!A:A,Employee_Master!E:E,"Not Found")</f>
        <v>Not Found</v>
      </c>
      <c r="F563" s="16" t="s">
        <v>385</v>
      </c>
    </row>
    <row r="564" spans="1:6">
      <c r="A564" s="13">
        <v>563</v>
      </c>
      <c r="B564" s="21">
        <v>46117</v>
      </c>
      <c r="C564" s="11" t="s">
        <v>384</v>
      </c>
      <c r="D564" s="11">
        <v>4</v>
      </c>
      <c r="E564" s="11" t="str">
        <f>_xlfn.XLOOKUP(A564,Employee_Master!A:A,Employee_Master!E:E,"Not Found")</f>
        <v>Not Found</v>
      </c>
      <c r="F564" s="15" t="s">
        <v>381</v>
      </c>
    </row>
    <row r="565" spans="1:6">
      <c r="A565" s="14">
        <v>564</v>
      </c>
      <c r="B565" s="22">
        <v>46084</v>
      </c>
      <c r="C565" s="12" t="s">
        <v>382</v>
      </c>
      <c r="D565" s="12">
        <v>1</v>
      </c>
      <c r="E565" s="11" t="str">
        <f>_xlfn.XLOOKUP(A565,Employee_Master!A:A,Employee_Master!E:E,"Not Found")</f>
        <v>Not Found</v>
      </c>
      <c r="F565" s="16" t="s">
        <v>381</v>
      </c>
    </row>
    <row r="566" spans="1:6">
      <c r="A566" s="13">
        <v>565</v>
      </c>
      <c r="B566" s="21">
        <v>46076</v>
      </c>
      <c r="C566" s="11" t="s">
        <v>383</v>
      </c>
      <c r="D566" s="11">
        <v>2</v>
      </c>
      <c r="E566" s="11" t="str">
        <f>_xlfn.XLOOKUP(A566,Employee_Master!A:A,Employee_Master!E:E,"Not Found")</f>
        <v>Not Found</v>
      </c>
      <c r="F566" s="15" t="s">
        <v>381</v>
      </c>
    </row>
    <row r="567" spans="1:6">
      <c r="A567" s="14">
        <v>566</v>
      </c>
      <c r="B567" s="22">
        <v>46001</v>
      </c>
      <c r="C567" s="12" t="s">
        <v>384</v>
      </c>
      <c r="D567" s="12">
        <v>3</v>
      </c>
      <c r="E567" s="11" t="str">
        <f>_xlfn.XLOOKUP(A567,Employee_Master!A:A,Employee_Master!E:E,"Not Found")</f>
        <v>Not Found</v>
      </c>
      <c r="F567" s="16" t="s">
        <v>381</v>
      </c>
    </row>
    <row r="568" spans="1:6">
      <c r="A568" s="13">
        <v>567</v>
      </c>
      <c r="B568" s="21">
        <v>46101</v>
      </c>
      <c r="C568" s="11" t="s">
        <v>383</v>
      </c>
      <c r="D568" s="11">
        <v>1</v>
      </c>
      <c r="E568" s="11" t="str">
        <f>_xlfn.XLOOKUP(A568,Employee_Master!A:A,Employee_Master!E:E,"Not Found")</f>
        <v>Not Found</v>
      </c>
      <c r="F568" s="15" t="s">
        <v>381</v>
      </c>
    </row>
    <row r="569" spans="1:6">
      <c r="A569" s="14">
        <v>568</v>
      </c>
      <c r="B569" s="22">
        <v>46226</v>
      </c>
      <c r="C569" s="12" t="s">
        <v>380</v>
      </c>
      <c r="D569" s="12">
        <v>1</v>
      </c>
      <c r="E569" s="11" t="str">
        <f>_xlfn.XLOOKUP(A569,Employee_Master!A:A,Employee_Master!E:E,"Not Found")</f>
        <v>Not Found</v>
      </c>
      <c r="F569" s="16" t="s">
        <v>381</v>
      </c>
    </row>
    <row r="570" spans="1:6">
      <c r="A570" s="13">
        <v>569</v>
      </c>
      <c r="B570" s="21">
        <v>46090</v>
      </c>
      <c r="C570" s="11" t="s">
        <v>384</v>
      </c>
      <c r="D570" s="11">
        <v>3</v>
      </c>
      <c r="E570" s="11" t="str">
        <f>_xlfn.XLOOKUP(A570,Employee_Master!A:A,Employee_Master!E:E,"Not Found")</f>
        <v>Not Found</v>
      </c>
      <c r="F570" s="15" t="s">
        <v>386</v>
      </c>
    </row>
    <row r="571" spans="1:6">
      <c r="A571" s="14">
        <v>570</v>
      </c>
      <c r="B571" s="22">
        <v>46267</v>
      </c>
      <c r="C571" s="12" t="s">
        <v>383</v>
      </c>
      <c r="D571" s="12">
        <v>1</v>
      </c>
      <c r="E571" s="11" t="str">
        <f>_xlfn.XLOOKUP(A571,Employee_Master!A:A,Employee_Master!E:E,"Not Found")</f>
        <v>Not Found</v>
      </c>
      <c r="F571" s="16" t="s">
        <v>385</v>
      </c>
    </row>
    <row r="572" spans="1:6">
      <c r="A572" s="13">
        <v>571</v>
      </c>
      <c r="B572" s="21">
        <v>46146</v>
      </c>
      <c r="C572" s="11" t="s">
        <v>384</v>
      </c>
      <c r="D572" s="11">
        <v>3</v>
      </c>
      <c r="E572" s="11" t="str">
        <f>_xlfn.XLOOKUP(A572,Employee_Master!A:A,Employee_Master!E:E,"Not Found")</f>
        <v>Not Found</v>
      </c>
      <c r="F572" s="15" t="s">
        <v>381</v>
      </c>
    </row>
    <row r="573" spans="1:6">
      <c r="A573" s="14">
        <v>572</v>
      </c>
      <c r="B573" s="22">
        <v>45957</v>
      </c>
      <c r="C573" s="12" t="s">
        <v>380</v>
      </c>
      <c r="D573" s="12">
        <v>1</v>
      </c>
      <c r="E573" s="11" t="str">
        <f>_xlfn.XLOOKUP(A573,Employee_Master!A:A,Employee_Master!E:E,"Not Found")</f>
        <v>Not Found</v>
      </c>
      <c r="F573" s="16" t="s">
        <v>381</v>
      </c>
    </row>
    <row r="574" spans="1:6">
      <c r="A574" s="13">
        <v>573</v>
      </c>
      <c r="B574" s="21">
        <v>45933</v>
      </c>
      <c r="C574" s="11" t="s">
        <v>384</v>
      </c>
      <c r="D574" s="11">
        <v>4</v>
      </c>
      <c r="E574" s="11" t="str">
        <f>_xlfn.XLOOKUP(A574,Employee_Master!A:A,Employee_Master!E:E,"Not Found")</f>
        <v>Not Found</v>
      </c>
      <c r="F574" s="15" t="s">
        <v>381</v>
      </c>
    </row>
    <row r="575" spans="1:6">
      <c r="A575" s="14">
        <v>574</v>
      </c>
      <c r="B575" s="22">
        <v>46171</v>
      </c>
      <c r="C575" s="12" t="s">
        <v>383</v>
      </c>
      <c r="D575" s="12">
        <v>4</v>
      </c>
      <c r="E575" s="11" t="str">
        <f>_xlfn.XLOOKUP(A575,Employee_Master!A:A,Employee_Master!E:E,"Not Found")</f>
        <v>Not Found</v>
      </c>
      <c r="F575" s="16" t="s">
        <v>386</v>
      </c>
    </row>
    <row r="576" spans="1:6">
      <c r="A576" s="13">
        <v>575</v>
      </c>
      <c r="B576" s="21">
        <v>45985</v>
      </c>
      <c r="C576" s="11" t="s">
        <v>383</v>
      </c>
      <c r="D576" s="11">
        <v>2</v>
      </c>
      <c r="E576" s="11" t="str">
        <f>_xlfn.XLOOKUP(A576,Employee_Master!A:A,Employee_Master!E:E,"Not Found")</f>
        <v>Not Found</v>
      </c>
      <c r="F576" s="15" t="s">
        <v>386</v>
      </c>
    </row>
    <row r="577" spans="1:6">
      <c r="A577" s="14">
        <v>576</v>
      </c>
      <c r="B577" s="22">
        <v>46218</v>
      </c>
      <c r="C577" s="12" t="s">
        <v>380</v>
      </c>
      <c r="D577" s="12">
        <v>1</v>
      </c>
      <c r="E577" s="11" t="str">
        <f>_xlfn.XLOOKUP(A577,Employee_Master!A:A,Employee_Master!E:E,"Not Found")</f>
        <v>Not Found</v>
      </c>
      <c r="F577" s="16" t="s">
        <v>381</v>
      </c>
    </row>
    <row r="578" spans="1:6">
      <c r="A578" s="13">
        <v>577</v>
      </c>
      <c r="B578" s="21">
        <v>46025</v>
      </c>
      <c r="C578" s="11" t="s">
        <v>384</v>
      </c>
      <c r="D578" s="11">
        <v>1</v>
      </c>
      <c r="E578" s="11" t="str">
        <f>_xlfn.XLOOKUP(A578,Employee_Master!A:A,Employee_Master!E:E,"Not Found")</f>
        <v>Not Found</v>
      </c>
      <c r="F578" s="15" t="s">
        <v>385</v>
      </c>
    </row>
    <row r="579" spans="1:6">
      <c r="A579" s="14">
        <v>578</v>
      </c>
      <c r="B579" s="22">
        <v>46293</v>
      </c>
      <c r="C579" s="12" t="s">
        <v>380</v>
      </c>
      <c r="D579" s="12">
        <v>2</v>
      </c>
      <c r="E579" s="11" t="str">
        <f>_xlfn.XLOOKUP(A579,Employee_Master!A:A,Employee_Master!E:E,"Not Found")</f>
        <v>Not Found</v>
      </c>
      <c r="F579" s="16" t="s">
        <v>386</v>
      </c>
    </row>
    <row r="580" spans="1:6">
      <c r="A580" s="13">
        <v>579</v>
      </c>
      <c r="B580" s="21">
        <v>46139</v>
      </c>
      <c r="C580" s="11" t="s">
        <v>384</v>
      </c>
      <c r="D580" s="11">
        <v>3</v>
      </c>
      <c r="E580" s="11" t="str">
        <f>_xlfn.XLOOKUP(A580,Employee_Master!A:A,Employee_Master!E:E,"Not Found")</f>
        <v>Not Found</v>
      </c>
      <c r="F580" s="15" t="s">
        <v>386</v>
      </c>
    </row>
    <row r="581" spans="1:6">
      <c r="A581" s="14">
        <v>580</v>
      </c>
      <c r="B581" s="22">
        <v>46183</v>
      </c>
      <c r="C581" s="12" t="s">
        <v>380</v>
      </c>
      <c r="D581" s="12">
        <v>1</v>
      </c>
      <c r="E581" s="11" t="str">
        <f>_xlfn.XLOOKUP(A581,Employee_Master!A:A,Employee_Master!E:E,"Not Found")</f>
        <v>Not Found</v>
      </c>
      <c r="F581" s="16" t="s">
        <v>385</v>
      </c>
    </row>
    <row r="582" spans="1:6">
      <c r="A582" s="13">
        <v>581</v>
      </c>
      <c r="B582" s="21">
        <v>46244</v>
      </c>
      <c r="C582" s="11" t="s">
        <v>382</v>
      </c>
      <c r="D582" s="11">
        <v>2</v>
      </c>
      <c r="E582" s="11" t="str">
        <f>_xlfn.XLOOKUP(A582,Employee_Master!A:A,Employee_Master!E:E,"Not Found")</f>
        <v>Not Found</v>
      </c>
      <c r="F582" s="15" t="s">
        <v>386</v>
      </c>
    </row>
    <row r="583" spans="1:6">
      <c r="A583" s="14">
        <v>582</v>
      </c>
      <c r="B583" s="22">
        <v>46107</v>
      </c>
      <c r="C583" s="12" t="s">
        <v>380</v>
      </c>
      <c r="D583" s="12">
        <v>4</v>
      </c>
      <c r="E583" s="11" t="str">
        <f>_xlfn.XLOOKUP(A583,Employee_Master!A:A,Employee_Master!E:E,"Not Found")</f>
        <v>Not Found</v>
      </c>
      <c r="F583" s="16" t="s">
        <v>386</v>
      </c>
    </row>
    <row r="584" spans="1:6">
      <c r="A584" s="13">
        <v>583</v>
      </c>
      <c r="B584" s="21">
        <v>46141</v>
      </c>
      <c r="C584" s="11" t="s">
        <v>383</v>
      </c>
      <c r="D584" s="11">
        <v>3</v>
      </c>
      <c r="E584" s="11" t="str">
        <f>_xlfn.XLOOKUP(A584,Employee_Master!A:A,Employee_Master!E:E,"Not Found")</f>
        <v>Not Found</v>
      </c>
      <c r="F584" s="15" t="s">
        <v>381</v>
      </c>
    </row>
    <row r="585" spans="1:6">
      <c r="A585" s="14">
        <v>584</v>
      </c>
      <c r="B585" s="22">
        <v>45994</v>
      </c>
      <c r="C585" s="12" t="s">
        <v>382</v>
      </c>
      <c r="D585" s="12">
        <v>3</v>
      </c>
      <c r="E585" s="11" t="str">
        <f>_xlfn.XLOOKUP(A585,Employee_Master!A:A,Employee_Master!E:E,"Not Found")</f>
        <v>Not Found</v>
      </c>
      <c r="F585" s="16" t="s">
        <v>386</v>
      </c>
    </row>
    <row r="586" spans="1:6">
      <c r="A586" s="13">
        <v>585</v>
      </c>
      <c r="B586" s="21">
        <v>46185</v>
      </c>
      <c r="C586" s="11" t="s">
        <v>384</v>
      </c>
      <c r="D586" s="11">
        <v>1</v>
      </c>
      <c r="E586" s="11" t="str">
        <f>_xlfn.XLOOKUP(A586,Employee_Master!A:A,Employee_Master!E:E,"Not Found")</f>
        <v>Not Found</v>
      </c>
      <c r="F586" s="15" t="s">
        <v>385</v>
      </c>
    </row>
    <row r="587" spans="1:6">
      <c r="A587" s="14">
        <v>586</v>
      </c>
      <c r="B587" s="22">
        <v>46233</v>
      </c>
      <c r="C587" s="12" t="s">
        <v>380</v>
      </c>
      <c r="D587" s="12">
        <v>3</v>
      </c>
      <c r="E587" s="11" t="str">
        <f>_xlfn.XLOOKUP(A587,Employee_Master!A:A,Employee_Master!E:E,"Not Found")</f>
        <v>Not Found</v>
      </c>
      <c r="F587" s="16" t="s">
        <v>381</v>
      </c>
    </row>
    <row r="588" spans="1:6">
      <c r="A588" s="13">
        <v>587</v>
      </c>
      <c r="B588" s="21">
        <v>46226</v>
      </c>
      <c r="C588" s="11" t="s">
        <v>380</v>
      </c>
      <c r="D588" s="11">
        <v>1</v>
      </c>
      <c r="E588" s="11" t="str">
        <f>_xlfn.XLOOKUP(A588,Employee_Master!A:A,Employee_Master!E:E,"Not Found")</f>
        <v>Not Found</v>
      </c>
      <c r="F588" s="15" t="s">
        <v>381</v>
      </c>
    </row>
    <row r="589" spans="1:6">
      <c r="A589" s="14">
        <v>588</v>
      </c>
      <c r="B589" s="22">
        <v>46295</v>
      </c>
      <c r="C589" s="12" t="s">
        <v>384</v>
      </c>
      <c r="D589" s="12">
        <v>2</v>
      </c>
      <c r="E589" s="11" t="str">
        <f>_xlfn.XLOOKUP(A589,Employee_Master!A:A,Employee_Master!E:E,"Not Found")</f>
        <v>Not Found</v>
      </c>
      <c r="F589" s="16" t="s">
        <v>381</v>
      </c>
    </row>
    <row r="590" spans="1:6">
      <c r="A590" s="13">
        <v>589</v>
      </c>
      <c r="B590" s="21">
        <v>45999</v>
      </c>
      <c r="C590" s="11" t="s">
        <v>380</v>
      </c>
      <c r="D590" s="11">
        <v>3</v>
      </c>
      <c r="E590" s="11" t="str">
        <f>_xlfn.XLOOKUP(A590,Employee_Master!A:A,Employee_Master!E:E,"Not Found")</f>
        <v>Not Found</v>
      </c>
      <c r="F590" s="15" t="s">
        <v>381</v>
      </c>
    </row>
    <row r="591" spans="1:6">
      <c r="A591" s="14">
        <v>590</v>
      </c>
      <c r="B591" s="22">
        <v>46225</v>
      </c>
      <c r="C591" s="12" t="s">
        <v>384</v>
      </c>
      <c r="D591" s="12">
        <v>2</v>
      </c>
      <c r="E591" s="11" t="str">
        <f>_xlfn.XLOOKUP(A591,Employee_Master!A:A,Employee_Master!E:E,"Not Found")</f>
        <v>Not Found</v>
      </c>
      <c r="F591" s="16" t="s">
        <v>381</v>
      </c>
    </row>
    <row r="592" spans="1:6">
      <c r="A592" s="13">
        <v>591</v>
      </c>
      <c r="B592" s="21">
        <v>46287</v>
      </c>
      <c r="C592" s="11" t="s">
        <v>384</v>
      </c>
      <c r="D592" s="11">
        <v>4</v>
      </c>
      <c r="E592" s="11" t="str">
        <f>_xlfn.XLOOKUP(A592,Employee_Master!A:A,Employee_Master!E:E,"Not Found")</f>
        <v>Not Found</v>
      </c>
      <c r="F592" s="15" t="s">
        <v>381</v>
      </c>
    </row>
    <row r="593" spans="1:6">
      <c r="A593" s="14">
        <v>592</v>
      </c>
      <c r="B593" s="22">
        <v>46036</v>
      </c>
      <c r="C593" s="12" t="s">
        <v>382</v>
      </c>
      <c r="D593" s="12">
        <v>2</v>
      </c>
      <c r="E593" s="11" t="str">
        <f>_xlfn.XLOOKUP(A593,Employee_Master!A:A,Employee_Master!E:E,"Not Found")</f>
        <v>Not Found</v>
      </c>
      <c r="F593" s="16" t="s">
        <v>381</v>
      </c>
    </row>
    <row r="594" spans="1:6">
      <c r="A594" s="13">
        <v>593</v>
      </c>
      <c r="B594" s="21">
        <v>46262</v>
      </c>
      <c r="C594" s="11" t="s">
        <v>384</v>
      </c>
      <c r="D594" s="11">
        <v>3</v>
      </c>
      <c r="E594" s="11" t="str">
        <f>_xlfn.XLOOKUP(A594,Employee_Master!A:A,Employee_Master!E:E,"Not Found")</f>
        <v>Not Found</v>
      </c>
      <c r="F594" s="15" t="s">
        <v>381</v>
      </c>
    </row>
    <row r="595" spans="1:6">
      <c r="A595" s="14">
        <v>594</v>
      </c>
      <c r="B595" s="22">
        <v>46124</v>
      </c>
      <c r="C595" s="12" t="s">
        <v>383</v>
      </c>
      <c r="D595" s="12">
        <v>4</v>
      </c>
      <c r="E595" s="11" t="str">
        <f>_xlfn.XLOOKUP(A595,Employee_Master!A:A,Employee_Master!E:E,"Not Found")</f>
        <v>Not Found</v>
      </c>
      <c r="F595" s="16" t="s">
        <v>381</v>
      </c>
    </row>
    <row r="596" spans="1:6">
      <c r="A596" s="13">
        <v>595</v>
      </c>
      <c r="B596" s="21">
        <v>46256</v>
      </c>
      <c r="C596" s="11" t="s">
        <v>380</v>
      </c>
      <c r="D596" s="11">
        <v>2</v>
      </c>
      <c r="E596" s="11" t="str">
        <f>_xlfn.XLOOKUP(A596,Employee_Master!A:A,Employee_Master!E:E,"Not Found")</f>
        <v>Not Found</v>
      </c>
      <c r="F596" s="15" t="s">
        <v>385</v>
      </c>
    </row>
    <row r="597" spans="1:6">
      <c r="A597" s="14">
        <v>596</v>
      </c>
      <c r="B597" s="22">
        <v>46111</v>
      </c>
      <c r="C597" s="12" t="s">
        <v>380</v>
      </c>
      <c r="D597" s="12">
        <v>2</v>
      </c>
      <c r="E597" s="11" t="str">
        <f>_xlfn.XLOOKUP(A597,Employee_Master!A:A,Employee_Master!E:E,"Not Found")</f>
        <v>Not Found</v>
      </c>
      <c r="F597" s="16" t="s">
        <v>385</v>
      </c>
    </row>
    <row r="598" spans="1:6">
      <c r="A598" s="13">
        <v>597</v>
      </c>
      <c r="B598" s="21">
        <v>46071</v>
      </c>
      <c r="C598" s="11" t="s">
        <v>382</v>
      </c>
      <c r="D598" s="11">
        <v>1</v>
      </c>
      <c r="E598" s="11" t="str">
        <f>_xlfn.XLOOKUP(A598,Employee_Master!A:A,Employee_Master!E:E,"Not Found")</f>
        <v>Not Found</v>
      </c>
      <c r="F598" s="15" t="s">
        <v>381</v>
      </c>
    </row>
    <row r="599" spans="1:6">
      <c r="A599" s="14">
        <v>598</v>
      </c>
      <c r="B599" s="22">
        <v>45932</v>
      </c>
      <c r="C599" s="12" t="s">
        <v>382</v>
      </c>
      <c r="D599" s="12">
        <v>4</v>
      </c>
      <c r="E599" s="11" t="str">
        <f>_xlfn.XLOOKUP(A599,Employee_Master!A:A,Employee_Master!E:E,"Not Found")</f>
        <v>Not Found</v>
      </c>
      <c r="F599" s="16" t="s">
        <v>381</v>
      </c>
    </row>
    <row r="600" spans="1:6">
      <c r="A600" s="13">
        <v>599</v>
      </c>
      <c r="B600" s="21">
        <v>45962</v>
      </c>
      <c r="C600" s="11" t="s">
        <v>384</v>
      </c>
      <c r="D600" s="11">
        <v>4</v>
      </c>
      <c r="E600" s="11" t="str">
        <f>_xlfn.XLOOKUP(A600,Employee_Master!A:A,Employee_Master!E:E,"Not Found")</f>
        <v>Not Found</v>
      </c>
      <c r="F600" s="15" t="s">
        <v>386</v>
      </c>
    </row>
    <row r="601" spans="1:6">
      <c r="A601" s="14">
        <v>600</v>
      </c>
      <c r="B601" s="22">
        <v>46035</v>
      </c>
      <c r="C601" s="12" t="s">
        <v>382</v>
      </c>
      <c r="D601" s="12">
        <v>1</v>
      </c>
      <c r="E601" s="11" t="str">
        <f>_xlfn.XLOOKUP(A601,Employee_Master!A:A,Employee_Master!E:E,"Not Found")</f>
        <v>Not Found</v>
      </c>
      <c r="F601" s="16" t="s">
        <v>381</v>
      </c>
    </row>
    <row r="602" spans="1:6">
      <c r="A602" s="13">
        <v>601</v>
      </c>
      <c r="B602" s="21">
        <v>46003</v>
      </c>
      <c r="C602" s="11" t="s">
        <v>383</v>
      </c>
      <c r="D602" s="11">
        <v>3</v>
      </c>
      <c r="E602" s="11" t="str">
        <f>_xlfn.XLOOKUP(A602,Employee_Master!A:A,Employee_Master!E:E,"Not Found")</f>
        <v>Not Found</v>
      </c>
      <c r="F602" s="15" t="s">
        <v>381</v>
      </c>
    </row>
    <row r="603" spans="1:6">
      <c r="A603" s="14">
        <v>602</v>
      </c>
      <c r="B603" s="22">
        <v>45938</v>
      </c>
      <c r="C603" s="12" t="s">
        <v>382</v>
      </c>
      <c r="D603" s="12">
        <v>1</v>
      </c>
      <c r="E603" s="11" t="str">
        <f>_xlfn.XLOOKUP(A603,Employee_Master!A:A,Employee_Master!E:E,"Not Found")</f>
        <v>Not Found</v>
      </c>
      <c r="F603" s="16" t="s">
        <v>386</v>
      </c>
    </row>
    <row r="604" spans="1:6">
      <c r="A604" s="13">
        <v>603</v>
      </c>
      <c r="B604" s="21">
        <v>46163</v>
      </c>
      <c r="C604" s="11" t="s">
        <v>383</v>
      </c>
      <c r="D604" s="11">
        <v>3</v>
      </c>
      <c r="E604" s="11" t="str">
        <f>_xlfn.XLOOKUP(A604,Employee_Master!A:A,Employee_Master!E:E,"Not Found")</f>
        <v>Not Found</v>
      </c>
      <c r="F604" s="15" t="s">
        <v>381</v>
      </c>
    </row>
    <row r="605" spans="1:6">
      <c r="A605" s="14">
        <v>604</v>
      </c>
      <c r="B605" s="22">
        <v>46161</v>
      </c>
      <c r="C605" s="12" t="s">
        <v>380</v>
      </c>
      <c r="D605" s="12">
        <v>3</v>
      </c>
      <c r="E605" s="11" t="str">
        <f>_xlfn.XLOOKUP(A605,Employee_Master!A:A,Employee_Master!E:E,"Not Found")</f>
        <v>Not Found</v>
      </c>
      <c r="F605" s="16" t="s">
        <v>385</v>
      </c>
    </row>
    <row r="606" spans="1:6">
      <c r="A606" s="13">
        <v>605</v>
      </c>
      <c r="B606" s="21">
        <v>46069</v>
      </c>
      <c r="C606" s="11" t="s">
        <v>380</v>
      </c>
      <c r="D606" s="11">
        <v>4</v>
      </c>
      <c r="E606" s="11" t="str">
        <f>_xlfn.XLOOKUP(A606,Employee_Master!A:A,Employee_Master!E:E,"Not Found")</f>
        <v>Not Found</v>
      </c>
      <c r="F606" s="15" t="s">
        <v>381</v>
      </c>
    </row>
    <row r="607" spans="1:6">
      <c r="A607" s="14">
        <v>606</v>
      </c>
      <c r="B607" s="22">
        <v>46155</v>
      </c>
      <c r="C607" s="12" t="s">
        <v>380</v>
      </c>
      <c r="D607" s="12">
        <v>1</v>
      </c>
      <c r="E607" s="11" t="str">
        <f>_xlfn.XLOOKUP(A607,Employee_Master!A:A,Employee_Master!E:E,"Not Found")</f>
        <v>Not Found</v>
      </c>
      <c r="F607" s="16" t="s">
        <v>381</v>
      </c>
    </row>
    <row r="608" spans="1:6">
      <c r="A608" s="13">
        <v>607</v>
      </c>
      <c r="B608" s="21">
        <v>46261</v>
      </c>
      <c r="C608" s="11" t="s">
        <v>382</v>
      </c>
      <c r="D608" s="11">
        <v>4</v>
      </c>
      <c r="E608" s="11" t="str">
        <f>_xlfn.XLOOKUP(A608,Employee_Master!A:A,Employee_Master!E:E,"Not Found")</f>
        <v>Not Found</v>
      </c>
      <c r="F608" s="15" t="s">
        <v>381</v>
      </c>
    </row>
    <row r="609" spans="1:6">
      <c r="A609" s="14">
        <v>608</v>
      </c>
      <c r="B609" s="22">
        <v>46191</v>
      </c>
      <c r="C609" s="12" t="s">
        <v>380</v>
      </c>
      <c r="D609" s="12">
        <v>1</v>
      </c>
      <c r="E609" s="11" t="str">
        <f>_xlfn.XLOOKUP(A609,Employee_Master!A:A,Employee_Master!E:E,"Not Found")</f>
        <v>Not Found</v>
      </c>
      <c r="F609" s="16" t="s">
        <v>381</v>
      </c>
    </row>
    <row r="610" spans="1:6">
      <c r="A610" s="13">
        <v>609</v>
      </c>
      <c r="B610" s="21">
        <v>46120</v>
      </c>
      <c r="C610" s="11" t="s">
        <v>383</v>
      </c>
      <c r="D610" s="11">
        <v>1</v>
      </c>
      <c r="E610" s="11" t="str">
        <f>_xlfn.XLOOKUP(A610,Employee_Master!A:A,Employee_Master!E:E,"Not Found")</f>
        <v>Not Found</v>
      </c>
      <c r="F610" s="15" t="s">
        <v>381</v>
      </c>
    </row>
    <row r="611" spans="1:6">
      <c r="A611" s="14">
        <v>610</v>
      </c>
      <c r="B611" s="22">
        <v>46268</v>
      </c>
      <c r="C611" s="12" t="s">
        <v>383</v>
      </c>
      <c r="D611" s="12">
        <v>4</v>
      </c>
      <c r="E611" s="11" t="str">
        <f>_xlfn.XLOOKUP(A611,Employee_Master!A:A,Employee_Master!E:E,"Not Found")</f>
        <v>Not Found</v>
      </c>
      <c r="F611" s="16" t="s">
        <v>381</v>
      </c>
    </row>
    <row r="612" spans="1:6">
      <c r="A612" s="13">
        <v>611</v>
      </c>
      <c r="B612" s="21">
        <v>45963</v>
      </c>
      <c r="C612" s="11" t="s">
        <v>384</v>
      </c>
      <c r="D612" s="11">
        <v>2</v>
      </c>
      <c r="E612" s="11" t="str">
        <f>_xlfn.XLOOKUP(A612,Employee_Master!A:A,Employee_Master!E:E,"Not Found")</f>
        <v>Not Found</v>
      </c>
      <c r="F612" s="15" t="s">
        <v>381</v>
      </c>
    </row>
    <row r="613" spans="1:6">
      <c r="A613" s="14">
        <v>612</v>
      </c>
      <c r="B613" s="22">
        <v>46056</v>
      </c>
      <c r="C613" s="12" t="s">
        <v>380</v>
      </c>
      <c r="D613" s="12">
        <v>4</v>
      </c>
      <c r="E613" s="11" t="str">
        <f>_xlfn.XLOOKUP(A613,Employee_Master!A:A,Employee_Master!E:E,"Not Found")</f>
        <v>Not Found</v>
      </c>
      <c r="F613" s="16" t="s">
        <v>386</v>
      </c>
    </row>
    <row r="614" spans="1:6">
      <c r="A614" s="13">
        <v>613</v>
      </c>
      <c r="B614" s="21">
        <v>45932</v>
      </c>
      <c r="C614" s="11" t="s">
        <v>380</v>
      </c>
      <c r="D614" s="11">
        <v>1</v>
      </c>
      <c r="E614" s="11" t="str">
        <f>_xlfn.XLOOKUP(A614,Employee_Master!A:A,Employee_Master!E:E,"Not Found")</f>
        <v>Not Found</v>
      </c>
      <c r="F614" s="15" t="s">
        <v>381</v>
      </c>
    </row>
    <row r="615" spans="1:6">
      <c r="A615" s="14">
        <v>614</v>
      </c>
      <c r="B615" s="22">
        <v>46145</v>
      </c>
      <c r="C615" s="12" t="s">
        <v>383</v>
      </c>
      <c r="D615" s="12">
        <v>1</v>
      </c>
      <c r="E615" s="11" t="str">
        <f>_xlfn.XLOOKUP(A615,Employee_Master!A:A,Employee_Master!E:E,"Not Found")</f>
        <v>Not Found</v>
      </c>
      <c r="F615" s="16" t="s">
        <v>385</v>
      </c>
    </row>
    <row r="616" spans="1:6">
      <c r="A616" s="13">
        <v>615</v>
      </c>
      <c r="B616" s="21">
        <v>46030</v>
      </c>
      <c r="C616" s="11" t="s">
        <v>380</v>
      </c>
      <c r="D616" s="11">
        <v>1</v>
      </c>
      <c r="E616" s="11" t="str">
        <f>_xlfn.XLOOKUP(A616,Employee_Master!A:A,Employee_Master!E:E,"Not Found")</f>
        <v>Not Found</v>
      </c>
      <c r="F616" s="15" t="s">
        <v>381</v>
      </c>
    </row>
    <row r="617" spans="1:6">
      <c r="A617" s="14">
        <v>616</v>
      </c>
      <c r="B617" s="22">
        <v>46148</v>
      </c>
      <c r="C617" s="12" t="s">
        <v>383</v>
      </c>
      <c r="D617" s="12">
        <v>3</v>
      </c>
      <c r="E617" s="11" t="str">
        <f>_xlfn.XLOOKUP(A617,Employee_Master!A:A,Employee_Master!E:E,"Not Found")</f>
        <v>Not Found</v>
      </c>
      <c r="F617" s="16" t="s">
        <v>386</v>
      </c>
    </row>
    <row r="618" spans="1:6">
      <c r="A618" s="13">
        <v>617</v>
      </c>
      <c r="B618" s="21">
        <v>46033</v>
      </c>
      <c r="C618" s="11" t="s">
        <v>382</v>
      </c>
      <c r="D618" s="11">
        <v>3</v>
      </c>
      <c r="E618" s="11" t="str">
        <f>_xlfn.XLOOKUP(A618,Employee_Master!A:A,Employee_Master!E:E,"Not Found")</f>
        <v>Not Found</v>
      </c>
      <c r="F618" s="15" t="s">
        <v>381</v>
      </c>
    </row>
    <row r="619" spans="1:6">
      <c r="A619" s="14">
        <v>618</v>
      </c>
      <c r="B619" s="22">
        <v>46172</v>
      </c>
      <c r="C619" s="12" t="s">
        <v>380</v>
      </c>
      <c r="D619" s="12">
        <v>2</v>
      </c>
      <c r="E619" s="11" t="str">
        <f>_xlfn.XLOOKUP(A619,Employee_Master!A:A,Employee_Master!E:E,"Not Found")</f>
        <v>Not Found</v>
      </c>
      <c r="F619" s="16" t="s">
        <v>381</v>
      </c>
    </row>
    <row r="620" spans="1:6">
      <c r="A620" s="13">
        <v>619</v>
      </c>
      <c r="B620" s="21">
        <v>45954</v>
      </c>
      <c r="C620" s="11" t="s">
        <v>383</v>
      </c>
      <c r="D620" s="11">
        <v>3</v>
      </c>
      <c r="E620" s="11" t="str">
        <f>_xlfn.XLOOKUP(A620,Employee_Master!A:A,Employee_Master!E:E,"Not Found")</f>
        <v>Not Found</v>
      </c>
      <c r="F620" s="15" t="s">
        <v>385</v>
      </c>
    </row>
    <row r="621" spans="1:6">
      <c r="A621" s="14">
        <v>620</v>
      </c>
      <c r="B621" s="22">
        <v>46054</v>
      </c>
      <c r="C621" s="12" t="s">
        <v>383</v>
      </c>
      <c r="D621" s="12">
        <v>4</v>
      </c>
      <c r="E621" s="11" t="str">
        <f>_xlfn.XLOOKUP(A621,Employee_Master!A:A,Employee_Master!E:E,"Not Found")</f>
        <v>Not Found</v>
      </c>
      <c r="F621" s="16" t="s">
        <v>381</v>
      </c>
    </row>
    <row r="622" spans="1:6">
      <c r="A622" s="13">
        <v>621</v>
      </c>
      <c r="B622" s="21">
        <v>46218</v>
      </c>
      <c r="C622" s="11" t="s">
        <v>384</v>
      </c>
      <c r="D622" s="11">
        <v>1</v>
      </c>
      <c r="E622" s="11" t="str">
        <f>_xlfn.XLOOKUP(A622,Employee_Master!A:A,Employee_Master!E:E,"Not Found")</f>
        <v>Not Found</v>
      </c>
      <c r="F622" s="15" t="s">
        <v>381</v>
      </c>
    </row>
    <row r="623" spans="1:6">
      <c r="A623" s="14">
        <v>622</v>
      </c>
      <c r="B623" s="22">
        <v>46220</v>
      </c>
      <c r="C623" s="12" t="s">
        <v>380</v>
      </c>
      <c r="D623" s="12">
        <v>2</v>
      </c>
      <c r="E623" s="11" t="str">
        <f>_xlfn.XLOOKUP(A623,Employee_Master!A:A,Employee_Master!E:E,"Not Found")</f>
        <v>Not Found</v>
      </c>
      <c r="F623" s="16" t="s">
        <v>385</v>
      </c>
    </row>
    <row r="624" spans="1:6">
      <c r="A624" s="13">
        <v>623</v>
      </c>
      <c r="B624" s="21">
        <v>45953</v>
      </c>
      <c r="C624" s="11" t="s">
        <v>380</v>
      </c>
      <c r="D624" s="11">
        <v>4</v>
      </c>
      <c r="E624" s="11" t="str">
        <f>_xlfn.XLOOKUP(A624,Employee_Master!A:A,Employee_Master!E:E,"Not Found")</f>
        <v>Not Found</v>
      </c>
      <c r="F624" s="15" t="s">
        <v>385</v>
      </c>
    </row>
    <row r="625" spans="1:6">
      <c r="A625" s="14">
        <v>624</v>
      </c>
      <c r="B625" s="22">
        <v>45968</v>
      </c>
      <c r="C625" s="12" t="s">
        <v>384</v>
      </c>
      <c r="D625" s="12">
        <v>4</v>
      </c>
      <c r="E625" s="11" t="str">
        <f>_xlfn.XLOOKUP(A625,Employee_Master!A:A,Employee_Master!E:E,"Not Found")</f>
        <v>Not Found</v>
      </c>
      <c r="F625" s="16" t="s">
        <v>381</v>
      </c>
    </row>
    <row r="626" spans="1:6">
      <c r="A626" s="13">
        <v>625</v>
      </c>
      <c r="B626" s="21">
        <v>46044</v>
      </c>
      <c r="C626" s="11" t="s">
        <v>380</v>
      </c>
      <c r="D626" s="11">
        <v>2</v>
      </c>
      <c r="E626" s="11" t="str">
        <f>_xlfn.XLOOKUP(A626,Employee_Master!A:A,Employee_Master!E:E,"Not Found")</f>
        <v>Not Found</v>
      </c>
      <c r="F626" s="15" t="s">
        <v>381</v>
      </c>
    </row>
    <row r="627" spans="1:6">
      <c r="A627" s="14">
        <v>626</v>
      </c>
      <c r="B627" s="22">
        <v>45980</v>
      </c>
      <c r="C627" s="12" t="s">
        <v>384</v>
      </c>
      <c r="D627" s="12">
        <v>3</v>
      </c>
      <c r="E627" s="11" t="str">
        <f>_xlfn.XLOOKUP(A627,Employee_Master!A:A,Employee_Master!E:E,"Not Found")</f>
        <v>Not Found</v>
      </c>
      <c r="F627" s="16" t="s">
        <v>381</v>
      </c>
    </row>
    <row r="628" spans="1:6">
      <c r="A628" s="13">
        <v>627</v>
      </c>
      <c r="B628" s="21">
        <v>46231</v>
      </c>
      <c r="C628" s="11" t="s">
        <v>382</v>
      </c>
      <c r="D628" s="11">
        <v>1</v>
      </c>
      <c r="E628" s="11" t="str">
        <f>_xlfn.XLOOKUP(A628,Employee_Master!A:A,Employee_Master!E:E,"Not Found")</f>
        <v>Not Found</v>
      </c>
      <c r="F628" s="15" t="s">
        <v>381</v>
      </c>
    </row>
    <row r="629" spans="1:6">
      <c r="A629" s="14">
        <v>628</v>
      </c>
      <c r="B629" s="22">
        <v>46161</v>
      </c>
      <c r="C629" s="12" t="s">
        <v>380</v>
      </c>
      <c r="D629" s="12">
        <v>1</v>
      </c>
      <c r="E629" s="11" t="str">
        <f>_xlfn.XLOOKUP(A629,Employee_Master!A:A,Employee_Master!E:E,"Not Found")</f>
        <v>Not Found</v>
      </c>
      <c r="F629" s="16" t="s">
        <v>381</v>
      </c>
    </row>
    <row r="630" spans="1:6">
      <c r="A630" s="13">
        <v>629</v>
      </c>
      <c r="B630" s="21">
        <v>46052</v>
      </c>
      <c r="C630" s="11" t="s">
        <v>384</v>
      </c>
      <c r="D630" s="11">
        <v>1</v>
      </c>
      <c r="E630" s="11" t="str">
        <f>_xlfn.XLOOKUP(A630,Employee_Master!A:A,Employee_Master!E:E,"Not Found")</f>
        <v>Not Found</v>
      </c>
      <c r="F630" s="15" t="s">
        <v>381</v>
      </c>
    </row>
    <row r="631" spans="1:6">
      <c r="A631" s="14">
        <v>630</v>
      </c>
      <c r="B631" s="22">
        <v>46237</v>
      </c>
      <c r="C631" s="12" t="s">
        <v>380</v>
      </c>
      <c r="D631" s="12">
        <v>1</v>
      </c>
      <c r="E631" s="11" t="str">
        <f>_xlfn.XLOOKUP(A631,Employee_Master!A:A,Employee_Master!E:E,"Not Found")</f>
        <v>Not Found</v>
      </c>
      <c r="F631" s="16" t="s">
        <v>385</v>
      </c>
    </row>
    <row r="632" spans="1:6">
      <c r="A632" s="13">
        <v>631</v>
      </c>
      <c r="B632" s="21">
        <v>46283</v>
      </c>
      <c r="C632" s="11" t="s">
        <v>383</v>
      </c>
      <c r="D632" s="11">
        <v>2</v>
      </c>
      <c r="E632" s="11" t="str">
        <f>_xlfn.XLOOKUP(A632,Employee_Master!A:A,Employee_Master!E:E,"Not Found")</f>
        <v>Not Found</v>
      </c>
      <c r="F632" s="15" t="s">
        <v>381</v>
      </c>
    </row>
    <row r="633" spans="1:6">
      <c r="A633" s="14">
        <v>632</v>
      </c>
      <c r="B633" s="22">
        <v>46041</v>
      </c>
      <c r="C633" s="12" t="s">
        <v>382</v>
      </c>
      <c r="D633" s="12">
        <v>3</v>
      </c>
      <c r="E633" s="11" t="str">
        <f>_xlfn.XLOOKUP(A633,Employee_Master!A:A,Employee_Master!E:E,"Not Found")</f>
        <v>Not Found</v>
      </c>
      <c r="F633" s="16" t="s">
        <v>381</v>
      </c>
    </row>
    <row r="634" spans="1:6">
      <c r="A634" s="13">
        <v>633</v>
      </c>
      <c r="B634" s="21">
        <v>45976</v>
      </c>
      <c r="C634" s="11" t="s">
        <v>380</v>
      </c>
      <c r="D634" s="11">
        <v>3</v>
      </c>
      <c r="E634" s="11" t="str">
        <f>_xlfn.XLOOKUP(A634,Employee_Master!A:A,Employee_Master!E:E,"Not Found")</f>
        <v>Not Found</v>
      </c>
      <c r="F634" s="15" t="s">
        <v>381</v>
      </c>
    </row>
    <row r="635" spans="1:6">
      <c r="A635" s="14">
        <v>634</v>
      </c>
      <c r="B635" s="22">
        <v>46149</v>
      </c>
      <c r="C635" s="12" t="s">
        <v>383</v>
      </c>
      <c r="D635" s="12">
        <v>3</v>
      </c>
      <c r="E635" s="11" t="str">
        <f>_xlfn.XLOOKUP(A635,Employee_Master!A:A,Employee_Master!E:E,"Not Found")</f>
        <v>Not Found</v>
      </c>
      <c r="F635" s="16" t="s">
        <v>385</v>
      </c>
    </row>
    <row r="636" spans="1:6">
      <c r="A636" s="13">
        <v>635</v>
      </c>
      <c r="B636" s="21">
        <v>46287</v>
      </c>
      <c r="C636" s="11" t="s">
        <v>380</v>
      </c>
      <c r="D636" s="11">
        <v>1</v>
      </c>
      <c r="E636" s="11" t="str">
        <f>_xlfn.XLOOKUP(A636,Employee_Master!A:A,Employee_Master!E:E,"Not Found")</f>
        <v>Not Found</v>
      </c>
      <c r="F636" s="15" t="s">
        <v>381</v>
      </c>
    </row>
    <row r="637" spans="1:6">
      <c r="A637" s="14">
        <v>636</v>
      </c>
      <c r="B637" s="22">
        <v>46252</v>
      </c>
      <c r="C637" s="12" t="s">
        <v>384</v>
      </c>
      <c r="D637" s="12">
        <v>3</v>
      </c>
      <c r="E637" s="11" t="str">
        <f>_xlfn.XLOOKUP(A637,Employee_Master!A:A,Employee_Master!E:E,"Not Found")</f>
        <v>Not Found</v>
      </c>
      <c r="F637" s="16" t="s">
        <v>381</v>
      </c>
    </row>
    <row r="638" spans="1:6">
      <c r="A638" s="13">
        <v>637</v>
      </c>
      <c r="B638" s="21">
        <v>46019</v>
      </c>
      <c r="C638" s="11" t="s">
        <v>380</v>
      </c>
      <c r="D638" s="11">
        <v>2</v>
      </c>
      <c r="E638" s="11" t="str">
        <f>_xlfn.XLOOKUP(A638,Employee_Master!A:A,Employee_Master!E:E,"Not Found")</f>
        <v>Not Found</v>
      </c>
      <c r="F638" s="15" t="s">
        <v>381</v>
      </c>
    </row>
    <row r="639" spans="1:6">
      <c r="A639" s="14">
        <v>638</v>
      </c>
      <c r="B639" s="22">
        <v>46022</v>
      </c>
      <c r="C639" s="12" t="s">
        <v>380</v>
      </c>
      <c r="D639" s="12">
        <v>2</v>
      </c>
      <c r="E639" s="11" t="str">
        <f>_xlfn.XLOOKUP(A639,Employee_Master!A:A,Employee_Master!E:E,"Not Found")</f>
        <v>Not Found</v>
      </c>
      <c r="F639" s="16" t="s">
        <v>381</v>
      </c>
    </row>
    <row r="640" spans="1:6">
      <c r="A640" s="13">
        <v>639</v>
      </c>
      <c r="B640" s="21">
        <v>46082</v>
      </c>
      <c r="C640" s="11" t="s">
        <v>382</v>
      </c>
      <c r="D640" s="11">
        <v>1</v>
      </c>
      <c r="E640" s="11" t="str">
        <f>_xlfn.XLOOKUP(A640,Employee_Master!A:A,Employee_Master!E:E,"Not Found")</f>
        <v>Not Found</v>
      </c>
      <c r="F640" s="15" t="s">
        <v>385</v>
      </c>
    </row>
    <row r="641" spans="1:6">
      <c r="A641" s="17">
        <v>640</v>
      </c>
      <c r="B641" s="23">
        <v>46247</v>
      </c>
      <c r="C641" s="18" t="s">
        <v>380</v>
      </c>
      <c r="D641" s="18">
        <v>1</v>
      </c>
      <c r="E641" s="11" t="str">
        <f>_xlfn.XLOOKUP(A641,Employee_Master!A:A,Employee_Master!E:E,"Not Found")</f>
        <v>Not Found</v>
      </c>
      <c r="F641" s="19" t="s">
        <v>381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activeCell="C19" sqref="C19"/>
      <selection pane="bottomLeft" sqref="A1:D7"/>
    </sheetView>
  </sheetViews>
  <sheetFormatPr defaultRowHeight="14.4"/>
  <cols>
    <col min="1" max="1" width="20" customWidth="1"/>
    <col min="2" max="2" width="13" customWidth="1"/>
    <col min="3" max="3" width="21.6640625" customWidth="1"/>
    <col min="4" max="4" width="16" customWidth="1"/>
  </cols>
  <sheetData>
    <row r="1" spans="1:4">
      <c r="A1" s="6" t="s">
        <v>19</v>
      </c>
      <c r="B1" s="6" t="s">
        <v>387</v>
      </c>
      <c r="C1" s="6" t="s">
        <v>388</v>
      </c>
      <c r="D1" s="6" t="s">
        <v>389</v>
      </c>
    </row>
    <row r="2" spans="1:4">
      <c r="A2" t="s">
        <v>31</v>
      </c>
      <c r="B2">
        <v>59</v>
      </c>
      <c r="C2">
        <v>75.42</v>
      </c>
      <c r="D2">
        <v>45136</v>
      </c>
    </row>
    <row r="3" spans="1:4">
      <c r="A3" t="s">
        <v>53</v>
      </c>
      <c r="B3">
        <v>47</v>
      </c>
      <c r="C3">
        <v>75.930000000000007</v>
      </c>
      <c r="D3">
        <v>47043</v>
      </c>
    </row>
    <row r="4" spans="1:4">
      <c r="A4" t="s">
        <v>98</v>
      </c>
      <c r="B4">
        <v>50</v>
      </c>
      <c r="C4">
        <v>74.25</v>
      </c>
      <c r="D4">
        <v>46460</v>
      </c>
    </row>
    <row r="5" spans="1:4">
      <c r="A5" t="s">
        <v>37</v>
      </c>
      <c r="B5">
        <v>49</v>
      </c>
      <c r="C5">
        <v>74.55</v>
      </c>
      <c r="D5">
        <v>46469</v>
      </c>
    </row>
    <row r="6" spans="1:4">
      <c r="A6" t="s">
        <v>43</v>
      </c>
      <c r="B6">
        <v>45</v>
      </c>
      <c r="C6">
        <v>78.790000000000006</v>
      </c>
      <c r="D6">
        <v>43178</v>
      </c>
    </row>
    <row r="7" spans="1:4">
      <c r="A7" t="s">
        <v>49</v>
      </c>
      <c r="B7">
        <v>50</v>
      </c>
      <c r="C7">
        <v>75.69</v>
      </c>
      <c r="D7">
        <v>43800</v>
      </c>
    </row>
  </sheetData>
  <pageMargins left="0.75" right="0.75" top="1" bottom="1" header="0.5" footer="0.5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CD0F-ACC1-4FDF-90D1-C5132DBDCD2B}">
  <dimension ref="F3:AO85"/>
  <sheetViews>
    <sheetView topLeftCell="D1" zoomScale="37" zoomScaleNormal="41" workbookViewId="0">
      <selection sqref="A1:A1048576"/>
    </sheetView>
  </sheetViews>
  <sheetFormatPr defaultRowHeight="14.4"/>
  <sheetData>
    <row r="3" spans="6:41">
      <c r="F3" s="27" t="s">
        <v>397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</row>
    <row r="4" spans="6:41"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</row>
    <row r="5" spans="6:41" ht="14.4" customHeight="1"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</row>
    <row r="6" spans="6:41" ht="14.4" customHeight="1"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</row>
    <row r="7" spans="6:41" ht="14.4" customHeight="1"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</row>
    <row r="8" spans="6:41" ht="14.4" customHeight="1"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</row>
    <row r="9" spans="6:41"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</row>
    <row r="10" spans="6:41"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</row>
    <row r="11" spans="6:41"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</row>
    <row r="12" spans="6:41"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</row>
    <row r="13" spans="6:41"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</row>
    <row r="14" spans="6:41"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</row>
    <row r="15" spans="6:41"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</row>
    <row r="16" spans="6:41"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</row>
    <row r="17" spans="6:41"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</row>
    <row r="18" spans="6:41"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</row>
    <row r="19" spans="6:41"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</row>
    <row r="20" spans="6:41"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</row>
    <row r="21" spans="6:41"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</row>
    <row r="22" spans="6:41"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</row>
    <row r="23" spans="6:41"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</row>
    <row r="24" spans="6:41"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</row>
    <row r="25" spans="6:41"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</row>
    <row r="26" spans="6:41"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</row>
    <row r="27" spans="6:41"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</row>
    <row r="28" spans="6:41"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</row>
    <row r="29" spans="6:41"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</row>
    <row r="30" spans="6:41"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</row>
    <row r="31" spans="6:41"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</row>
    <row r="32" spans="6:41"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</row>
    <row r="33" spans="6:41"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</row>
    <row r="34" spans="6:41"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</row>
    <row r="35" spans="6:41"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</row>
    <row r="36" spans="6:41"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</row>
    <row r="37" spans="6:41"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</row>
    <row r="38" spans="6:41"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</row>
    <row r="39" spans="6:41"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</row>
    <row r="40" spans="6:41"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</row>
    <row r="41" spans="6:41"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</row>
    <row r="42" spans="6:41"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</row>
    <row r="43" spans="6:41"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</row>
    <row r="44" spans="6:41"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</row>
    <row r="45" spans="6:41"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</row>
    <row r="46" spans="6:41"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</row>
    <row r="47" spans="6:41"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</row>
    <row r="48" spans="6:41"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</row>
    <row r="49" spans="6:41"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</row>
    <row r="50" spans="6:41"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</row>
    <row r="51" spans="6:41"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</row>
    <row r="52" spans="6:41"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</row>
    <row r="53" spans="6:41"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</row>
    <row r="54" spans="6:41"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</row>
    <row r="55" spans="6:41"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</row>
    <row r="56" spans="6:41"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</row>
    <row r="57" spans="6:41"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</row>
    <row r="58" spans="6:41"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</row>
    <row r="59" spans="6:41"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</row>
    <row r="60" spans="6:41"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</row>
    <row r="61" spans="6:41"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</row>
    <row r="62" spans="6:41"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</row>
    <row r="63" spans="6:41"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</row>
    <row r="64" spans="6:41"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</row>
    <row r="65" spans="6:41"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</row>
    <row r="66" spans="6:41"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</row>
    <row r="67" spans="6:41"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</row>
    <row r="68" spans="6:41"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</row>
    <row r="69" spans="6:41"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</row>
    <row r="70" spans="6:41"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</row>
    <row r="71" spans="6:41"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</row>
    <row r="72" spans="6:41"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</row>
    <row r="73" spans="6:41"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</row>
    <row r="74" spans="6:41"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</row>
    <row r="75" spans="6:41"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</row>
    <row r="76" spans="6:41"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</row>
    <row r="77" spans="6:41"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</row>
    <row r="78" spans="6:41"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</row>
    <row r="79" spans="6:41"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</row>
    <row r="80" spans="6:41"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</row>
    <row r="81" spans="6:41"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</row>
    <row r="82" spans="6:41"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</row>
    <row r="83" spans="6:41"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</row>
    <row r="84" spans="6:41"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</row>
    <row r="85" spans="6:41"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</row>
  </sheetData>
  <mergeCells count="2">
    <mergeCell ref="F3:AO7"/>
    <mergeCell ref="F8:AO8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F522-4ED2-4C9A-9B4A-82CDB9533E17}">
  <dimension ref="B2:AA57"/>
  <sheetViews>
    <sheetView tabSelected="1" zoomScale="58" zoomScaleNormal="58" workbookViewId="0">
      <selection activeCell="AC8" sqref="AC8"/>
    </sheetView>
  </sheetViews>
  <sheetFormatPr defaultRowHeight="14.4"/>
  <sheetData>
    <row r="2" spans="2:27">
      <c r="B2" s="29" t="s">
        <v>422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2:27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2:27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2:27"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2:27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2:27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2:27"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2:27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2:27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2:27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2:27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2:27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2:27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2:27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2:27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2:27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2:27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2:27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2:27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2:27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2:27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2:27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2:27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2:27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2:27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2:27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2:27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2:27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2:27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2:27"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27"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2:27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2:27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2:27"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2:27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2:27"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2:27"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2:27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2:27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2:27"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2:27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2:27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2:27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2:27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2:27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2:27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2:27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2:27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2:27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2:27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2:27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2:27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2:27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2:27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2:27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2:27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</sheetData>
  <mergeCells count="1">
    <mergeCell ref="B2:AA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Average salary by position</vt:lpstr>
      <vt:lpstr>Average salary by department</vt:lpstr>
      <vt:lpstr>Average salary and  </vt:lpstr>
      <vt:lpstr>Attendance</vt:lpstr>
      <vt:lpstr>Sheet1</vt:lpstr>
      <vt:lpstr>Sheet2</vt:lpstr>
      <vt:lpstr>Sheet3</vt:lpstr>
      <vt:lpstr>Sheet14</vt:lpstr>
      <vt:lpstr>Sheet4</vt:lpstr>
      <vt:lpstr>Sheet15</vt:lpstr>
      <vt:lpstr>Sheet20</vt:lpstr>
      <vt:lpstr>Sheet22</vt:lpstr>
      <vt:lpstr>Employee_Master</vt:lpstr>
      <vt:lpstr>Leave Status Analysis</vt:lpstr>
      <vt:lpstr>Leave</vt:lpstr>
      <vt:lpstr>leave 2</vt:lpstr>
      <vt:lpstr>table 5</vt:lpstr>
      <vt:lpstr>Recruitment_Summary</vt:lpstr>
      <vt:lpstr>dashboard of salary</vt:lpstr>
      <vt:lpstr>dashboard of leave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Anju Kumari</cp:lastModifiedBy>
  <dcterms:created xsi:type="dcterms:W3CDTF">2026-10-07T12:26:20Z</dcterms:created>
  <dcterms:modified xsi:type="dcterms:W3CDTF">2026-10-08T09:44:55Z</dcterms:modified>
</cp:coreProperties>
</file>